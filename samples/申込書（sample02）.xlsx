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Documents\github-workspace\Athletic-MoushiCommu-Excel\samples\"/>
    </mc:Choice>
  </mc:AlternateContent>
  <xr:revisionPtr revIDLastSave="0" documentId="13_ncr:1_{BF1DBF84-6596-482F-858C-B1DD80CA5F89}" xr6:coauthVersionLast="47" xr6:coauthVersionMax="47" xr10:uidLastSave="{00000000-0000-0000-0000-000000000000}"/>
  <bookViews>
    <workbookView xWindow="-120" yWindow="-120" windowWidth="29040" windowHeight="15720" activeTab="1" xr2:uid="{DA96CDFA-E7BD-41CA-A673-83094398D646}"/>
  </bookViews>
  <sheets>
    <sheet name="（主催）カスタマイズマニュアル" sheetId="6" r:id="rId1"/>
    <sheet name="(1)鑑" sheetId="1" r:id="rId2"/>
    <sheet name="(2)出場選手" sheetId="2" r:id="rId3"/>
    <sheet name="（自動）エントリー名簿" sheetId="3" r:id="rId4"/>
    <sheet name="（主催）種目リスト" sheetId="5" r:id="rId5"/>
    <sheet name="（主催）設定・リスト" sheetId="4" r:id="rId6"/>
  </sheets>
  <definedNames>
    <definedName name="Competition_Events">'（主催）種目リスト'!$B$2:$M$52</definedName>
    <definedName name="Entries">'(2)出場選手'!$B$2:$AB$103</definedName>
    <definedName name="Event_List">'（主催）設定・リスト'!$H$3:$J$73</definedName>
    <definedName name="Max_Entries">'（主催）設定・リスト'!$C$2</definedName>
    <definedName name="Max_Entry_Count">'（主催）設定・リスト'!$C$2</definedName>
    <definedName name="Prefectures">'（主催）設定・リスト'!$E$3:$E$50</definedName>
    <definedName name="_xlnm.Print_Area" localSheetId="1">'(1)鑑'!$B$1:$F$41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2" i="3" l="1"/>
  <c r="B502" i="3" s="1"/>
  <c r="D502" i="3" s="1"/>
  <c r="K502" i="3" s="1"/>
  <c r="A501" i="3"/>
  <c r="B501" i="3" s="1"/>
  <c r="A500" i="3"/>
  <c r="A499" i="3"/>
  <c r="B499" i="3" s="1"/>
  <c r="A498" i="3"/>
  <c r="B498" i="3" s="1"/>
  <c r="D498" i="3" s="1"/>
  <c r="K498" i="3" s="1"/>
  <c r="A497" i="3"/>
  <c r="B497" i="3" s="1"/>
  <c r="D497" i="3" s="1"/>
  <c r="K497" i="3" s="1"/>
  <c r="A496" i="3"/>
  <c r="B496" i="3" s="1"/>
  <c r="D496" i="3" s="1"/>
  <c r="K496" i="3" s="1"/>
  <c r="A495" i="3"/>
  <c r="B495" i="3" s="1"/>
  <c r="A494" i="3"/>
  <c r="A493" i="3"/>
  <c r="B493" i="3" s="1"/>
  <c r="A492" i="3"/>
  <c r="B492" i="3" s="1"/>
  <c r="D492" i="3" s="1"/>
  <c r="K492" i="3" s="1"/>
  <c r="A491" i="3"/>
  <c r="B491" i="3" s="1"/>
  <c r="D491" i="3" s="1"/>
  <c r="K491" i="3" s="1"/>
  <c r="A490" i="3"/>
  <c r="B490" i="3" s="1"/>
  <c r="D490" i="3" s="1"/>
  <c r="K490" i="3" s="1"/>
  <c r="A489" i="3"/>
  <c r="B489" i="3" s="1"/>
  <c r="A488" i="3"/>
  <c r="B488" i="3" s="1"/>
  <c r="A487" i="3"/>
  <c r="B487" i="3" s="1"/>
  <c r="D487" i="3" s="1"/>
  <c r="K487" i="3" s="1"/>
  <c r="A486" i="3"/>
  <c r="B486" i="3" s="1"/>
  <c r="D486" i="3" s="1"/>
  <c r="K486" i="3" s="1"/>
  <c r="A485" i="3"/>
  <c r="A484" i="3"/>
  <c r="B484" i="3" s="1"/>
  <c r="D484" i="3" s="1"/>
  <c r="K484" i="3" s="1"/>
  <c r="A483" i="3"/>
  <c r="B483" i="3" s="1"/>
  <c r="D483" i="3" s="1"/>
  <c r="K483" i="3" s="1"/>
  <c r="A482" i="3"/>
  <c r="B482" i="3" s="1"/>
  <c r="A481" i="3"/>
  <c r="B481" i="3" s="1"/>
  <c r="D481" i="3" s="1"/>
  <c r="K481" i="3" s="1"/>
  <c r="A480" i="3"/>
  <c r="B480" i="3" s="1"/>
  <c r="A479" i="3"/>
  <c r="A478" i="3"/>
  <c r="A477" i="3"/>
  <c r="B477" i="3" s="1"/>
  <c r="A476" i="3"/>
  <c r="B476" i="3" s="1"/>
  <c r="A475" i="3"/>
  <c r="A474" i="3"/>
  <c r="A473" i="3"/>
  <c r="B473" i="3" s="1"/>
  <c r="A472" i="3"/>
  <c r="B472" i="3" s="1"/>
  <c r="D472" i="3" s="1"/>
  <c r="K472" i="3" s="1"/>
  <c r="A471" i="3"/>
  <c r="B471" i="3" s="1"/>
  <c r="D471" i="3" s="1"/>
  <c r="K471" i="3" s="1"/>
  <c r="A470" i="3"/>
  <c r="B470" i="3" s="1"/>
  <c r="D470" i="3" s="1"/>
  <c r="K470" i="3" s="1"/>
  <c r="A469" i="3"/>
  <c r="B469" i="3" s="1"/>
  <c r="A468" i="3"/>
  <c r="B468" i="3" s="1"/>
  <c r="D468" i="3" s="1"/>
  <c r="K468" i="3" s="1"/>
  <c r="A467" i="3"/>
  <c r="B467" i="3" s="1"/>
  <c r="D467" i="3" s="1"/>
  <c r="K467" i="3" s="1"/>
  <c r="A466" i="3"/>
  <c r="A465" i="3"/>
  <c r="B465" i="3" s="1"/>
  <c r="A464" i="3"/>
  <c r="A463" i="3"/>
  <c r="B463" i="3" s="1"/>
  <c r="D463" i="3" s="1"/>
  <c r="K463" i="3" s="1"/>
  <c r="A462" i="3"/>
  <c r="B462" i="3" s="1"/>
  <c r="A461" i="3"/>
  <c r="B461" i="3" s="1"/>
  <c r="A460" i="3"/>
  <c r="A459" i="3"/>
  <c r="B459" i="3" s="1"/>
  <c r="D459" i="3" s="1"/>
  <c r="K459" i="3" s="1"/>
  <c r="A458" i="3"/>
  <c r="B458" i="3" s="1"/>
  <c r="A457" i="3"/>
  <c r="A456" i="3"/>
  <c r="B456" i="3" s="1"/>
  <c r="D456" i="3" s="1"/>
  <c r="K456" i="3" s="1"/>
  <c r="A455" i="3"/>
  <c r="A454" i="3"/>
  <c r="B454" i="3" s="1"/>
  <c r="A453" i="3"/>
  <c r="A452" i="3"/>
  <c r="B452" i="3" s="1"/>
  <c r="D452" i="3" s="1"/>
  <c r="K452" i="3" s="1"/>
  <c r="A451" i="3"/>
  <c r="B451" i="3" s="1"/>
  <c r="A450" i="3"/>
  <c r="B450" i="3" s="1"/>
  <c r="D450" i="3" s="1"/>
  <c r="K450" i="3" s="1"/>
  <c r="A449" i="3"/>
  <c r="B449" i="3" s="1"/>
  <c r="A448" i="3"/>
  <c r="B448" i="3" s="1"/>
  <c r="D448" i="3" s="1"/>
  <c r="K448" i="3" s="1"/>
  <c r="A447" i="3"/>
  <c r="B447" i="3" s="1"/>
  <c r="D447" i="3" s="1"/>
  <c r="K447" i="3" s="1"/>
  <c r="A446" i="3"/>
  <c r="B446" i="3" s="1"/>
  <c r="D446" i="3" s="1"/>
  <c r="K446" i="3" s="1"/>
  <c r="A445" i="3"/>
  <c r="B445" i="3" s="1"/>
  <c r="D445" i="3" s="1"/>
  <c r="K445" i="3" s="1"/>
  <c r="A444" i="3"/>
  <c r="B444" i="3" s="1"/>
  <c r="D444" i="3" s="1"/>
  <c r="K444" i="3" s="1"/>
  <c r="A443" i="3"/>
  <c r="B443" i="3" s="1"/>
  <c r="A442" i="3"/>
  <c r="B442" i="3" s="1"/>
  <c r="D442" i="3" s="1"/>
  <c r="K442" i="3" s="1"/>
  <c r="A441" i="3"/>
  <c r="A440" i="3"/>
  <c r="A439" i="3"/>
  <c r="B439" i="3" s="1"/>
  <c r="A438" i="3"/>
  <c r="A437" i="3"/>
  <c r="B437" i="3" s="1"/>
  <c r="A436" i="3"/>
  <c r="B436" i="3" s="1"/>
  <c r="D436" i="3" s="1"/>
  <c r="K436" i="3" s="1"/>
  <c r="A435" i="3"/>
  <c r="A434" i="3"/>
  <c r="B434" i="3" s="1"/>
  <c r="D434" i="3" s="1"/>
  <c r="K434" i="3" s="1"/>
  <c r="A433" i="3"/>
  <c r="B433" i="3" s="1"/>
  <c r="D433" i="3" s="1"/>
  <c r="K433" i="3" s="1"/>
  <c r="A432" i="3"/>
  <c r="B432" i="3" s="1"/>
  <c r="A431" i="3"/>
  <c r="B431" i="3" s="1"/>
  <c r="A430" i="3"/>
  <c r="B430" i="3" s="1"/>
  <c r="D430" i="3" s="1"/>
  <c r="K430" i="3" s="1"/>
  <c r="A429" i="3"/>
  <c r="B429" i="3" s="1"/>
  <c r="D429" i="3" s="1"/>
  <c r="K429" i="3" s="1"/>
  <c r="A428" i="3"/>
  <c r="B428" i="3" s="1"/>
  <c r="A427" i="3"/>
  <c r="B427" i="3" s="1"/>
  <c r="A426" i="3"/>
  <c r="B426" i="3" s="1"/>
  <c r="A425" i="3"/>
  <c r="B425" i="3" s="1"/>
  <c r="D425" i="3" s="1"/>
  <c r="K425" i="3" s="1"/>
  <c r="A424" i="3"/>
  <c r="B424" i="3" s="1"/>
  <c r="A423" i="3"/>
  <c r="B423" i="3" s="1"/>
  <c r="D423" i="3" s="1"/>
  <c r="K423" i="3" s="1"/>
  <c r="A422" i="3"/>
  <c r="A421" i="3"/>
  <c r="B421" i="3" s="1"/>
  <c r="D421" i="3" s="1"/>
  <c r="K421" i="3" s="1"/>
  <c r="A420" i="3"/>
  <c r="B420" i="3" s="1"/>
  <c r="D420" i="3" s="1"/>
  <c r="K420" i="3" s="1"/>
  <c r="A419" i="3"/>
  <c r="B419" i="3" s="1"/>
  <c r="A418" i="3"/>
  <c r="B418" i="3" s="1"/>
  <c r="D418" i="3" s="1"/>
  <c r="K418" i="3" s="1"/>
  <c r="A417" i="3"/>
  <c r="B417" i="3" s="1"/>
  <c r="D417" i="3" s="1"/>
  <c r="K417" i="3" s="1"/>
  <c r="A416" i="3"/>
  <c r="B416" i="3" s="1"/>
  <c r="D416" i="3" s="1"/>
  <c r="K416" i="3" s="1"/>
  <c r="A415" i="3"/>
  <c r="B415" i="3" s="1"/>
  <c r="A414" i="3"/>
  <c r="A413" i="3"/>
  <c r="A412" i="3"/>
  <c r="B412" i="3" s="1"/>
  <c r="A411" i="3"/>
  <c r="A410" i="3"/>
  <c r="B410" i="3" s="1"/>
  <c r="A409" i="3"/>
  <c r="B409" i="3" s="1"/>
  <c r="D409" i="3" s="1"/>
  <c r="K409" i="3" s="1"/>
  <c r="A408" i="3"/>
  <c r="B408" i="3" s="1"/>
  <c r="A407" i="3"/>
  <c r="A406" i="3"/>
  <c r="B406" i="3" s="1"/>
  <c r="A405" i="3"/>
  <c r="B405" i="3" s="1"/>
  <c r="D405" i="3" s="1"/>
  <c r="K405" i="3" s="1"/>
  <c r="A404" i="3"/>
  <c r="B404" i="3" s="1"/>
  <c r="A403" i="3"/>
  <c r="B403" i="3" s="1"/>
  <c r="A402" i="3"/>
  <c r="B402" i="3" s="1"/>
  <c r="D402" i="3" s="1"/>
  <c r="K402" i="3" s="1"/>
  <c r="A401" i="3"/>
  <c r="B401" i="3" s="1"/>
  <c r="A400" i="3"/>
  <c r="B400" i="3" s="1"/>
  <c r="A399" i="3"/>
  <c r="B399" i="3" s="1"/>
  <c r="D399" i="3" s="1"/>
  <c r="K399" i="3" s="1"/>
  <c r="A398" i="3"/>
  <c r="B398" i="3" s="1"/>
  <c r="D398" i="3" s="1"/>
  <c r="K398" i="3" s="1"/>
  <c r="A397" i="3"/>
  <c r="B397" i="3" s="1"/>
  <c r="A396" i="3"/>
  <c r="A395" i="3"/>
  <c r="B395" i="3" s="1"/>
  <c r="D395" i="3" s="1"/>
  <c r="K395" i="3" s="1"/>
  <c r="A394" i="3"/>
  <c r="B394" i="3" s="1"/>
  <c r="D394" i="3" s="1"/>
  <c r="K394" i="3" s="1"/>
  <c r="A393" i="3"/>
  <c r="B393" i="3" s="1"/>
  <c r="D393" i="3" s="1"/>
  <c r="K393" i="3" s="1"/>
  <c r="A392" i="3"/>
  <c r="B392" i="3" s="1"/>
  <c r="A391" i="3"/>
  <c r="B391" i="3" s="1"/>
  <c r="D391" i="3" s="1"/>
  <c r="K391" i="3" s="1"/>
  <c r="A390" i="3"/>
  <c r="A389" i="3"/>
  <c r="B389" i="3" s="1"/>
  <c r="A388" i="3"/>
  <c r="B388" i="3" s="1"/>
  <c r="A387" i="3"/>
  <c r="B387" i="3" s="1"/>
  <c r="A386" i="3"/>
  <c r="B386" i="3" s="1"/>
  <c r="A385" i="3"/>
  <c r="A384" i="3"/>
  <c r="B384" i="3" s="1"/>
  <c r="A383" i="3"/>
  <c r="B383" i="3" s="1"/>
  <c r="D383" i="3" s="1"/>
  <c r="K383" i="3" s="1"/>
  <c r="A382" i="3"/>
  <c r="A381" i="3"/>
  <c r="A380" i="3"/>
  <c r="B380" i="3" s="1"/>
  <c r="D380" i="3" s="1"/>
  <c r="K380" i="3" s="1"/>
  <c r="A379" i="3"/>
  <c r="B379" i="3" s="1"/>
  <c r="D379" i="3" s="1"/>
  <c r="K379" i="3" s="1"/>
  <c r="A378" i="3"/>
  <c r="B378" i="3" s="1"/>
  <c r="D378" i="3" s="1"/>
  <c r="K378" i="3" s="1"/>
  <c r="A377" i="3"/>
  <c r="B377" i="3" s="1"/>
  <c r="D377" i="3" s="1"/>
  <c r="K377" i="3" s="1"/>
  <c r="A376" i="3"/>
  <c r="B376" i="3" s="1"/>
  <c r="D376" i="3" s="1"/>
  <c r="K376" i="3" s="1"/>
  <c r="A375" i="3"/>
  <c r="A374" i="3"/>
  <c r="B374" i="3" s="1"/>
  <c r="D374" i="3" s="1"/>
  <c r="K374" i="3" s="1"/>
  <c r="A373" i="3"/>
  <c r="A372" i="3"/>
  <c r="A371" i="3"/>
  <c r="B371" i="3" s="1"/>
  <c r="A370" i="3"/>
  <c r="B370" i="3" s="1"/>
  <c r="A369" i="3"/>
  <c r="B369" i="3" s="1"/>
  <c r="D369" i="3" s="1"/>
  <c r="K369" i="3" s="1"/>
  <c r="A368" i="3"/>
  <c r="B368" i="3" s="1"/>
  <c r="D368" i="3" s="1"/>
  <c r="K368" i="3" s="1"/>
  <c r="A367" i="3"/>
  <c r="B367" i="3" s="1"/>
  <c r="A366" i="3"/>
  <c r="B366" i="3" s="1"/>
  <c r="D366" i="3" s="1"/>
  <c r="K366" i="3" s="1"/>
  <c r="A365" i="3"/>
  <c r="B365" i="3" s="1"/>
  <c r="A364" i="3"/>
  <c r="B364" i="3" s="1"/>
  <c r="D364" i="3" s="1"/>
  <c r="K364" i="3" s="1"/>
  <c r="A363" i="3"/>
  <c r="A362" i="3"/>
  <c r="B362" i="3" s="1"/>
  <c r="A361" i="3"/>
  <c r="A360" i="3"/>
  <c r="B360" i="3" s="1"/>
  <c r="D360" i="3" s="1"/>
  <c r="K360" i="3" s="1"/>
  <c r="A359" i="3"/>
  <c r="B359" i="3" s="1"/>
  <c r="D359" i="3" s="1"/>
  <c r="K359" i="3" s="1"/>
  <c r="A358" i="3"/>
  <c r="B358" i="3" s="1"/>
  <c r="D358" i="3" s="1"/>
  <c r="K358" i="3" s="1"/>
  <c r="A357" i="3"/>
  <c r="A356" i="3"/>
  <c r="B356" i="3" s="1"/>
  <c r="D356" i="3" s="1"/>
  <c r="K356" i="3" s="1"/>
  <c r="A355" i="3"/>
  <c r="B355" i="3" s="1"/>
  <c r="A354" i="3"/>
  <c r="B354" i="3" s="1"/>
  <c r="A353" i="3"/>
  <c r="B353" i="3" s="1"/>
  <c r="A352" i="3"/>
  <c r="B352" i="3" s="1"/>
  <c r="D352" i="3" s="1"/>
  <c r="K352" i="3" s="1"/>
  <c r="A351" i="3"/>
  <c r="A350" i="3"/>
  <c r="B350" i="3" s="1"/>
  <c r="D350" i="3" s="1"/>
  <c r="K350" i="3" s="1"/>
  <c r="A349" i="3"/>
  <c r="B349" i="3" s="1"/>
  <c r="D349" i="3" s="1"/>
  <c r="K349" i="3" s="1"/>
  <c r="A348" i="3"/>
  <c r="B348" i="3" s="1"/>
  <c r="D348" i="3" s="1"/>
  <c r="K348" i="3" s="1"/>
  <c r="A347" i="3"/>
  <c r="B347" i="3" s="1"/>
  <c r="D347" i="3" s="1"/>
  <c r="K347" i="3" s="1"/>
  <c r="A346" i="3"/>
  <c r="B346" i="3" s="1"/>
  <c r="D346" i="3" s="1"/>
  <c r="K346" i="3" s="1"/>
  <c r="A345" i="3"/>
  <c r="B345" i="3" s="1"/>
  <c r="D345" i="3" s="1"/>
  <c r="K345" i="3" s="1"/>
  <c r="A344" i="3"/>
  <c r="A343" i="3"/>
  <c r="B343" i="3" s="1"/>
  <c r="D343" i="3" s="1"/>
  <c r="K343" i="3" s="1"/>
  <c r="A342" i="3"/>
  <c r="B342" i="3" s="1"/>
  <c r="A341" i="3"/>
  <c r="A340" i="3"/>
  <c r="B340" i="3" s="1"/>
  <c r="D340" i="3" s="1"/>
  <c r="K340" i="3" s="1"/>
  <c r="A339" i="3"/>
  <c r="B339" i="3" s="1"/>
  <c r="A338" i="3"/>
  <c r="B338" i="3" s="1"/>
  <c r="A337" i="3"/>
  <c r="B337" i="3" s="1"/>
  <c r="A336" i="3"/>
  <c r="B336" i="3" s="1"/>
  <c r="A335" i="3"/>
  <c r="B335" i="3" s="1"/>
  <c r="D335" i="3" s="1"/>
  <c r="K335" i="3" s="1"/>
  <c r="A334" i="3"/>
  <c r="B334" i="3" s="1"/>
  <c r="A333" i="3"/>
  <c r="B333" i="3" s="1"/>
  <c r="A332" i="3"/>
  <c r="A331" i="3"/>
  <c r="B331" i="3" s="1"/>
  <c r="A330" i="3"/>
  <c r="B330" i="3" s="1"/>
  <c r="A329" i="3"/>
  <c r="B329" i="3" s="1"/>
  <c r="D329" i="3" s="1"/>
  <c r="K329" i="3" s="1"/>
  <c r="A328" i="3"/>
  <c r="B328" i="3" s="1"/>
  <c r="A327" i="3"/>
  <c r="A326" i="3"/>
  <c r="B326" i="3" s="1"/>
  <c r="A325" i="3"/>
  <c r="B325" i="3" s="1"/>
  <c r="D325" i="3" s="1"/>
  <c r="K325" i="3" s="1"/>
  <c r="A324" i="3"/>
  <c r="B324" i="3" s="1"/>
  <c r="A323" i="3"/>
  <c r="A322" i="3"/>
  <c r="B322" i="3" s="1"/>
  <c r="A321" i="3"/>
  <c r="B321" i="3" s="1"/>
  <c r="A320" i="3"/>
  <c r="A319" i="3"/>
  <c r="A318" i="3"/>
  <c r="B318" i="3" s="1"/>
  <c r="D318" i="3" s="1"/>
  <c r="K318" i="3" s="1"/>
  <c r="A317" i="3"/>
  <c r="B317" i="3" s="1"/>
  <c r="A316" i="3"/>
  <c r="B316" i="3" s="1"/>
  <c r="A315" i="3"/>
  <c r="A314" i="3"/>
  <c r="B314" i="3" s="1"/>
  <c r="A313" i="3"/>
  <c r="B313" i="3" s="1"/>
  <c r="D313" i="3" s="1"/>
  <c r="K313" i="3" s="1"/>
  <c r="A312" i="3"/>
  <c r="A311" i="3"/>
  <c r="B311" i="3" s="1"/>
  <c r="D311" i="3" s="1"/>
  <c r="K311" i="3" s="1"/>
  <c r="A310" i="3"/>
  <c r="B310" i="3" s="1"/>
  <c r="D310" i="3" s="1"/>
  <c r="K310" i="3" s="1"/>
  <c r="A309" i="3"/>
  <c r="B309" i="3" s="1"/>
  <c r="A308" i="3"/>
  <c r="B308" i="3" s="1"/>
  <c r="D308" i="3" s="1"/>
  <c r="K308" i="3" s="1"/>
  <c r="A307" i="3"/>
  <c r="B307" i="3" s="1"/>
  <c r="A306" i="3"/>
  <c r="A305" i="3"/>
  <c r="B305" i="3" s="1"/>
  <c r="D305" i="3" s="1"/>
  <c r="K305" i="3" s="1"/>
  <c r="A304" i="3"/>
  <c r="A303" i="3"/>
  <c r="B303" i="3" s="1"/>
  <c r="D303" i="3" s="1"/>
  <c r="K303" i="3" s="1"/>
  <c r="A302" i="3"/>
  <c r="B302" i="3" s="1"/>
  <c r="D302" i="3" s="1"/>
  <c r="K302" i="3" s="1"/>
  <c r="A301" i="3"/>
  <c r="B301" i="3" s="1"/>
  <c r="A300" i="3"/>
  <c r="A299" i="3"/>
  <c r="B299" i="3" s="1"/>
  <c r="A298" i="3"/>
  <c r="B298" i="3" s="1"/>
  <c r="A297" i="3"/>
  <c r="A296" i="3"/>
  <c r="B296" i="3" s="1"/>
  <c r="D296" i="3" s="1"/>
  <c r="K296" i="3" s="1"/>
  <c r="A295" i="3"/>
  <c r="B295" i="3" s="1"/>
  <c r="A294" i="3"/>
  <c r="B294" i="3" s="1"/>
  <c r="A293" i="3"/>
  <c r="B293" i="3" s="1"/>
  <c r="D293" i="3" s="1"/>
  <c r="K293" i="3" s="1"/>
  <c r="A292" i="3"/>
  <c r="B292" i="3" s="1"/>
  <c r="D292" i="3" s="1"/>
  <c r="K292" i="3" s="1"/>
  <c r="A291" i="3"/>
  <c r="B291" i="3" s="1"/>
  <c r="A290" i="3"/>
  <c r="B290" i="3" s="1"/>
  <c r="D290" i="3" s="1"/>
  <c r="K290" i="3" s="1"/>
  <c r="A289" i="3"/>
  <c r="A288" i="3"/>
  <c r="A287" i="3"/>
  <c r="B287" i="3" s="1"/>
  <c r="A286" i="3"/>
  <c r="B286" i="3" s="1"/>
  <c r="A285" i="3"/>
  <c r="B285" i="3" s="1"/>
  <c r="A284" i="3"/>
  <c r="B284" i="3" s="1"/>
  <c r="A283" i="3"/>
  <c r="B283" i="3" s="1"/>
  <c r="D283" i="3" s="1"/>
  <c r="K283" i="3" s="1"/>
  <c r="A282" i="3"/>
  <c r="B282" i="3" s="1"/>
  <c r="D282" i="3" s="1"/>
  <c r="K282" i="3" s="1"/>
  <c r="A281" i="3"/>
  <c r="B281" i="3" s="1"/>
  <c r="D281" i="3" s="1"/>
  <c r="K281" i="3" s="1"/>
  <c r="A280" i="3"/>
  <c r="B280" i="3" s="1"/>
  <c r="D280" i="3" s="1"/>
  <c r="K280" i="3" s="1"/>
  <c r="A279" i="3"/>
  <c r="B279" i="3" s="1"/>
  <c r="D279" i="3" s="1"/>
  <c r="K279" i="3" s="1"/>
  <c r="A278" i="3"/>
  <c r="B278" i="3" s="1"/>
  <c r="A277" i="3"/>
  <c r="B277" i="3" s="1"/>
  <c r="A276" i="3"/>
  <c r="B276" i="3" s="1"/>
  <c r="A275" i="3"/>
  <c r="B275" i="3" s="1"/>
  <c r="D275" i="3" s="1"/>
  <c r="K275" i="3" s="1"/>
  <c r="A274" i="3"/>
  <c r="A273" i="3"/>
  <c r="B273" i="3" s="1"/>
  <c r="A272" i="3"/>
  <c r="B272" i="3" s="1"/>
  <c r="A271" i="3"/>
  <c r="B271" i="3" s="1"/>
  <c r="D271" i="3" s="1"/>
  <c r="K271" i="3" s="1"/>
  <c r="A270" i="3"/>
  <c r="B270" i="3" s="1"/>
  <c r="D270" i="3" s="1"/>
  <c r="K270" i="3" s="1"/>
  <c r="A269" i="3"/>
  <c r="B269" i="3" s="1"/>
  <c r="A268" i="3"/>
  <c r="B268" i="3" s="1"/>
  <c r="D268" i="3" s="1"/>
  <c r="K268" i="3" s="1"/>
  <c r="A267" i="3"/>
  <c r="B267" i="3" s="1"/>
  <c r="D267" i="3" s="1"/>
  <c r="K267" i="3" s="1"/>
  <c r="A266" i="3"/>
  <c r="B266" i="3" s="1"/>
  <c r="A265" i="3"/>
  <c r="B265" i="3" s="1"/>
  <c r="D265" i="3" s="1"/>
  <c r="K265" i="3" s="1"/>
  <c r="A264" i="3"/>
  <c r="B264" i="3" s="1"/>
  <c r="A263" i="3"/>
  <c r="B263" i="3" s="1"/>
  <c r="A262" i="3"/>
  <c r="A261" i="3"/>
  <c r="A260" i="3"/>
  <c r="B260" i="3" s="1"/>
  <c r="A259" i="3"/>
  <c r="B259" i="3" s="1"/>
  <c r="A258" i="3"/>
  <c r="B258" i="3" s="1"/>
  <c r="D258" i="3" s="1"/>
  <c r="K258" i="3" s="1"/>
  <c r="A257" i="3"/>
  <c r="B257" i="3" s="1"/>
  <c r="A256" i="3"/>
  <c r="B256" i="3" s="1"/>
  <c r="D256" i="3" s="1"/>
  <c r="K256" i="3" s="1"/>
  <c r="A255" i="3"/>
  <c r="B255" i="3" s="1"/>
  <c r="A254" i="3"/>
  <c r="B254" i="3" s="1"/>
  <c r="D254" i="3" s="1"/>
  <c r="K254" i="3" s="1"/>
  <c r="A253" i="3"/>
  <c r="B253" i="3" s="1"/>
  <c r="D253" i="3" s="1"/>
  <c r="K253" i="3" s="1"/>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C3" i="5"/>
  <c r="D3" i="5" s="1"/>
  <c r="F3" i="5"/>
  <c r="H3" i="5"/>
  <c r="C4" i="5"/>
  <c r="F4" i="5"/>
  <c r="H4" i="5"/>
  <c r="C5" i="5"/>
  <c r="F5" i="5"/>
  <c r="H5" i="5"/>
  <c r="C6" i="5"/>
  <c r="F6" i="5"/>
  <c r="H6" i="5"/>
  <c r="C7" i="5"/>
  <c r="F7" i="5"/>
  <c r="H7" i="5"/>
  <c r="C8" i="5"/>
  <c r="F8" i="5"/>
  <c r="H8" i="5"/>
  <c r="C9" i="5"/>
  <c r="F9" i="5"/>
  <c r="H9" i="5"/>
  <c r="C10" i="5"/>
  <c r="F10" i="5"/>
  <c r="H10" i="5"/>
  <c r="C11" i="5"/>
  <c r="F11" i="5"/>
  <c r="H11" i="5"/>
  <c r="C12" i="5"/>
  <c r="F12" i="5"/>
  <c r="H12" i="5"/>
  <c r="C13" i="5"/>
  <c r="F13" i="5"/>
  <c r="H13" i="5"/>
  <c r="C14" i="5"/>
  <c r="F14" i="5"/>
  <c r="H14" i="5"/>
  <c r="C15" i="5"/>
  <c r="F15" i="5"/>
  <c r="H15" i="5"/>
  <c r="C16" i="5"/>
  <c r="F16" i="5"/>
  <c r="H16" i="5"/>
  <c r="C17" i="5"/>
  <c r="F17" i="5"/>
  <c r="H17" i="5"/>
  <c r="C18" i="5"/>
  <c r="F18" i="5"/>
  <c r="H18" i="5"/>
  <c r="C19" i="5"/>
  <c r="F19" i="5"/>
  <c r="H19" i="5"/>
  <c r="C20" i="5"/>
  <c r="F20" i="5"/>
  <c r="H20" i="5"/>
  <c r="C21" i="5"/>
  <c r="F21" i="5"/>
  <c r="H21" i="5"/>
  <c r="C22" i="5"/>
  <c r="F22" i="5"/>
  <c r="H22" i="5"/>
  <c r="C23" i="5"/>
  <c r="F23" i="5"/>
  <c r="H23" i="5"/>
  <c r="C24" i="5"/>
  <c r="F24" i="5"/>
  <c r="H24" i="5"/>
  <c r="C25" i="5"/>
  <c r="F25" i="5"/>
  <c r="H25" i="5"/>
  <c r="C26" i="5"/>
  <c r="F26" i="5"/>
  <c r="H26" i="5"/>
  <c r="C27" i="5"/>
  <c r="F27" i="5"/>
  <c r="H27" i="5"/>
  <c r="C28" i="5"/>
  <c r="F28" i="5"/>
  <c r="H28" i="5"/>
  <c r="C29" i="5"/>
  <c r="F29" i="5"/>
  <c r="H29" i="5"/>
  <c r="C30" i="5"/>
  <c r="F30" i="5"/>
  <c r="H30" i="5"/>
  <c r="C31" i="5"/>
  <c r="D31" i="5" s="1"/>
  <c r="F31" i="5"/>
  <c r="H31" i="5"/>
  <c r="B31" i="5" s="1"/>
  <c r="E31" i="5" s="1"/>
  <c r="G31" i="5" s="1"/>
  <c r="C32" i="5"/>
  <c r="D32" i="5" s="1"/>
  <c r="F32" i="5"/>
  <c r="H32" i="5"/>
  <c r="B32" i="5" s="1"/>
  <c r="E32" i="5" s="1"/>
  <c r="G32" i="5" s="1"/>
  <c r="C33" i="5"/>
  <c r="D33" i="5" s="1"/>
  <c r="F33" i="5"/>
  <c r="H33" i="5"/>
  <c r="B33" i="5" s="1"/>
  <c r="E33" i="5" s="1"/>
  <c r="G33" i="5" s="1"/>
  <c r="C34" i="5"/>
  <c r="D34" i="5" s="1"/>
  <c r="F34" i="5"/>
  <c r="H34" i="5"/>
  <c r="B34" i="5" s="1"/>
  <c r="E34" i="5" s="1"/>
  <c r="G34" i="5" s="1"/>
  <c r="C35" i="5"/>
  <c r="D35" i="5" s="1"/>
  <c r="F35" i="5"/>
  <c r="H35" i="5"/>
  <c r="B35" i="5" s="1"/>
  <c r="E35" i="5" s="1"/>
  <c r="G35" i="5" s="1"/>
  <c r="C36" i="5"/>
  <c r="D36" i="5" s="1"/>
  <c r="F36" i="5"/>
  <c r="H36" i="5"/>
  <c r="B36" i="5" s="1"/>
  <c r="E36" i="5" s="1"/>
  <c r="G36" i="5" s="1"/>
  <c r="C37" i="5"/>
  <c r="D37" i="5" s="1"/>
  <c r="F37" i="5"/>
  <c r="H37" i="5"/>
  <c r="B37" i="5" s="1"/>
  <c r="E37" i="5" s="1"/>
  <c r="G37" i="5" s="1"/>
  <c r="C38" i="5"/>
  <c r="D38" i="5" s="1"/>
  <c r="F38" i="5"/>
  <c r="H38" i="5"/>
  <c r="B38" i="5" s="1"/>
  <c r="E38" i="5" s="1"/>
  <c r="G38" i="5" s="1"/>
  <c r="C39" i="5"/>
  <c r="D39" i="5" s="1"/>
  <c r="F39" i="5"/>
  <c r="H39" i="5"/>
  <c r="B39" i="5" s="1"/>
  <c r="E39" i="5" s="1"/>
  <c r="G39" i="5" s="1"/>
  <c r="C40" i="5"/>
  <c r="D40" i="5" s="1"/>
  <c r="F40" i="5"/>
  <c r="H40" i="5"/>
  <c r="B40" i="5" s="1"/>
  <c r="E40" i="5" s="1"/>
  <c r="G40" i="5" s="1"/>
  <c r="C41" i="5"/>
  <c r="D41" i="5" s="1"/>
  <c r="F41" i="5"/>
  <c r="H41" i="5"/>
  <c r="B41" i="5" s="1"/>
  <c r="E41" i="5" s="1"/>
  <c r="G41" i="5" s="1"/>
  <c r="C42" i="5"/>
  <c r="D42" i="5" s="1"/>
  <c r="F42" i="5"/>
  <c r="H42" i="5"/>
  <c r="B42" i="5" s="1"/>
  <c r="E42" i="5" s="1"/>
  <c r="G42" i="5" s="1"/>
  <c r="C43" i="5"/>
  <c r="D43" i="5" s="1"/>
  <c r="F43" i="5"/>
  <c r="H43" i="5"/>
  <c r="B43" i="5" s="1"/>
  <c r="E43" i="5" s="1"/>
  <c r="G43" i="5" s="1"/>
  <c r="C44" i="5"/>
  <c r="D44" i="5" s="1"/>
  <c r="F44" i="5"/>
  <c r="H44" i="5"/>
  <c r="B44" i="5" s="1"/>
  <c r="E44" i="5" s="1"/>
  <c r="G44" i="5" s="1"/>
  <c r="C45" i="5"/>
  <c r="D45" i="5" s="1"/>
  <c r="F45" i="5"/>
  <c r="H45" i="5"/>
  <c r="B45" i="5" s="1"/>
  <c r="E45" i="5" s="1"/>
  <c r="G45" i="5" s="1"/>
  <c r="C46" i="5"/>
  <c r="D46" i="5" s="1"/>
  <c r="F46" i="5"/>
  <c r="H46" i="5"/>
  <c r="B46" i="5" s="1"/>
  <c r="E46" i="5" s="1"/>
  <c r="G46" i="5" s="1"/>
  <c r="C47" i="5"/>
  <c r="D47" i="5" s="1"/>
  <c r="F47" i="5"/>
  <c r="H47" i="5"/>
  <c r="B47" i="5" s="1"/>
  <c r="E47" i="5" s="1"/>
  <c r="G47" i="5" s="1"/>
  <c r="C48" i="5"/>
  <c r="D48" i="5" s="1"/>
  <c r="F48" i="5"/>
  <c r="H48" i="5"/>
  <c r="B48" i="5" s="1"/>
  <c r="E48" i="5" s="1"/>
  <c r="G48" i="5" s="1"/>
  <c r="C49" i="5"/>
  <c r="D49" i="5" s="1"/>
  <c r="F49" i="5"/>
  <c r="H49" i="5"/>
  <c r="B49" i="5" s="1"/>
  <c r="E49" i="5" s="1"/>
  <c r="G49" i="5" s="1"/>
  <c r="C50" i="5"/>
  <c r="D50" i="5" s="1"/>
  <c r="F50" i="5"/>
  <c r="H50" i="5"/>
  <c r="B50" i="5" s="1"/>
  <c r="E50" i="5" s="1"/>
  <c r="G50" i="5" s="1"/>
  <c r="C51" i="5"/>
  <c r="D51" i="5" s="1"/>
  <c r="F51" i="5"/>
  <c r="H51" i="5"/>
  <c r="B51" i="5" s="1"/>
  <c r="E51" i="5" s="1"/>
  <c r="G51" i="5" s="1"/>
  <c r="A4" i="3"/>
  <c r="B4" i="3" s="1"/>
  <c r="A5" i="3"/>
  <c r="B5" i="3" s="1"/>
  <c r="A6" i="3"/>
  <c r="B6" i="3" s="1"/>
  <c r="A7" i="3"/>
  <c r="B7" i="3" s="1"/>
  <c r="A8" i="3"/>
  <c r="A9" i="3"/>
  <c r="A10" i="3"/>
  <c r="B10" i="3" s="1"/>
  <c r="A11" i="3"/>
  <c r="B11" i="3" s="1"/>
  <c r="A12" i="3"/>
  <c r="B12" i="3" s="1"/>
  <c r="A13" i="3"/>
  <c r="B13" i="3" s="1"/>
  <c r="A14" i="3"/>
  <c r="B14" i="3" s="1"/>
  <c r="A15" i="3"/>
  <c r="B15" i="3" s="1"/>
  <c r="A16" i="3"/>
  <c r="B16" i="3" s="1"/>
  <c r="A17" i="3"/>
  <c r="B17" i="3" s="1"/>
  <c r="A18" i="3"/>
  <c r="B18" i="3" s="1"/>
  <c r="A19" i="3"/>
  <c r="B19" i="3" s="1"/>
  <c r="A20" i="3"/>
  <c r="B20" i="3" s="1"/>
  <c r="A21" i="3"/>
  <c r="B21" i="3" s="1"/>
  <c r="A22" i="3"/>
  <c r="B22" i="3" s="1"/>
  <c r="A23" i="3"/>
  <c r="B23" i="3" s="1"/>
  <c r="D23" i="3" s="1"/>
  <c r="K23" i="3" s="1"/>
  <c r="A24" i="3"/>
  <c r="B24" i="3" s="1"/>
  <c r="A25" i="3"/>
  <c r="B25" i="3" s="1"/>
  <c r="A26" i="3"/>
  <c r="B26" i="3" s="1"/>
  <c r="A27" i="3"/>
  <c r="B27" i="3" s="1"/>
  <c r="D27" i="3" s="1"/>
  <c r="K27" i="3" s="1"/>
  <c r="A28" i="3"/>
  <c r="B28" i="3" s="1"/>
  <c r="D28" i="3" s="1"/>
  <c r="K28" i="3" s="1"/>
  <c r="A29" i="3"/>
  <c r="B29" i="3" s="1"/>
  <c r="D29" i="3" s="1"/>
  <c r="K29" i="3" s="1"/>
  <c r="A30" i="3"/>
  <c r="B30" i="3" s="1"/>
  <c r="D30" i="3" s="1"/>
  <c r="K30" i="3" s="1"/>
  <c r="A31" i="3"/>
  <c r="B31" i="3" s="1"/>
  <c r="D31" i="3" s="1"/>
  <c r="K31" i="3" s="1"/>
  <c r="A32" i="3"/>
  <c r="B32" i="3" s="1"/>
  <c r="A33" i="3"/>
  <c r="A34" i="3"/>
  <c r="B34" i="3" s="1"/>
  <c r="A35" i="3"/>
  <c r="B35" i="3" s="1"/>
  <c r="D35" i="3" s="1"/>
  <c r="K35" i="3" s="1"/>
  <c r="A36" i="3"/>
  <c r="B36" i="3" s="1"/>
  <c r="D36" i="3" s="1"/>
  <c r="K36" i="3" s="1"/>
  <c r="A37" i="3"/>
  <c r="B37" i="3" s="1"/>
  <c r="D37" i="3" s="1"/>
  <c r="K37" i="3" s="1"/>
  <c r="A38" i="3"/>
  <c r="A39" i="3"/>
  <c r="B39" i="3" s="1"/>
  <c r="D39" i="3" s="1"/>
  <c r="K39" i="3" s="1"/>
  <c r="A40" i="3"/>
  <c r="B40" i="3" s="1"/>
  <c r="A41" i="3"/>
  <c r="B41" i="3" s="1"/>
  <c r="D41" i="3" s="1"/>
  <c r="K41" i="3" s="1"/>
  <c r="A42" i="3"/>
  <c r="B42" i="3" s="1"/>
  <c r="D42" i="3" s="1"/>
  <c r="K42" i="3" s="1"/>
  <c r="A43" i="3"/>
  <c r="B43" i="3" s="1"/>
  <c r="D43" i="3" s="1"/>
  <c r="K43" i="3" s="1"/>
  <c r="A44" i="3"/>
  <c r="B44" i="3" s="1"/>
  <c r="D44" i="3" s="1"/>
  <c r="K44" i="3" s="1"/>
  <c r="A45" i="3"/>
  <c r="B45" i="3" s="1"/>
  <c r="D45" i="3" s="1"/>
  <c r="K45" i="3" s="1"/>
  <c r="A46" i="3"/>
  <c r="B46" i="3" s="1"/>
  <c r="D46" i="3" s="1"/>
  <c r="K46" i="3" s="1"/>
  <c r="A47" i="3"/>
  <c r="B47" i="3" s="1"/>
  <c r="A48" i="3"/>
  <c r="A49" i="3"/>
  <c r="B49" i="3" s="1"/>
  <c r="D49" i="3" s="1"/>
  <c r="K49" i="3" s="1"/>
  <c r="A50" i="3"/>
  <c r="B50" i="3" s="1"/>
  <c r="D50" i="3" s="1"/>
  <c r="K50" i="3" s="1"/>
  <c r="A51" i="3"/>
  <c r="B51" i="3" s="1"/>
  <c r="D51" i="3" s="1"/>
  <c r="K51" i="3" s="1"/>
  <c r="A52" i="3"/>
  <c r="B52" i="3" s="1"/>
  <c r="D52" i="3" s="1"/>
  <c r="K52" i="3" s="1"/>
  <c r="A53" i="3"/>
  <c r="B53" i="3" s="1"/>
  <c r="D53" i="3" s="1"/>
  <c r="K53" i="3" s="1"/>
  <c r="A54" i="3"/>
  <c r="B54" i="3" s="1"/>
  <c r="D54" i="3" s="1"/>
  <c r="K54" i="3" s="1"/>
  <c r="A55" i="3"/>
  <c r="B55" i="3" s="1"/>
  <c r="D55" i="3" s="1"/>
  <c r="K55" i="3" s="1"/>
  <c r="A56" i="3"/>
  <c r="B56" i="3" s="1"/>
  <c r="D56" i="3" s="1"/>
  <c r="K56" i="3" s="1"/>
  <c r="A57" i="3"/>
  <c r="A58" i="3"/>
  <c r="B58" i="3" s="1"/>
  <c r="D58" i="3" s="1"/>
  <c r="K58" i="3" s="1"/>
  <c r="A59" i="3"/>
  <c r="B59" i="3" s="1"/>
  <c r="A60" i="3"/>
  <c r="B60" i="3" s="1"/>
  <c r="D60" i="3" s="1"/>
  <c r="K60" i="3" s="1"/>
  <c r="A61" i="3"/>
  <c r="B61" i="3" s="1"/>
  <c r="D61" i="3" s="1"/>
  <c r="K61" i="3" s="1"/>
  <c r="A62" i="3"/>
  <c r="B62" i="3" s="1"/>
  <c r="D62" i="3" s="1"/>
  <c r="K62" i="3" s="1"/>
  <c r="A63" i="3"/>
  <c r="B63" i="3" s="1"/>
  <c r="D63" i="3" s="1"/>
  <c r="K63" i="3" s="1"/>
  <c r="A64" i="3"/>
  <c r="B64" i="3" s="1"/>
  <c r="A65" i="3"/>
  <c r="B65" i="3" s="1"/>
  <c r="A66" i="3"/>
  <c r="B66" i="3" s="1"/>
  <c r="D66" i="3" s="1"/>
  <c r="K66" i="3" s="1"/>
  <c r="A67" i="3"/>
  <c r="B67" i="3" s="1"/>
  <c r="A68" i="3"/>
  <c r="B68" i="3" s="1"/>
  <c r="A69" i="3"/>
  <c r="B69" i="3" s="1"/>
  <c r="D69" i="3" s="1"/>
  <c r="K69" i="3" s="1"/>
  <c r="A70" i="3"/>
  <c r="A71" i="3"/>
  <c r="A72" i="3"/>
  <c r="B72" i="3" s="1"/>
  <c r="D72" i="3" s="1"/>
  <c r="K72" i="3" s="1"/>
  <c r="A73" i="3"/>
  <c r="B73" i="3" s="1"/>
  <c r="A74" i="3"/>
  <c r="B74" i="3" s="1"/>
  <c r="D74" i="3" s="1"/>
  <c r="K74" i="3" s="1"/>
  <c r="A75" i="3"/>
  <c r="B75" i="3" s="1"/>
  <c r="D75" i="3" s="1"/>
  <c r="K75" i="3" s="1"/>
  <c r="A76" i="3"/>
  <c r="B76" i="3" s="1"/>
  <c r="D76" i="3" s="1"/>
  <c r="K76" i="3" s="1"/>
  <c r="A77" i="3"/>
  <c r="B77" i="3" s="1"/>
  <c r="D77" i="3" s="1"/>
  <c r="K77" i="3" s="1"/>
  <c r="A78" i="3"/>
  <c r="B78" i="3" s="1"/>
  <c r="D78" i="3" s="1"/>
  <c r="K78" i="3" s="1"/>
  <c r="A79" i="3"/>
  <c r="B79" i="3" s="1"/>
  <c r="A80" i="3"/>
  <c r="B80" i="3" s="1"/>
  <c r="D80" i="3" s="1"/>
  <c r="K80" i="3" s="1"/>
  <c r="A81" i="3"/>
  <c r="A82" i="3"/>
  <c r="B82" i="3" s="1"/>
  <c r="D82" i="3" s="1"/>
  <c r="K82" i="3" s="1"/>
  <c r="A83" i="3"/>
  <c r="B83" i="3" s="1"/>
  <c r="D83" i="3" s="1"/>
  <c r="K83" i="3" s="1"/>
  <c r="A84" i="3"/>
  <c r="A85" i="3"/>
  <c r="B85" i="3" s="1"/>
  <c r="D85" i="3" s="1"/>
  <c r="K85" i="3" s="1"/>
  <c r="A86" i="3"/>
  <c r="B86" i="3" s="1"/>
  <c r="D86" i="3" s="1"/>
  <c r="K86" i="3" s="1"/>
  <c r="A87" i="3"/>
  <c r="B87" i="3" s="1"/>
  <c r="A88" i="3"/>
  <c r="B88" i="3" s="1"/>
  <c r="D88" i="3" s="1"/>
  <c r="K88" i="3" s="1"/>
  <c r="A89" i="3"/>
  <c r="A90" i="3"/>
  <c r="A91" i="3"/>
  <c r="B91" i="3" s="1"/>
  <c r="A92" i="3"/>
  <c r="B92" i="3" s="1"/>
  <c r="D92" i="3" s="1"/>
  <c r="K92" i="3" s="1"/>
  <c r="A93" i="3"/>
  <c r="B93" i="3" s="1"/>
  <c r="D93" i="3" s="1"/>
  <c r="K93" i="3" s="1"/>
  <c r="A94" i="3"/>
  <c r="B94" i="3" s="1"/>
  <c r="A95" i="3"/>
  <c r="B95" i="3" s="1"/>
  <c r="A96" i="3"/>
  <c r="A97" i="3"/>
  <c r="B97" i="3" s="1"/>
  <c r="D97" i="3" s="1"/>
  <c r="K97" i="3" s="1"/>
  <c r="A98" i="3"/>
  <c r="B98" i="3" s="1"/>
  <c r="D98" i="3" s="1"/>
  <c r="K98" i="3" s="1"/>
  <c r="A99" i="3"/>
  <c r="B99" i="3" s="1"/>
  <c r="D99" i="3" s="1"/>
  <c r="K99" i="3" s="1"/>
  <c r="A100" i="3"/>
  <c r="A101" i="3"/>
  <c r="A102" i="3"/>
  <c r="B102" i="3" s="1"/>
  <c r="A103" i="3"/>
  <c r="B103" i="3" s="1"/>
  <c r="A104" i="3"/>
  <c r="B104" i="3" s="1"/>
  <c r="A105" i="3"/>
  <c r="B105" i="3" s="1"/>
  <c r="A106" i="3"/>
  <c r="B106" i="3" s="1"/>
  <c r="A107" i="3"/>
  <c r="A108" i="3"/>
  <c r="B108" i="3" s="1"/>
  <c r="D108" i="3" s="1"/>
  <c r="K108" i="3" s="1"/>
  <c r="A109" i="3"/>
  <c r="A110" i="3"/>
  <c r="B110" i="3" s="1"/>
  <c r="D110" i="3" s="1"/>
  <c r="K110" i="3" s="1"/>
  <c r="A111" i="3"/>
  <c r="B111" i="3" s="1"/>
  <c r="D111" i="3" s="1"/>
  <c r="K111" i="3" s="1"/>
  <c r="A112" i="3"/>
  <c r="B112" i="3" s="1"/>
  <c r="A113" i="3"/>
  <c r="B113" i="3" s="1"/>
  <c r="D113" i="3" s="1"/>
  <c r="K113" i="3" s="1"/>
  <c r="A114" i="3"/>
  <c r="B114" i="3" s="1"/>
  <c r="A115" i="3"/>
  <c r="B115" i="3" s="1"/>
  <c r="D115" i="3" s="1"/>
  <c r="K115" i="3" s="1"/>
  <c r="A116" i="3"/>
  <c r="A117" i="3"/>
  <c r="B117" i="3" s="1"/>
  <c r="A118" i="3"/>
  <c r="A119" i="3"/>
  <c r="B119" i="3" s="1"/>
  <c r="A120" i="3"/>
  <c r="B120" i="3" s="1"/>
  <c r="D120" i="3" s="1"/>
  <c r="K120" i="3" s="1"/>
  <c r="A121" i="3"/>
  <c r="A122" i="3"/>
  <c r="A123" i="3"/>
  <c r="B123" i="3" s="1"/>
  <c r="D123" i="3" s="1"/>
  <c r="K123" i="3" s="1"/>
  <c r="A124" i="3"/>
  <c r="B124" i="3" s="1"/>
  <c r="D124" i="3" s="1"/>
  <c r="K124" i="3" s="1"/>
  <c r="A125" i="3"/>
  <c r="B125" i="3" s="1"/>
  <c r="D125" i="3" s="1"/>
  <c r="K125" i="3" s="1"/>
  <c r="A126" i="3"/>
  <c r="A127" i="3"/>
  <c r="B127" i="3" s="1"/>
  <c r="D127" i="3" s="1"/>
  <c r="K127" i="3" s="1"/>
  <c r="A128" i="3"/>
  <c r="B128" i="3" s="1"/>
  <c r="D128" i="3" s="1"/>
  <c r="K128" i="3" s="1"/>
  <c r="A129" i="3"/>
  <c r="B129" i="3" s="1"/>
  <c r="A130" i="3"/>
  <c r="B130" i="3" s="1"/>
  <c r="D130" i="3" s="1"/>
  <c r="K130" i="3" s="1"/>
  <c r="A131" i="3"/>
  <c r="B131" i="3" s="1"/>
  <c r="A132" i="3"/>
  <c r="B132" i="3" s="1"/>
  <c r="D132" i="3" s="1"/>
  <c r="K132" i="3" s="1"/>
  <c r="A133" i="3"/>
  <c r="B133" i="3" s="1"/>
  <c r="D133" i="3" s="1"/>
  <c r="K133" i="3" s="1"/>
  <c r="A134" i="3"/>
  <c r="B134" i="3" s="1"/>
  <c r="A135" i="3"/>
  <c r="B135" i="3" s="1"/>
  <c r="D135" i="3" s="1"/>
  <c r="K135" i="3" s="1"/>
  <c r="A136" i="3"/>
  <c r="B136" i="3" s="1"/>
  <c r="A137" i="3"/>
  <c r="B137" i="3" s="1"/>
  <c r="A138" i="3"/>
  <c r="B138" i="3" s="1"/>
  <c r="D138" i="3" s="1"/>
  <c r="K138" i="3" s="1"/>
  <c r="A139" i="3"/>
  <c r="B139" i="3" s="1"/>
  <c r="D139" i="3" s="1"/>
  <c r="K139" i="3" s="1"/>
  <c r="A140" i="3"/>
  <c r="B140" i="3" s="1"/>
  <c r="D140" i="3" s="1"/>
  <c r="K140" i="3" s="1"/>
  <c r="A141" i="3"/>
  <c r="B141" i="3" s="1"/>
  <c r="A142" i="3"/>
  <c r="B142" i="3" s="1"/>
  <c r="A143" i="3"/>
  <c r="B143" i="3" s="1"/>
  <c r="A144" i="3"/>
  <c r="B144" i="3" s="1"/>
  <c r="D144" i="3" s="1"/>
  <c r="K144" i="3" s="1"/>
  <c r="A145" i="3"/>
  <c r="B145" i="3" s="1"/>
  <c r="A146" i="3"/>
  <c r="B146" i="3" s="1"/>
  <c r="A147" i="3"/>
  <c r="A148" i="3"/>
  <c r="B148" i="3" s="1"/>
  <c r="A149" i="3"/>
  <c r="B149" i="3" s="1"/>
  <c r="D149" i="3" s="1"/>
  <c r="K149" i="3" s="1"/>
  <c r="A150" i="3"/>
  <c r="B150" i="3" s="1"/>
  <c r="D150" i="3" s="1"/>
  <c r="K150" i="3" s="1"/>
  <c r="A151" i="3"/>
  <c r="B151" i="3" s="1"/>
  <c r="D151" i="3" s="1"/>
  <c r="K151" i="3" s="1"/>
  <c r="A152" i="3"/>
  <c r="B152" i="3" s="1"/>
  <c r="D152" i="3" s="1"/>
  <c r="K152" i="3" s="1"/>
  <c r="A153" i="3"/>
  <c r="B153" i="3" s="1"/>
  <c r="D153" i="3" s="1"/>
  <c r="K153" i="3" s="1"/>
  <c r="A154" i="3"/>
  <c r="B154" i="3" s="1"/>
  <c r="A155" i="3"/>
  <c r="B155" i="3" s="1"/>
  <c r="A156" i="3"/>
  <c r="B156" i="3" s="1"/>
  <c r="A157" i="3"/>
  <c r="A158" i="3"/>
  <c r="A159" i="3"/>
  <c r="B159" i="3" s="1"/>
  <c r="A160" i="3"/>
  <c r="B160" i="3" s="1"/>
  <c r="D160" i="3" s="1"/>
  <c r="K160" i="3" s="1"/>
  <c r="A161" i="3"/>
  <c r="B161" i="3" s="1"/>
  <c r="D161" i="3" s="1"/>
  <c r="K161" i="3" s="1"/>
  <c r="A162" i="3"/>
  <c r="B162" i="3" s="1"/>
  <c r="D162" i="3" s="1"/>
  <c r="K162" i="3" s="1"/>
  <c r="A163" i="3"/>
  <c r="B163" i="3" s="1"/>
  <c r="D163" i="3" s="1"/>
  <c r="K163" i="3" s="1"/>
  <c r="A164" i="3"/>
  <c r="B164" i="3" s="1"/>
  <c r="D164" i="3" s="1"/>
  <c r="K164" i="3" s="1"/>
  <c r="A165" i="3"/>
  <c r="B165" i="3" s="1"/>
  <c r="A166" i="3"/>
  <c r="B166" i="3" s="1"/>
  <c r="D166" i="3" s="1"/>
  <c r="K166" i="3" s="1"/>
  <c r="A167" i="3"/>
  <c r="B167" i="3" s="1"/>
  <c r="D167" i="3" s="1"/>
  <c r="K167" i="3" s="1"/>
  <c r="A168" i="3"/>
  <c r="B168" i="3" s="1"/>
  <c r="A169" i="3"/>
  <c r="B169" i="3" s="1"/>
  <c r="A170" i="3"/>
  <c r="A171" i="3"/>
  <c r="B171" i="3" s="1"/>
  <c r="A172" i="3"/>
  <c r="B172" i="3" s="1"/>
  <c r="A173" i="3"/>
  <c r="B173" i="3" s="1"/>
  <c r="A174" i="3"/>
  <c r="B174" i="3" s="1"/>
  <c r="D174" i="3" s="1"/>
  <c r="K174" i="3" s="1"/>
  <c r="A175" i="3"/>
  <c r="A176" i="3"/>
  <c r="B176" i="3" s="1"/>
  <c r="D176" i="3" s="1"/>
  <c r="K176" i="3" s="1"/>
  <c r="A177" i="3"/>
  <c r="B177" i="3" s="1"/>
  <c r="D177" i="3" s="1"/>
  <c r="K177" i="3" s="1"/>
  <c r="A178" i="3"/>
  <c r="B178" i="3" s="1"/>
  <c r="A179" i="3"/>
  <c r="B179" i="3" s="1"/>
  <c r="D179" i="3" s="1"/>
  <c r="K179" i="3" s="1"/>
  <c r="A180" i="3"/>
  <c r="B180" i="3" s="1"/>
  <c r="A181" i="3"/>
  <c r="B181" i="3" s="1"/>
  <c r="D181" i="3" s="1"/>
  <c r="K181" i="3" s="1"/>
  <c r="A182" i="3"/>
  <c r="B182" i="3" s="1"/>
  <c r="A183" i="3"/>
  <c r="B183" i="3" s="1"/>
  <c r="A184" i="3"/>
  <c r="A185" i="3"/>
  <c r="B185" i="3" s="1"/>
  <c r="D185" i="3" s="1"/>
  <c r="K185" i="3" s="1"/>
  <c r="A186" i="3"/>
  <c r="B186" i="3" s="1"/>
  <c r="D186" i="3" s="1"/>
  <c r="K186" i="3" s="1"/>
  <c r="A187" i="3"/>
  <c r="B187" i="3" s="1"/>
  <c r="A188" i="3"/>
  <c r="B188" i="3" s="1"/>
  <c r="D188" i="3" s="1"/>
  <c r="K188" i="3" s="1"/>
  <c r="A189" i="3"/>
  <c r="B189" i="3" s="1"/>
  <c r="D189" i="3" s="1"/>
  <c r="K189" i="3" s="1"/>
  <c r="A190" i="3"/>
  <c r="B190" i="3" s="1"/>
  <c r="A191" i="3"/>
  <c r="B191" i="3" s="1"/>
  <c r="A192" i="3"/>
  <c r="B192" i="3" s="1"/>
  <c r="D192" i="3" s="1"/>
  <c r="K192" i="3" s="1"/>
  <c r="A193" i="3"/>
  <c r="B193" i="3" s="1"/>
  <c r="D193" i="3" s="1"/>
  <c r="K193" i="3" s="1"/>
  <c r="A194" i="3"/>
  <c r="B194" i="3" s="1"/>
  <c r="D194" i="3" s="1"/>
  <c r="K194" i="3" s="1"/>
  <c r="A195" i="3"/>
  <c r="B195" i="3" s="1"/>
  <c r="D195" i="3" s="1"/>
  <c r="K195" i="3" s="1"/>
  <c r="A196" i="3"/>
  <c r="B196" i="3" s="1"/>
  <c r="D196" i="3" s="1"/>
  <c r="K196" i="3" s="1"/>
  <c r="A197" i="3"/>
  <c r="B197" i="3" s="1"/>
  <c r="D197" i="3" s="1"/>
  <c r="K197" i="3" s="1"/>
  <c r="A198" i="3"/>
  <c r="B198" i="3" s="1"/>
  <c r="A199" i="3"/>
  <c r="B199" i="3" s="1"/>
  <c r="D199" i="3" s="1"/>
  <c r="K199" i="3" s="1"/>
  <c r="A200" i="3"/>
  <c r="B200" i="3" s="1"/>
  <c r="A201" i="3"/>
  <c r="B201" i="3" s="1"/>
  <c r="D201" i="3" s="1"/>
  <c r="K201" i="3" s="1"/>
  <c r="A202" i="3"/>
  <c r="B202" i="3" s="1"/>
  <c r="D202" i="3" s="1"/>
  <c r="K202" i="3" s="1"/>
  <c r="A203" i="3"/>
  <c r="B203" i="3" s="1"/>
  <c r="A204" i="3"/>
  <c r="B204" i="3" s="1"/>
  <c r="A205" i="3"/>
  <c r="B205" i="3" s="1"/>
  <c r="A206" i="3"/>
  <c r="B206" i="3" s="1"/>
  <c r="D206" i="3" s="1"/>
  <c r="K206" i="3" s="1"/>
  <c r="A207" i="3"/>
  <c r="B207" i="3" s="1"/>
  <c r="A208" i="3"/>
  <c r="B208" i="3" s="1"/>
  <c r="D208" i="3" s="1"/>
  <c r="K208" i="3" s="1"/>
  <c r="A209" i="3"/>
  <c r="B209" i="3" s="1"/>
  <c r="D209" i="3" s="1"/>
  <c r="K209" i="3" s="1"/>
  <c r="A210" i="3"/>
  <c r="B210" i="3" s="1"/>
  <c r="A211" i="3"/>
  <c r="B211" i="3" s="1"/>
  <c r="D211" i="3" s="1"/>
  <c r="K211" i="3" s="1"/>
  <c r="A212" i="3"/>
  <c r="B212" i="3" s="1"/>
  <c r="D212" i="3" s="1"/>
  <c r="K212" i="3" s="1"/>
  <c r="A213" i="3"/>
  <c r="B213" i="3" s="1"/>
  <c r="D213" i="3" s="1"/>
  <c r="K213" i="3" s="1"/>
  <c r="A214" i="3"/>
  <c r="B214" i="3" s="1"/>
  <c r="A215" i="3"/>
  <c r="B215" i="3" s="1"/>
  <c r="A216" i="3"/>
  <c r="B216" i="3" s="1"/>
  <c r="D216" i="3" s="1"/>
  <c r="K216" i="3" s="1"/>
  <c r="A217" i="3"/>
  <c r="B217" i="3" s="1"/>
  <c r="A218" i="3"/>
  <c r="B218" i="3" s="1"/>
  <c r="D218" i="3" s="1"/>
  <c r="K218" i="3" s="1"/>
  <c r="A219" i="3"/>
  <c r="B219" i="3" s="1"/>
  <c r="A220" i="3"/>
  <c r="B220" i="3" s="1"/>
  <c r="A221" i="3"/>
  <c r="B221" i="3" s="1"/>
  <c r="D221" i="3" s="1"/>
  <c r="K221" i="3" s="1"/>
  <c r="A222" i="3"/>
  <c r="B222" i="3" s="1"/>
  <c r="D222" i="3" s="1"/>
  <c r="K222" i="3" s="1"/>
  <c r="A223" i="3"/>
  <c r="B223" i="3" s="1"/>
  <c r="A224" i="3"/>
  <c r="B224" i="3" s="1"/>
  <c r="D224" i="3" s="1"/>
  <c r="K224" i="3" s="1"/>
  <c r="A225" i="3"/>
  <c r="B225" i="3" s="1"/>
  <c r="A226" i="3"/>
  <c r="B226" i="3" s="1"/>
  <c r="A227" i="3"/>
  <c r="B227" i="3" s="1"/>
  <c r="D227" i="3" s="1"/>
  <c r="K227" i="3" s="1"/>
  <c r="A228" i="3"/>
  <c r="B228" i="3" s="1"/>
  <c r="A229" i="3"/>
  <c r="B229" i="3" s="1"/>
  <c r="A230" i="3"/>
  <c r="B230" i="3" s="1"/>
  <c r="D230" i="3" s="1"/>
  <c r="K230" i="3" s="1"/>
  <c r="A231" i="3"/>
  <c r="B231" i="3" s="1"/>
  <c r="A232" i="3"/>
  <c r="B232" i="3" s="1"/>
  <c r="D232" i="3" s="1"/>
  <c r="K232" i="3" s="1"/>
  <c r="A233" i="3"/>
  <c r="B233" i="3" s="1"/>
  <c r="A234" i="3"/>
  <c r="B234" i="3" s="1"/>
  <c r="D234" i="3" s="1"/>
  <c r="K234" i="3" s="1"/>
  <c r="A235" i="3"/>
  <c r="B235" i="3" s="1"/>
  <c r="A236" i="3"/>
  <c r="B236" i="3" s="1"/>
  <c r="D236" i="3" s="1"/>
  <c r="K236" i="3" s="1"/>
  <c r="A237" i="3"/>
  <c r="B237" i="3" s="1"/>
  <c r="A238" i="3"/>
  <c r="B238" i="3" s="1"/>
  <c r="A239" i="3"/>
  <c r="B239" i="3" s="1"/>
  <c r="A240" i="3"/>
  <c r="B240" i="3" s="1"/>
  <c r="A241" i="3"/>
  <c r="B241" i="3" s="1"/>
  <c r="D241" i="3" s="1"/>
  <c r="K241" i="3" s="1"/>
  <c r="A242" i="3"/>
  <c r="B242" i="3" s="1"/>
  <c r="D242" i="3" s="1"/>
  <c r="K242" i="3" s="1"/>
  <c r="A243" i="3"/>
  <c r="A244" i="3"/>
  <c r="B244" i="3" s="1"/>
  <c r="A245" i="3"/>
  <c r="B245" i="3" s="1"/>
  <c r="A246" i="3"/>
  <c r="B246" i="3" s="1"/>
  <c r="A247" i="3"/>
  <c r="B247" i="3" s="1"/>
  <c r="D247" i="3" s="1"/>
  <c r="K247" i="3" s="1"/>
  <c r="A248" i="3"/>
  <c r="B248" i="3" s="1"/>
  <c r="A249" i="3"/>
  <c r="B249" i="3" s="1"/>
  <c r="A250" i="3"/>
  <c r="B250" i="3" s="1"/>
  <c r="D250" i="3" s="1"/>
  <c r="K250" i="3" s="1"/>
  <c r="A251" i="3"/>
  <c r="B251" i="3" s="1"/>
  <c r="A252" i="3"/>
  <c r="B252" i="3" s="1"/>
  <c r="A503" i="3"/>
  <c r="B503" i="3" s="1"/>
  <c r="D503" i="3" s="1"/>
  <c r="K503" i="3" s="1"/>
  <c r="B3" i="2"/>
  <c r="B4" i="2" s="1"/>
  <c r="B5" i="2" s="1"/>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102" i="2"/>
  <c r="E32" i="1"/>
  <c r="E33" i="1"/>
  <c r="B453" i="3"/>
  <c r="D453" i="3" s="1"/>
  <c r="K453" i="3" s="1"/>
  <c r="D29" i="5" l="1"/>
  <c r="D25" i="5"/>
  <c r="D21" i="5"/>
  <c r="D17" i="5"/>
  <c r="D13" i="5"/>
  <c r="D9" i="5"/>
  <c r="D5" i="5"/>
  <c r="Q394" i="3"/>
  <c r="X430" i="3"/>
  <c r="X442" i="3"/>
  <c r="Y442" i="3"/>
  <c r="H201" i="3"/>
  <c r="J201" i="3"/>
  <c r="R177" i="3"/>
  <c r="J177" i="3"/>
  <c r="O69" i="3"/>
  <c r="J69" i="3"/>
  <c r="G290" i="3"/>
  <c r="J290" i="3"/>
  <c r="H350" i="3"/>
  <c r="J350" i="3"/>
  <c r="P374" i="3"/>
  <c r="J374" i="3"/>
  <c r="H434" i="3"/>
  <c r="J434" i="3"/>
  <c r="Q446" i="3"/>
  <c r="J446" i="3"/>
  <c r="H224" i="3"/>
  <c r="J224" i="3"/>
  <c r="H188" i="3"/>
  <c r="J188" i="3"/>
  <c r="J176" i="3"/>
  <c r="H140" i="3"/>
  <c r="J140" i="3"/>
  <c r="O128" i="3"/>
  <c r="J128" i="3"/>
  <c r="T92" i="3"/>
  <c r="J92" i="3"/>
  <c r="O56" i="3"/>
  <c r="J56" i="3"/>
  <c r="L279" i="3"/>
  <c r="J279" i="3"/>
  <c r="I303" i="3"/>
  <c r="J303" i="3"/>
  <c r="X423" i="3"/>
  <c r="J423" i="3"/>
  <c r="H447" i="3"/>
  <c r="J447" i="3"/>
  <c r="W459" i="3"/>
  <c r="J459" i="3"/>
  <c r="H247" i="3"/>
  <c r="J247" i="3"/>
  <c r="I199" i="3"/>
  <c r="J199" i="3"/>
  <c r="X163" i="3"/>
  <c r="J163" i="3"/>
  <c r="P139" i="3"/>
  <c r="J139" i="3"/>
  <c r="I115" i="3"/>
  <c r="J115" i="3"/>
  <c r="H55" i="3"/>
  <c r="J55" i="3"/>
  <c r="H43" i="3"/>
  <c r="J43" i="3"/>
  <c r="H256" i="3"/>
  <c r="J256" i="3"/>
  <c r="F280" i="3"/>
  <c r="J280" i="3"/>
  <c r="S340" i="3"/>
  <c r="J340" i="3"/>
  <c r="H364" i="3"/>
  <c r="J364" i="3"/>
  <c r="O436" i="3"/>
  <c r="J436" i="3"/>
  <c r="H448" i="3"/>
  <c r="J448" i="3"/>
  <c r="X484" i="3"/>
  <c r="J484" i="3"/>
  <c r="W234" i="3"/>
  <c r="J234" i="3"/>
  <c r="H222" i="3"/>
  <c r="J222" i="3"/>
  <c r="H186" i="3"/>
  <c r="J186" i="3"/>
  <c r="R174" i="3"/>
  <c r="J174" i="3"/>
  <c r="H138" i="3"/>
  <c r="J138" i="3"/>
  <c r="L78" i="3"/>
  <c r="J78" i="3"/>
  <c r="F54" i="3"/>
  <c r="J54" i="3"/>
  <c r="H42" i="3"/>
  <c r="J42" i="3"/>
  <c r="H281" i="3"/>
  <c r="J281" i="3"/>
  <c r="N305" i="3"/>
  <c r="J305" i="3"/>
  <c r="H425" i="3"/>
  <c r="J425" i="3"/>
  <c r="U197" i="3"/>
  <c r="J197" i="3"/>
  <c r="T185" i="3"/>
  <c r="J185" i="3"/>
  <c r="M149" i="3"/>
  <c r="J149" i="3"/>
  <c r="H125" i="3"/>
  <c r="J125" i="3"/>
  <c r="X77" i="3"/>
  <c r="J77" i="3"/>
  <c r="H41" i="3"/>
  <c r="J41" i="3"/>
  <c r="H282" i="3"/>
  <c r="J282" i="3"/>
  <c r="H318" i="3"/>
  <c r="J318" i="3"/>
  <c r="U402" i="3"/>
  <c r="J402" i="3"/>
  <c r="H450" i="3"/>
  <c r="J450" i="3"/>
  <c r="S498" i="3"/>
  <c r="J498" i="3"/>
  <c r="T208" i="3"/>
  <c r="J208" i="3"/>
  <c r="S76" i="3"/>
  <c r="J76" i="3"/>
  <c r="H52" i="3"/>
  <c r="J52" i="3"/>
  <c r="J283" i="3"/>
  <c r="J343" i="3"/>
  <c r="P391" i="3"/>
  <c r="J391" i="3"/>
  <c r="Y463" i="3"/>
  <c r="J463" i="3"/>
  <c r="R135" i="3"/>
  <c r="J135" i="3"/>
  <c r="H111" i="3"/>
  <c r="J111" i="3"/>
  <c r="W63" i="3"/>
  <c r="J63" i="3"/>
  <c r="J51" i="3"/>
  <c r="E27" i="3"/>
  <c r="J27" i="3"/>
  <c r="I308" i="3"/>
  <c r="J308" i="3"/>
  <c r="X356" i="3"/>
  <c r="J356" i="3"/>
  <c r="H416" i="3"/>
  <c r="J416" i="3"/>
  <c r="H230" i="3"/>
  <c r="J230" i="3"/>
  <c r="H206" i="3"/>
  <c r="J206" i="3"/>
  <c r="R110" i="3"/>
  <c r="J110" i="3"/>
  <c r="H74" i="3"/>
  <c r="J74" i="3"/>
  <c r="L62" i="3"/>
  <c r="J62" i="3"/>
  <c r="L345" i="3"/>
  <c r="J345" i="3"/>
  <c r="F393" i="3"/>
  <c r="J393" i="3"/>
  <c r="H417" i="3"/>
  <c r="J417" i="3"/>
  <c r="E241" i="3"/>
  <c r="J241" i="3"/>
  <c r="Z193" i="3"/>
  <c r="J193" i="3"/>
  <c r="H97" i="3"/>
  <c r="J97" i="3"/>
  <c r="I85" i="3"/>
  <c r="J85" i="3"/>
  <c r="J61" i="3"/>
  <c r="H49" i="3"/>
  <c r="J49" i="3"/>
  <c r="Y37" i="3"/>
  <c r="J37" i="3"/>
  <c r="Z310" i="3"/>
  <c r="J310" i="3"/>
  <c r="T418" i="3"/>
  <c r="J418" i="3"/>
  <c r="Z216" i="3"/>
  <c r="J216" i="3"/>
  <c r="Q192" i="3"/>
  <c r="J192" i="3"/>
  <c r="Q144" i="3"/>
  <c r="J144" i="3"/>
  <c r="Q132" i="3"/>
  <c r="J132" i="3"/>
  <c r="S120" i="3"/>
  <c r="J120" i="3"/>
  <c r="L108" i="3"/>
  <c r="J108" i="3"/>
  <c r="H72" i="3"/>
  <c r="J72" i="3"/>
  <c r="H60" i="3"/>
  <c r="J60" i="3"/>
  <c r="Y36" i="3"/>
  <c r="J36" i="3"/>
  <c r="W275" i="3"/>
  <c r="J275" i="3"/>
  <c r="X311" i="3"/>
  <c r="J311" i="3"/>
  <c r="O335" i="3"/>
  <c r="J335" i="3"/>
  <c r="U347" i="3"/>
  <c r="J347" i="3"/>
  <c r="H359" i="3"/>
  <c r="J359" i="3"/>
  <c r="H383" i="3"/>
  <c r="J383" i="3"/>
  <c r="R395" i="3"/>
  <c r="J395" i="3"/>
  <c r="O467" i="3"/>
  <c r="J467" i="3"/>
  <c r="N491" i="3"/>
  <c r="J491" i="3"/>
  <c r="T189" i="3"/>
  <c r="J189" i="3"/>
  <c r="H45" i="3"/>
  <c r="J45" i="3"/>
  <c r="H302" i="3"/>
  <c r="J302" i="3"/>
  <c r="P398" i="3"/>
  <c r="J398" i="3"/>
  <c r="S212" i="3"/>
  <c r="J212" i="3"/>
  <c r="H164" i="3"/>
  <c r="J164" i="3"/>
  <c r="S44" i="3"/>
  <c r="J44" i="3"/>
  <c r="H267" i="3"/>
  <c r="J267" i="3"/>
  <c r="M471" i="3"/>
  <c r="J471" i="3"/>
  <c r="P211" i="3"/>
  <c r="J211" i="3"/>
  <c r="H151" i="3"/>
  <c r="J151" i="3"/>
  <c r="E268" i="3"/>
  <c r="J268" i="3"/>
  <c r="N376" i="3"/>
  <c r="J376" i="3"/>
  <c r="H496" i="3"/>
  <c r="J496" i="3"/>
  <c r="U150" i="3"/>
  <c r="J150" i="3"/>
  <c r="H66" i="3"/>
  <c r="J66" i="3"/>
  <c r="U293" i="3"/>
  <c r="J293" i="3"/>
  <c r="P377" i="3"/>
  <c r="J377" i="3"/>
  <c r="G221" i="3"/>
  <c r="J221" i="3"/>
  <c r="H161" i="3"/>
  <c r="J161" i="3"/>
  <c r="H113" i="3"/>
  <c r="J113" i="3"/>
  <c r="N53" i="3"/>
  <c r="J53" i="3"/>
  <c r="H258" i="3"/>
  <c r="J258" i="3"/>
  <c r="Y366" i="3"/>
  <c r="J366" i="3"/>
  <c r="H196" i="3"/>
  <c r="J196" i="3"/>
  <c r="R124" i="3"/>
  <c r="J124" i="3"/>
  <c r="Q271" i="3"/>
  <c r="J271" i="3"/>
  <c r="H99" i="3"/>
  <c r="J99" i="3"/>
  <c r="E39" i="3"/>
  <c r="J39" i="3"/>
  <c r="H296" i="3"/>
  <c r="J296" i="3"/>
  <c r="W380" i="3"/>
  <c r="J380" i="3"/>
  <c r="I452" i="3"/>
  <c r="J452" i="3"/>
  <c r="H218" i="3"/>
  <c r="J218" i="3"/>
  <c r="H86" i="3"/>
  <c r="J86" i="3"/>
  <c r="N50" i="3"/>
  <c r="J50" i="3"/>
  <c r="Z405" i="3"/>
  <c r="J405" i="3"/>
  <c r="T503" i="3"/>
  <c r="J503" i="3"/>
  <c r="E346" i="3"/>
  <c r="J346" i="3"/>
  <c r="H442" i="3"/>
  <c r="J442" i="3"/>
  <c r="Y490" i="3"/>
  <c r="J490" i="3"/>
  <c r="H227" i="3"/>
  <c r="J227" i="3"/>
  <c r="W179" i="3"/>
  <c r="J179" i="3"/>
  <c r="R167" i="3"/>
  <c r="J167" i="3"/>
  <c r="H83" i="3"/>
  <c r="J83" i="3"/>
  <c r="W35" i="3"/>
  <c r="J35" i="3"/>
  <c r="E23" i="3"/>
  <c r="J23" i="3"/>
  <c r="F348" i="3"/>
  <c r="J348" i="3"/>
  <c r="H360" i="3"/>
  <c r="J360" i="3"/>
  <c r="H420" i="3"/>
  <c r="J420" i="3"/>
  <c r="G444" i="3"/>
  <c r="J444" i="3"/>
  <c r="N456" i="3"/>
  <c r="J456" i="3"/>
  <c r="J468" i="3"/>
  <c r="O492" i="3"/>
  <c r="J492" i="3"/>
  <c r="E213" i="3"/>
  <c r="J213" i="3"/>
  <c r="T153" i="3"/>
  <c r="J153" i="3"/>
  <c r="P93" i="3"/>
  <c r="J93" i="3"/>
  <c r="H254" i="3"/>
  <c r="J254" i="3"/>
  <c r="P470" i="3"/>
  <c r="J470" i="3"/>
  <c r="N236" i="3"/>
  <c r="J236" i="3"/>
  <c r="H152" i="3"/>
  <c r="J152" i="3"/>
  <c r="H80" i="3"/>
  <c r="J80" i="3"/>
  <c r="N399" i="3"/>
  <c r="J399" i="3"/>
  <c r="R483" i="3"/>
  <c r="J483" i="3"/>
  <c r="M127" i="3"/>
  <c r="J127" i="3"/>
  <c r="Q31" i="3"/>
  <c r="J31" i="3"/>
  <c r="S292" i="3"/>
  <c r="J292" i="3"/>
  <c r="H352" i="3"/>
  <c r="J352" i="3"/>
  <c r="N472" i="3"/>
  <c r="J472" i="3"/>
  <c r="H162" i="3"/>
  <c r="J162" i="3"/>
  <c r="P30" i="3"/>
  <c r="J30" i="3"/>
  <c r="H329" i="3"/>
  <c r="J329" i="3"/>
  <c r="N497" i="3"/>
  <c r="J497" i="3"/>
  <c r="R209" i="3"/>
  <c r="J209" i="3"/>
  <c r="H29" i="3"/>
  <c r="J29" i="3"/>
  <c r="H270" i="3"/>
  <c r="J270" i="3"/>
  <c r="P378" i="3"/>
  <c r="J378" i="3"/>
  <c r="H486" i="3"/>
  <c r="J486" i="3"/>
  <c r="H232" i="3"/>
  <c r="J232" i="3"/>
  <c r="T160" i="3"/>
  <c r="J160" i="3"/>
  <c r="G88" i="3"/>
  <c r="J88" i="3"/>
  <c r="P28" i="3"/>
  <c r="J28" i="3"/>
  <c r="S379" i="3"/>
  <c r="J379" i="3"/>
  <c r="J487" i="3"/>
  <c r="H195" i="3"/>
  <c r="J195" i="3"/>
  <c r="R123" i="3"/>
  <c r="J123" i="3"/>
  <c r="H75" i="3"/>
  <c r="J75" i="3"/>
  <c r="I368" i="3"/>
  <c r="J368" i="3"/>
  <c r="H453" i="3"/>
  <c r="J453" i="3"/>
  <c r="F242" i="3"/>
  <c r="J242" i="3"/>
  <c r="H194" i="3"/>
  <c r="J194" i="3"/>
  <c r="L98" i="3"/>
  <c r="J98" i="3"/>
  <c r="H369" i="3"/>
  <c r="J369" i="3"/>
  <c r="N429" i="3"/>
  <c r="J429" i="3"/>
  <c r="X181" i="3"/>
  <c r="J181" i="3"/>
  <c r="Y133" i="3"/>
  <c r="J133" i="3"/>
  <c r="M358" i="3"/>
  <c r="J358" i="3"/>
  <c r="T394" i="3"/>
  <c r="J394" i="3"/>
  <c r="H430" i="3"/>
  <c r="J430" i="3"/>
  <c r="L502" i="3"/>
  <c r="J502" i="3"/>
  <c r="Y250" i="3"/>
  <c r="J250" i="3"/>
  <c r="H202" i="3"/>
  <c r="J202" i="3"/>
  <c r="J166" i="3"/>
  <c r="F130" i="3"/>
  <c r="J130" i="3"/>
  <c r="E82" i="3"/>
  <c r="J82" i="3"/>
  <c r="O58" i="3"/>
  <c r="J58" i="3"/>
  <c r="W46" i="3"/>
  <c r="J46" i="3"/>
  <c r="M253" i="3"/>
  <c r="J253" i="3"/>
  <c r="H265" i="3"/>
  <c r="J265" i="3"/>
  <c r="H313" i="3"/>
  <c r="J313" i="3"/>
  <c r="H325" i="3"/>
  <c r="J325" i="3"/>
  <c r="Z349" i="3"/>
  <c r="J349" i="3"/>
  <c r="H409" i="3"/>
  <c r="J409" i="3"/>
  <c r="F421" i="3"/>
  <c r="J421" i="3"/>
  <c r="Z433" i="3"/>
  <c r="J433" i="3"/>
  <c r="J445" i="3"/>
  <c r="L481" i="3"/>
  <c r="J481" i="3"/>
  <c r="D6" i="3"/>
  <c r="E6" i="3" s="1"/>
  <c r="M430" i="3"/>
  <c r="M418" i="3"/>
  <c r="O418" i="3"/>
  <c r="N442" i="3"/>
  <c r="L442" i="3"/>
  <c r="M310" i="3"/>
  <c r="W310" i="3"/>
  <c r="U310" i="3"/>
  <c r="E310" i="3"/>
  <c r="X310" i="3"/>
  <c r="F310" i="3"/>
  <c r="O442" i="3"/>
  <c r="D5" i="3"/>
  <c r="K5" i="3" s="1"/>
  <c r="P394" i="3"/>
  <c r="G430" i="3"/>
  <c r="M394" i="3"/>
  <c r="P418" i="3"/>
  <c r="E418" i="3"/>
  <c r="R394" i="3"/>
  <c r="T110" i="3"/>
  <c r="W394" i="3"/>
  <c r="Z430" i="3"/>
  <c r="U394" i="3"/>
  <c r="N394" i="3"/>
  <c r="X394" i="3"/>
  <c r="I430" i="3"/>
  <c r="W442" i="3"/>
  <c r="Y310" i="3"/>
  <c r="B6" i="2"/>
  <c r="B7" i="2" s="1"/>
  <c r="D22" i="3" s="1"/>
  <c r="E253" i="3"/>
  <c r="M497" i="3"/>
  <c r="D28" i="5"/>
  <c r="D24" i="5"/>
  <c r="D20" i="5"/>
  <c r="D16" i="5"/>
  <c r="D12" i="5"/>
  <c r="D8" i="5"/>
  <c r="L430" i="3"/>
  <c r="G442" i="3"/>
  <c r="P310" i="3"/>
  <c r="I258" i="3"/>
  <c r="D27" i="5"/>
  <c r="D23" i="5"/>
  <c r="D15" i="5"/>
  <c r="D7" i="5"/>
  <c r="X346" i="3"/>
  <c r="D19" i="5"/>
  <c r="D11" i="5"/>
  <c r="T430" i="3"/>
  <c r="P442" i="3"/>
  <c r="U430" i="3"/>
  <c r="I346" i="3"/>
  <c r="Z442" i="3"/>
  <c r="D30" i="5"/>
  <c r="D26" i="5"/>
  <c r="D22" i="5"/>
  <c r="D18" i="5"/>
  <c r="D14" i="5"/>
  <c r="D10" i="5"/>
  <c r="D6" i="5"/>
  <c r="X258" i="3"/>
  <c r="E293" i="3"/>
  <c r="G293" i="3"/>
  <c r="N293" i="3"/>
  <c r="G497" i="3"/>
  <c r="T497" i="3"/>
  <c r="Q270" i="3"/>
  <c r="I497" i="3"/>
  <c r="T270" i="3"/>
  <c r="Z293" i="3"/>
  <c r="S497" i="3"/>
  <c r="W497" i="3"/>
  <c r="M270" i="3"/>
  <c r="Z270" i="3"/>
  <c r="Y318" i="3"/>
  <c r="M318" i="3"/>
  <c r="X293" i="3"/>
  <c r="P53" i="3"/>
  <c r="Q293" i="3"/>
  <c r="I293" i="3"/>
  <c r="L497" i="3"/>
  <c r="X497" i="3"/>
  <c r="E377" i="3"/>
  <c r="Q281" i="3"/>
  <c r="E497" i="3"/>
  <c r="S378" i="3"/>
  <c r="T377" i="3"/>
  <c r="U281" i="3"/>
  <c r="R293" i="3"/>
  <c r="F497" i="3"/>
  <c r="Y293" i="3"/>
  <c r="S425" i="3"/>
  <c r="U497" i="3"/>
  <c r="L221" i="3"/>
  <c r="Y329" i="3"/>
  <c r="W293" i="3"/>
  <c r="Q497" i="3"/>
  <c r="T293" i="3"/>
  <c r="R497" i="3"/>
  <c r="X378" i="3"/>
  <c r="Y270" i="3"/>
  <c r="P130" i="3"/>
  <c r="O281" i="3"/>
  <c r="M293" i="3"/>
  <c r="O293" i="3"/>
  <c r="L110" i="3"/>
  <c r="Z110" i="3"/>
  <c r="N405" i="3"/>
  <c r="G253" i="3"/>
  <c r="X110" i="3"/>
  <c r="E393" i="3"/>
  <c r="O110" i="3"/>
  <c r="T74" i="3"/>
  <c r="W62" i="3"/>
  <c r="G393" i="3"/>
  <c r="Y421" i="3"/>
  <c r="Q310" i="3"/>
  <c r="N62" i="3"/>
  <c r="Y393" i="3"/>
  <c r="W393" i="3"/>
  <c r="P110" i="3"/>
  <c r="N30" i="3"/>
  <c r="W421" i="3"/>
  <c r="O421" i="3"/>
  <c r="Q253" i="3"/>
  <c r="U30" i="3"/>
  <c r="Z130" i="3"/>
  <c r="T130" i="3"/>
  <c r="P185" i="3"/>
  <c r="G53" i="3"/>
  <c r="T125" i="3"/>
  <c r="O378" i="3"/>
  <c r="P270" i="3"/>
  <c r="E270" i="3"/>
  <c r="L77" i="3"/>
  <c r="S258" i="3"/>
  <c r="X53" i="3"/>
  <c r="Z53" i="3"/>
  <c r="I378" i="3"/>
  <c r="R270" i="3"/>
  <c r="I270" i="3"/>
  <c r="E77" i="3"/>
  <c r="I53" i="3"/>
  <c r="Q318" i="3"/>
  <c r="M53" i="3"/>
  <c r="Z450" i="3"/>
  <c r="O270" i="3"/>
  <c r="W53" i="3"/>
  <c r="F53" i="3"/>
  <c r="S270" i="3"/>
  <c r="L270" i="3"/>
  <c r="L53" i="3"/>
  <c r="Q221" i="3"/>
  <c r="I125" i="3"/>
  <c r="R450" i="3"/>
  <c r="W221" i="3"/>
  <c r="X270" i="3"/>
  <c r="F125" i="3"/>
  <c r="R53" i="3"/>
  <c r="F270" i="3"/>
  <c r="F258" i="3"/>
  <c r="Y53" i="3"/>
  <c r="N270" i="3"/>
  <c r="H483" i="3"/>
  <c r="Z221" i="3"/>
  <c r="W258" i="3"/>
  <c r="Q53" i="3"/>
  <c r="F378" i="3"/>
  <c r="G270" i="3"/>
  <c r="T258" i="3"/>
  <c r="I66" i="3"/>
  <c r="T53" i="3"/>
  <c r="H471" i="3"/>
  <c r="Q378" i="3"/>
  <c r="W270" i="3"/>
  <c r="P209" i="3"/>
  <c r="O53" i="3"/>
  <c r="S53" i="3"/>
  <c r="G271" i="3"/>
  <c r="T391" i="3"/>
  <c r="D499" i="3"/>
  <c r="K499" i="3" s="1"/>
  <c r="H399" i="3"/>
  <c r="H398" i="3"/>
  <c r="H374" i="3"/>
  <c r="I391" i="3"/>
  <c r="H110" i="3"/>
  <c r="H242" i="3"/>
  <c r="H423" i="3"/>
  <c r="G310" i="3"/>
  <c r="H303" i="3"/>
  <c r="H98" i="3"/>
  <c r="S310" i="3"/>
  <c r="I442" i="3"/>
  <c r="E430" i="3"/>
  <c r="N66" i="3"/>
  <c r="O310" i="3"/>
  <c r="I394" i="3"/>
  <c r="O98" i="3"/>
  <c r="T442" i="3"/>
  <c r="S442" i="3"/>
  <c r="S394" i="3"/>
  <c r="F430" i="3"/>
  <c r="R442" i="3"/>
  <c r="E394" i="3"/>
  <c r="W110" i="3"/>
  <c r="R430" i="3"/>
  <c r="O430" i="3"/>
  <c r="O66" i="3"/>
  <c r="R310" i="3"/>
  <c r="Z394" i="3"/>
  <c r="U442" i="3"/>
  <c r="M442" i="3"/>
  <c r="F394" i="3"/>
  <c r="H470" i="3"/>
  <c r="H290" i="3"/>
  <c r="I310" i="3"/>
  <c r="H459" i="3"/>
  <c r="H279" i="3"/>
  <c r="H62" i="3"/>
  <c r="F442" i="3"/>
  <c r="N110" i="3"/>
  <c r="S430" i="3"/>
  <c r="P430" i="3"/>
  <c r="M66" i="3"/>
  <c r="N310" i="3"/>
  <c r="Y394" i="3"/>
  <c r="I138" i="3"/>
  <c r="S62" i="3"/>
  <c r="Q430" i="3"/>
  <c r="Q442" i="3"/>
  <c r="G394" i="3"/>
  <c r="H50" i="3"/>
  <c r="N430" i="3"/>
  <c r="Y430" i="3"/>
  <c r="O394" i="3"/>
  <c r="G85" i="3"/>
  <c r="L310" i="3"/>
  <c r="I110" i="3"/>
  <c r="W430" i="3"/>
  <c r="E442" i="3"/>
  <c r="L394" i="3"/>
  <c r="H446" i="3"/>
  <c r="L283" i="3"/>
  <c r="H283" i="3"/>
  <c r="W343" i="3"/>
  <c r="H343" i="3"/>
  <c r="G487" i="3"/>
  <c r="H487" i="3"/>
  <c r="H135" i="3"/>
  <c r="H123" i="3"/>
  <c r="H63" i="3"/>
  <c r="H51" i="3"/>
  <c r="H39" i="3"/>
  <c r="H27" i="3"/>
  <c r="F379" i="3"/>
  <c r="N379" i="3"/>
  <c r="S271" i="3"/>
  <c r="G379" i="3"/>
  <c r="F391" i="3"/>
  <c r="H481" i="3"/>
  <c r="H445" i="3"/>
  <c r="H433" i="3"/>
  <c r="H421" i="3"/>
  <c r="H349" i="3"/>
  <c r="H253" i="3"/>
  <c r="H241" i="3"/>
  <c r="H193" i="3"/>
  <c r="H181" i="3"/>
  <c r="H133" i="3"/>
  <c r="H85" i="3"/>
  <c r="H61" i="3"/>
  <c r="H37" i="3"/>
  <c r="H492" i="3"/>
  <c r="H468" i="3"/>
  <c r="H456" i="3"/>
  <c r="H444" i="3"/>
  <c r="H348" i="3"/>
  <c r="H216" i="3"/>
  <c r="H192" i="3"/>
  <c r="H144" i="3"/>
  <c r="H132" i="3"/>
  <c r="H120" i="3"/>
  <c r="H108" i="3"/>
  <c r="H36" i="3"/>
  <c r="E271" i="3"/>
  <c r="O379" i="3"/>
  <c r="H503" i="3"/>
  <c r="H491" i="3"/>
  <c r="H467" i="3"/>
  <c r="H395" i="3"/>
  <c r="H347" i="3"/>
  <c r="H335" i="3"/>
  <c r="H311" i="3"/>
  <c r="H275" i="3"/>
  <c r="H179" i="3"/>
  <c r="H167" i="3"/>
  <c r="H35" i="3"/>
  <c r="H23" i="3"/>
  <c r="Z379" i="3"/>
  <c r="M379" i="3"/>
  <c r="N463" i="3"/>
  <c r="N391" i="3"/>
  <c r="F27" i="3"/>
  <c r="Y271" i="3"/>
  <c r="L271" i="3"/>
  <c r="L379" i="3"/>
  <c r="M39" i="3"/>
  <c r="M138" i="3"/>
  <c r="H502" i="3"/>
  <c r="H490" i="3"/>
  <c r="H418" i="3"/>
  <c r="H394" i="3"/>
  <c r="H358" i="3"/>
  <c r="H346" i="3"/>
  <c r="H310" i="3"/>
  <c r="H250" i="3"/>
  <c r="H166" i="3"/>
  <c r="H130" i="3"/>
  <c r="H82" i="3"/>
  <c r="H58" i="3"/>
  <c r="H46" i="3"/>
  <c r="Z271" i="3"/>
  <c r="T271" i="3"/>
  <c r="I379" i="3"/>
  <c r="W271" i="3"/>
  <c r="L463" i="3"/>
  <c r="N271" i="3"/>
  <c r="X379" i="3"/>
  <c r="W379" i="3"/>
  <c r="Q51" i="3"/>
  <c r="L452" i="3"/>
  <c r="H429" i="3"/>
  <c r="H405" i="3"/>
  <c r="H393" i="3"/>
  <c r="H345" i="3"/>
  <c r="H213" i="3"/>
  <c r="H189" i="3"/>
  <c r="H177" i="3"/>
  <c r="H153" i="3"/>
  <c r="H93" i="3"/>
  <c r="H69" i="3"/>
  <c r="R271" i="3"/>
  <c r="U379" i="3"/>
  <c r="Y391" i="3"/>
  <c r="T463" i="3"/>
  <c r="H452" i="3"/>
  <c r="H380" i="3"/>
  <c r="H368" i="3"/>
  <c r="H356" i="3"/>
  <c r="H308" i="3"/>
  <c r="H236" i="3"/>
  <c r="H212" i="3"/>
  <c r="H176" i="3"/>
  <c r="H128" i="3"/>
  <c r="H92" i="3"/>
  <c r="H56" i="3"/>
  <c r="H44" i="3"/>
  <c r="Q379" i="3"/>
  <c r="P271" i="3"/>
  <c r="U271" i="3"/>
  <c r="P51" i="3"/>
  <c r="H463" i="3"/>
  <c r="H391" i="3"/>
  <c r="H379" i="3"/>
  <c r="H271" i="3"/>
  <c r="H211" i="3"/>
  <c r="H199" i="3"/>
  <c r="H163" i="3"/>
  <c r="H139" i="3"/>
  <c r="H127" i="3"/>
  <c r="H115" i="3"/>
  <c r="H31" i="3"/>
  <c r="X271" i="3"/>
  <c r="O271" i="3"/>
  <c r="M271" i="3"/>
  <c r="F271" i="3"/>
  <c r="E452" i="3"/>
  <c r="H498" i="3"/>
  <c r="H402" i="3"/>
  <c r="H378" i="3"/>
  <c r="H366" i="3"/>
  <c r="H234" i="3"/>
  <c r="H174" i="3"/>
  <c r="H150" i="3"/>
  <c r="H78" i="3"/>
  <c r="H54" i="3"/>
  <c r="H30" i="3"/>
  <c r="I271" i="3"/>
  <c r="H497" i="3"/>
  <c r="H377" i="3"/>
  <c r="H305" i="3"/>
  <c r="H293" i="3"/>
  <c r="H221" i="3"/>
  <c r="H209" i="3"/>
  <c r="H197" i="3"/>
  <c r="H185" i="3"/>
  <c r="H149" i="3"/>
  <c r="H77" i="3"/>
  <c r="H53" i="3"/>
  <c r="N88" i="3"/>
  <c r="L124" i="3"/>
  <c r="Z391" i="3"/>
  <c r="H484" i="3"/>
  <c r="H472" i="3"/>
  <c r="H436" i="3"/>
  <c r="H376" i="3"/>
  <c r="H340" i="3"/>
  <c r="H292" i="3"/>
  <c r="H280" i="3"/>
  <c r="H268" i="3"/>
  <c r="H208" i="3"/>
  <c r="H160" i="3"/>
  <c r="H124" i="3"/>
  <c r="H88" i="3"/>
  <c r="H76" i="3"/>
  <c r="H28" i="3"/>
  <c r="D4" i="3"/>
  <c r="K4" i="3" s="1"/>
  <c r="G111" i="3"/>
  <c r="P61" i="3"/>
  <c r="S85" i="3"/>
  <c r="E181" i="3"/>
  <c r="Q61" i="3"/>
  <c r="Z61" i="3"/>
  <c r="S37" i="3"/>
  <c r="I193" i="3"/>
  <c r="D4" i="5"/>
  <c r="Z85" i="3"/>
  <c r="M133" i="3"/>
  <c r="N193" i="3"/>
  <c r="B3" i="5"/>
  <c r="E3" i="5" s="1"/>
  <c r="G3" i="5" s="1"/>
  <c r="I130" i="3"/>
  <c r="I58" i="3"/>
  <c r="I433" i="3"/>
  <c r="P497" i="3"/>
  <c r="G421" i="3"/>
  <c r="L66" i="3"/>
  <c r="F293" i="3"/>
  <c r="P421" i="3"/>
  <c r="Y253" i="3"/>
  <c r="S293" i="3"/>
  <c r="I253" i="3"/>
  <c r="L253" i="3"/>
  <c r="E433" i="3"/>
  <c r="E421" i="3"/>
  <c r="Z497" i="3"/>
  <c r="Q181" i="3"/>
  <c r="M250" i="3"/>
  <c r="P293" i="3"/>
  <c r="W253" i="3"/>
  <c r="M374" i="3"/>
  <c r="G30" i="3"/>
  <c r="X130" i="3"/>
  <c r="P174" i="3"/>
  <c r="L293" i="3"/>
  <c r="M31" i="3"/>
  <c r="S115" i="3"/>
  <c r="Y115" i="3"/>
  <c r="U31" i="3"/>
  <c r="G31" i="3"/>
  <c r="R268" i="3"/>
  <c r="R31" i="3"/>
  <c r="L88" i="3"/>
  <c r="I88" i="3"/>
  <c r="I124" i="3"/>
  <c r="U208" i="3"/>
  <c r="O28" i="3"/>
  <c r="Q88" i="3"/>
  <c r="W124" i="3"/>
  <c r="L208" i="3"/>
  <c r="X193" i="3"/>
  <c r="X28" i="3"/>
  <c r="P88" i="3"/>
  <c r="F124" i="3"/>
  <c r="I208" i="3"/>
  <c r="O88" i="3"/>
  <c r="U124" i="3"/>
  <c r="X124" i="3"/>
  <c r="F208" i="3"/>
  <c r="Y88" i="3"/>
  <c r="Z88" i="3"/>
  <c r="E88" i="3"/>
  <c r="M124" i="3"/>
  <c r="M88" i="3"/>
  <c r="P124" i="3"/>
  <c r="N208" i="3"/>
  <c r="Y124" i="3"/>
  <c r="X88" i="3"/>
  <c r="E124" i="3"/>
  <c r="Z124" i="3"/>
  <c r="S88" i="3"/>
  <c r="T124" i="3"/>
  <c r="Y181" i="3"/>
  <c r="T23" i="3"/>
  <c r="P23" i="3"/>
  <c r="O420" i="3"/>
  <c r="E468" i="3"/>
  <c r="P420" i="3"/>
  <c r="N468" i="3"/>
  <c r="I468" i="3"/>
  <c r="W420" i="3"/>
  <c r="O468" i="3"/>
  <c r="G420" i="3"/>
  <c r="M420" i="3"/>
  <c r="E456" i="3"/>
  <c r="F313" i="3"/>
  <c r="Z313" i="3"/>
  <c r="P313" i="3"/>
  <c r="X265" i="3"/>
  <c r="U265" i="3"/>
  <c r="U420" i="3"/>
  <c r="Y456" i="3"/>
  <c r="I421" i="3"/>
  <c r="E35" i="3"/>
  <c r="Q130" i="3"/>
  <c r="X468" i="3"/>
  <c r="W468" i="3"/>
  <c r="F468" i="3"/>
  <c r="R433" i="3"/>
  <c r="Y433" i="3"/>
  <c r="Z253" i="3"/>
  <c r="E166" i="3"/>
  <c r="P253" i="3"/>
  <c r="M433" i="3"/>
  <c r="P456" i="3"/>
  <c r="X420" i="3"/>
  <c r="U468" i="3"/>
  <c r="M468" i="3"/>
  <c r="F433" i="3"/>
  <c r="X23" i="3"/>
  <c r="Y130" i="3"/>
  <c r="U130" i="3"/>
  <c r="T433" i="3"/>
  <c r="Z446" i="3"/>
  <c r="G35" i="3"/>
  <c r="M456" i="3"/>
  <c r="D47" i="3"/>
  <c r="K47" i="3" s="1"/>
  <c r="E420" i="3"/>
  <c r="P468" i="3"/>
  <c r="W23" i="3"/>
  <c r="F420" i="3"/>
  <c r="G130" i="3"/>
  <c r="N433" i="3"/>
  <c r="G433" i="3"/>
  <c r="R456" i="3"/>
  <c r="F35" i="3"/>
  <c r="L420" i="3"/>
  <c r="L468" i="3"/>
  <c r="Z468" i="3"/>
  <c r="R130" i="3"/>
  <c r="W130" i="3"/>
  <c r="T166" i="3"/>
  <c r="L433" i="3"/>
  <c r="U433" i="3"/>
  <c r="S446" i="3"/>
  <c r="T167" i="3"/>
  <c r="S253" i="3"/>
  <c r="N421" i="3"/>
  <c r="I456" i="3"/>
  <c r="W433" i="3"/>
  <c r="Q468" i="3"/>
  <c r="U253" i="3"/>
  <c r="L456" i="3"/>
  <c r="Z420" i="3"/>
  <c r="S468" i="3"/>
  <c r="M130" i="3"/>
  <c r="I492" i="3"/>
  <c r="T456" i="3"/>
  <c r="N35" i="3"/>
  <c r="I420" i="3"/>
  <c r="Y468" i="3"/>
  <c r="N130" i="3"/>
  <c r="Y166" i="3"/>
  <c r="Q433" i="3"/>
  <c r="P167" i="3"/>
  <c r="L58" i="3"/>
  <c r="R253" i="3"/>
  <c r="M421" i="3"/>
  <c r="W374" i="3"/>
  <c r="E398" i="3"/>
  <c r="S130" i="3"/>
  <c r="N166" i="3"/>
  <c r="R58" i="3"/>
  <c r="X433" i="3"/>
  <c r="M167" i="3"/>
  <c r="F58" i="3"/>
  <c r="O253" i="3"/>
  <c r="F253" i="3"/>
  <c r="U456" i="3"/>
  <c r="L335" i="3"/>
  <c r="P433" i="3"/>
  <c r="X253" i="3"/>
  <c r="Y305" i="3"/>
  <c r="R166" i="3"/>
  <c r="P58" i="3"/>
  <c r="O433" i="3"/>
  <c r="S433" i="3"/>
  <c r="O456" i="3"/>
  <c r="R492" i="3"/>
  <c r="M23" i="3"/>
  <c r="X421" i="3"/>
  <c r="Y420" i="3"/>
  <c r="F23" i="3"/>
  <c r="L130" i="3"/>
  <c r="W166" i="3"/>
  <c r="L421" i="3"/>
  <c r="R35" i="3"/>
  <c r="Q420" i="3"/>
  <c r="S420" i="3"/>
  <c r="Z305" i="3"/>
  <c r="T468" i="3"/>
  <c r="U421" i="3"/>
  <c r="G23" i="3"/>
  <c r="O130" i="3"/>
  <c r="F166" i="3"/>
  <c r="S58" i="3"/>
  <c r="X456" i="3"/>
  <c r="G456" i="3"/>
  <c r="T421" i="3"/>
  <c r="T374" i="3"/>
  <c r="R421" i="3"/>
  <c r="Z35" i="3"/>
  <c r="R420" i="3"/>
  <c r="G468" i="3"/>
  <c r="E130" i="3"/>
  <c r="R468" i="3"/>
  <c r="Z421" i="3"/>
  <c r="N420" i="3"/>
  <c r="T420" i="3"/>
  <c r="Q421" i="3"/>
  <c r="M166" i="3"/>
  <c r="T253" i="3"/>
  <c r="N253" i="3"/>
  <c r="S421" i="3"/>
  <c r="E374" i="3"/>
  <c r="W467" i="3"/>
  <c r="O459" i="3"/>
  <c r="S459" i="3"/>
  <c r="L174" i="3"/>
  <c r="T265" i="3"/>
  <c r="Z487" i="3"/>
  <c r="P66" i="3"/>
  <c r="N82" i="3"/>
  <c r="U174" i="3"/>
  <c r="R487" i="3"/>
  <c r="R213" i="3"/>
  <c r="L313" i="3"/>
  <c r="I30" i="3"/>
  <c r="O265" i="3"/>
  <c r="Y86" i="3"/>
  <c r="O78" i="3"/>
  <c r="R138" i="3"/>
  <c r="X78" i="3"/>
  <c r="S30" i="3"/>
  <c r="E265" i="3"/>
  <c r="W31" i="3"/>
  <c r="R115" i="3"/>
  <c r="X115" i="3"/>
  <c r="P31" i="3"/>
  <c r="E115" i="3"/>
  <c r="M115" i="3"/>
  <c r="M340" i="3"/>
  <c r="N115" i="3"/>
  <c r="P115" i="3"/>
  <c r="W115" i="3"/>
  <c r="S348" i="3"/>
  <c r="Z280" i="3"/>
  <c r="N31" i="3"/>
  <c r="F115" i="3"/>
  <c r="L31" i="3"/>
  <c r="Z115" i="3"/>
  <c r="X31" i="3"/>
  <c r="U376" i="3"/>
  <c r="E459" i="3"/>
  <c r="G115" i="3"/>
  <c r="F31" i="3"/>
  <c r="Z399" i="3"/>
  <c r="E31" i="3"/>
  <c r="L115" i="3"/>
  <c r="S31" i="3"/>
  <c r="O31" i="3"/>
  <c r="T115" i="3"/>
  <c r="O115" i="3"/>
  <c r="F82" i="3"/>
  <c r="Y31" i="3"/>
  <c r="T31" i="3"/>
  <c r="I31" i="3"/>
  <c r="Z31" i="3"/>
  <c r="Q115" i="3"/>
  <c r="U115" i="3"/>
  <c r="N335" i="3"/>
  <c r="W51" i="3"/>
  <c r="L467" i="3"/>
  <c r="Q335" i="3"/>
  <c r="Z63" i="3"/>
  <c r="U51" i="3"/>
  <c r="S174" i="3"/>
  <c r="Q467" i="3"/>
  <c r="M144" i="3"/>
  <c r="T467" i="3"/>
  <c r="S335" i="3"/>
  <c r="R335" i="3"/>
  <c r="L60" i="3"/>
  <c r="R467" i="3"/>
  <c r="N39" i="3"/>
  <c r="F335" i="3"/>
  <c r="G135" i="3"/>
  <c r="I467" i="3"/>
  <c r="P467" i="3"/>
  <c r="F144" i="3"/>
  <c r="X467" i="3"/>
  <c r="N467" i="3"/>
  <c r="P487" i="3"/>
  <c r="E120" i="3"/>
  <c r="G467" i="3"/>
  <c r="E275" i="3"/>
  <c r="F467" i="3"/>
  <c r="S467" i="3"/>
  <c r="U467" i="3"/>
  <c r="G192" i="3"/>
  <c r="Y467" i="3"/>
  <c r="W335" i="3"/>
  <c r="Z335" i="3"/>
  <c r="S487" i="3"/>
  <c r="L487" i="3"/>
  <c r="M111" i="3"/>
  <c r="L216" i="3"/>
  <c r="E467" i="3"/>
  <c r="M51" i="3"/>
  <c r="X335" i="3"/>
  <c r="U487" i="3"/>
  <c r="T487" i="3"/>
  <c r="P335" i="3"/>
  <c r="Z467" i="3"/>
  <c r="M467" i="3"/>
  <c r="Y335" i="3"/>
  <c r="P350" i="3"/>
  <c r="Q350" i="3"/>
  <c r="X254" i="3"/>
  <c r="U254" i="3"/>
  <c r="R374" i="3"/>
  <c r="S213" i="3"/>
  <c r="U374" i="3"/>
  <c r="U398" i="3"/>
  <c r="Z374" i="3"/>
  <c r="E302" i="3"/>
  <c r="E446" i="3"/>
  <c r="G446" i="3"/>
  <c r="T446" i="3"/>
  <c r="R398" i="3"/>
  <c r="L374" i="3"/>
  <c r="N446" i="3"/>
  <c r="O374" i="3"/>
  <c r="F446" i="3"/>
  <c r="Y446" i="3"/>
  <c r="S398" i="3"/>
  <c r="U446" i="3"/>
  <c r="I398" i="3"/>
  <c r="W398" i="3"/>
  <c r="F374" i="3"/>
  <c r="T398" i="3"/>
  <c r="O398" i="3"/>
  <c r="I446" i="3"/>
  <c r="E150" i="3"/>
  <c r="S374" i="3"/>
  <c r="S135" i="3"/>
  <c r="U490" i="3"/>
  <c r="L360" i="3"/>
  <c r="P446" i="3"/>
  <c r="S66" i="3"/>
  <c r="X398" i="3"/>
  <c r="Y201" i="3"/>
  <c r="Y487" i="3"/>
  <c r="Y398" i="3"/>
  <c r="W174" i="3"/>
  <c r="M446" i="3"/>
  <c r="Z398" i="3"/>
  <c r="F398" i="3"/>
  <c r="Q487" i="3"/>
  <c r="G398" i="3"/>
  <c r="R446" i="3"/>
  <c r="N398" i="3"/>
  <c r="L398" i="3"/>
  <c r="W446" i="3"/>
  <c r="X374" i="3"/>
  <c r="Q374" i="3"/>
  <c r="M82" i="3"/>
  <c r="Z82" i="3"/>
  <c r="G374" i="3"/>
  <c r="P82" i="3"/>
  <c r="W487" i="3"/>
  <c r="O446" i="3"/>
  <c r="F66" i="3"/>
  <c r="M398" i="3"/>
  <c r="I374" i="3"/>
  <c r="Y374" i="3"/>
  <c r="N374" i="3"/>
  <c r="U82" i="3"/>
  <c r="O174" i="3"/>
  <c r="L446" i="3"/>
  <c r="X446" i="3"/>
  <c r="Q398" i="3"/>
  <c r="S82" i="3"/>
  <c r="R82" i="3"/>
  <c r="R212" i="3"/>
  <c r="X303" i="3"/>
  <c r="T82" i="3"/>
  <c r="L82" i="3"/>
  <c r="W348" i="3"/>
  <c r="F212" i="3"/>
  <c r="X82" i="3"/>
  <c r="M487" i="3"/>
  <c r="I212" i="3"/>
  <c r="I350" i="3"/>
  <c r="I209" i="3"/>
  <c r="Y138" i="3"/>
  <c r="L303" i="3"/>
  <c r="Q82" i="3"/>
  <c r="M44" i="3"/>
  <c r="G82" i="3"/>
  <c r="Z303" i="3"/>
  <c r="W82" i="3"/>
  <c r="P176" i="3"/>
  <c r="I174" i="3"/>
  <c r="T138" i="3"/>
  <c r="Z236" i="3"/>
  <c r="W303" i="3"/>
  <c r="I82" i="3"/>
  <c r="I236" i="3"/>
  <c r="O399" i="3"/>
  <c r="G164" i="3"/>
  <c r="Y164" i="3"/>
  <c r="L164" i="3"/>
  <c r="M164" i="3"/>
  <c r="X224" i="3"/>
  <c r="E224" i="3"/>
  <c r="S224" i="3"/>
  <c r="R224" i="3"/>
  <c r="W399" i="3"/>
  <c r="Q176" i="3"/>
  <c r="I201" i="3"/>
  <c r="U303" i="3"/>
  <c r="X189" i="3"/>
  <c r="Z212" i="3"/>
  <c r="U212" i="3"/>
  <c r="X213" i="3"/>
  <c r="U201" i="3"/>
  <c r="P236" i="3"/>
  <c r="Q189" i="3"/>
  <c r="P303" i="3"/>
  <c r="N212" i="3"/>
  <c r="Q212" i="3"/>
  <c r="P213" i="3"/>
  <c r="Z176" i="3"/>
  <c r="R201" i="3"/>
  <c r="W201" i="3"/>
  <c r="X44" i="3"/>
  <c r="X490" i="3"/>
  <c r="W325" i="3"/>
  <c r="Y236" i="3"/>
  <c r="S303" i="3"/>
  <c r="E303" i="3"/>
  <c r="E212" i="3"/>
  <c r="G236" i="3"/>
  <c r="Y303" i="3"/>
  <c r="L212" i="3"/>
  <c r="E176" i="3"/>
  <c r="T201" i="3"/>
  <c r="Y360" i="3"/>
  <c r="S399" i="3"/>
  <c r="Z201" i="3"/>
  <c r="Q236" i="3"/>
  <c r="L176" i="3"/>
  <c r="M303" i="3"/>
  <c r="O303" i="3"/>
  <c r="E236" i="3"/>
  <c r="P212" i="3"/>
  <c r="M213" i="3"/>
  <c r="N176" i="3"/>
  <c r="Z44" i="3"/>
  <c r="Y212" i="3"/>
  <c r="T212" i="3"/>
  <c r="G213" i="3"/>
  <c r="Z213" i="3"/>
  <c r="E399" i="3"/>
  <c r="M176" i="3"/>
  <c r="L201" i="3"/>
  <c r="X201" i="3"/>
  <c r="W208" i="3"/>
  <c r="E44" i="3"/>
  <c r="Z92" i="3"/>
  <c r="O44" i="3"/>
  <c r="O236" i="3"/>
  <c r="I487" i="3"/>
  <c r="G189" i="3"/>
  <c r="P189" i="3"/>
  <c r="R303" i="3"/>
  <c r="F303" i="3"/>
  <c r="O82" i="3"/>
  <c r="Y399" i="3"/>
  <c r="Y213" i="3"/>
  <c r="O201" i="3"/>
  <c r="O212" i="3"/>
  <c r="Q201" i="3"/>
  <c r="F44" i="3"/>
  <c r="Q303" i="3"/>
  <c r="I213" i="3"/>
  <c r="S201" i="3"/>
  <c r="E350" i="3"/>
  <c r="P201" i="3"/>
  <c r="M189" i="3"/>
  <c r="G212" i="3"/>
  <c r="U213" i="3"/>
  <c r="O213" i="3"/>
  <c r="T213" i="3"/>
  <c r="X176" i="3"/>
  <c r="G201" i="3"/>
  <c r="N201" i="3"/>
  <c r="R343" i="3"/>
  <c r="Y453" i="3"/>
  <c r="S236" i="3"/>
  <c r="X487" i="3"/>
  <c r="S189" i="3"/>
  <c r="G303" i="3"/>
  <c r="I44" i="3"/>
  <c r="U350" i="3"/>
  <c r="M350" i="3"/>
  <c r="M236" i="3"/>
  <c r="E189" i="3"/>
  <c r="P399" i="3"/>
  <c r="T176" i="3"/>
  <c r="Y128" i="3"/>
  <c r="N213" i="3"/>
  <c r="M201" i="3"/>
  <c r="X212" i="3"/>
  <c r="L213" i="3"/>
  <c r="F213" i="3"/>
  <c r="M399" i="3"/>
  <c r="O487" i="3"/>
  <c r="L153" i="3"/>
  <c r="E201" i="3"/>
  <c r="G350" i="3"/>
  <c r="R208" i="3"/>
  <c r="Y82" i="3"/>
  <c r="U236" i="3"/>
  <c r="F487" i="3"/>
  <c r="R176" i="3"/>
  <c r="O189" i="3"/>
  <c r="T303" i="3"/>
  <c r="W212" i="3"/>
  <c r="R399" i="3"/>
  <c r="N303" i="3"/>
  <c r="M212" i="3"/>
  <c r="W213" i="3"/>
  <c r="G399" i="3"/>
  <c r="F201" i="3"/>
  <c r="P44" i="3"/>
  <c r="Q213" i="3"/>
  <c r="W350" i="3"/>
  <c r="Z208" i="3"/>
  <c r="P490" i="3"/>
  <c r="F290" i="3"/>
  <c r="L490" i="3"/>
  <c r="Y161" i="3"/>
  <c r="T161" i="3"/>
  <c r="R161" i="3"/>
  <c r="M161" i="3"/>
  <c r="F41" i="3"/>
  <c r="R41" i="3"/>
  <c r="L41" i="3"/>
  <c r="Q41" i="3"/>
  <c r="P188" i="3"/>
  <c r="U188" i="3"/>
  <c r="O188" i="3"/>
  <c r="U434" i="3"/>
  <c r="Z434" i="3"/>
  <c r="T434" i="3"/>
  <c r="L434" i="3"/>
  <c r="Q434" i="3"/>
  <c r="O434" i="3"/>
  <c r="F434" i="3"/>
  <c r="Y434" i="3"/>
  <c r="R434" i="3"/>
  <c r="I434" i="3"/>
  <c r="M434" i="3"/>
  <c r="E434" i="3"/>
  <c r="W434" i="3"/>
  <c r="S434" i="3"/>
  <c r="N434" i="3"/>
  <c r="X434" i="3"/>
  <c r="G434" i="3"/>
  <c r="P434" i="3"/>
  <c r="I325" i="3"/>
  <c r="F325" i="3"/>
  <c r="X61" i="3"/>
  <c r="F61" i="3"/>
  <c r="F221" i="3"/>
  <c r="T61" i="3"/>
  <c r="P77" i="3"/>
  <c r="U133" i="3"/>
  <c r="G133" i="3"/>
  <c r="Q265" i="3"/>
  <c r="E325" i="3"/>
  <c r="E209" i="3"/>
  <c r="F85" i="3"/>
  <c r="N313" i="3"/>
  <c r="F193" i="3"/>
  <c r="E30" i="3"/>
  <c r="I61" i="3"/>
  <c r="U221" i="3"/>
  <c r="G61" i="3"/>
  <c r="U125" i="3"/>
  <c r="N77" i="3"/>
  <c r="N181" i="3"/>
  <c r="X133" i="3"/>
  <c r="U61" i="3"/>
  <c r="U445" i="3"/>
  <c r="I133" i="3"/>
  <c r="Q133" i="3"/>
  <c r="W209" i="3"/>
  <c r="U193" i="3"/>
  <c r="T193" i="3"/>
  <c r="E221" i="3"/>
  <c r="M61" i="3"/>
  <c r="N125" i="3"/>
  <c r="N133" i="3"/>
  <c r="S325" i="3"/>
  <c r="S125" i="3"/>
  <c r="E133" i="3"/>
  <c r="P133" i="3"/>
  <c r="L265" i="3"/>
  <c r="N221" i="3"/>
  <c r="M325" i="3"/>
  <c r="Q209" i="3"/>
  <c r="Q125" i="3"/>
  <c r="L209" i="3"/>
  <c r="M30" i="3"/>
  <c r="X221" i="3"/>
  <c r="O61" i="3"/>
  <c r="Y61" i="3"/>
  <c r="G125" i="3"/>
  <c r="U185" i="3"/>
  <c r="G208" i="3"/>
  <c r="O208" i="3"/>
  <c r="G209" i="3"/>
  <c r="Y125" i="3"/>
  <c r="X30" i="3"/>
  <c r="Y265" i="3"/>
  <c r="R325" i="3"/>
  <c r="O30" i="3"/>
  <c r="S313" i="3"/>
  <c r="L193" i="3"/>
  <c r="G193" i="3"/>
  <c r="M221" i="3"/>
  <c r="R61" i="3"/>
  <c r="O77" i="3"/>
  <c r="S350" i="3"/>
  <c r="Y208" i="3"/>
  <c r="O209" i="3"/>
  <c r="L85" i="3"/>
  <c r="Q325" i="3"/>
  <c r="X125" i="3"/>
  <c r="R133" i="3"/>
  <c r="T350" i="3"/>
  <c r="Q502" i="3"/>
  <c r="P265" i="3"/>
  <c r="N325" i="3"/>
  <c r="T149" i="3"/>
  <c r="E254" i="3"/>
  <c r="S221" i="3"/>
  <c r="W313" i="3"/>
  <c r="Q313" i="3"/>
  <c r="G445" i="3"/>
  <c r="W61" i="3"/>
  <c r="Y445" i="3"/>
  <c r="O358" i="3"/>
  <c r="T30" i="3"/>
  <c r="L445" i="3"/>
  <c r="O221" i="3"/>
  <c r="E61" i="3"/>
  <c r="M125" i="3"/>
  <c r="W77" i="3"/>
  <c r="F350" i="3"/>
  <c r="O133" i="3"/>
  <c r="M209" i="3"/>
  <c r="L125" i="3"/>
  <c r="S133" i="3"/>
  <c r="I290" i="3"/>
  <c r="Z350" i="3"/>
  <c r="I358" i="3"/>
  <c r="Z133" i="3"/>
  <c r="I445" i="3"/>
  <c r="S192" i="3"/>
  <c r="Z265" i="3"/>
  <c r="U53" i="3"/>
  <c r="R350" i="3"/>
  <c r="U250" i="3"/>
  <c r="X313" i="3"/>
  <c r="Y313" i="3"/>
  <c r="Q30" i="3"/>
  <c r="Z445" i="3"/>
  <c r="I221" i="3"/>
  <c r="N61" i="3"/>
  <c r="O125" i="3"/>
  <c r="R77" i="3"/>
  <c r="E85" i="3"/>
  <c r="W125" i="3"/>
  <c r="N445" i="3"/>
  <c r="R265" i="3"/>
  <c r="Y30" i="3"/>
  <c r="S61" i="3"/>
  <c r="F77" i="3"/>
  <c r="I265" i="3"/>
  <c r="Y149" i="3"/>
  <c r="Y209" i="3"/>
  <c r="T313" i="3"/>
  <c r="E313" i="3"/>
  <c r="F445" i="3"/>
  <c r="I313" i="3"/>
  <c r="O313" i="3"/>
  <c r="G313" i="3"/>
  <c r="L61" i="3"/>
  <c r="M265" i="3"/>
  <c r="N265" i="3"/>
  <c r="Z196" i="3"/>
  <c r="O196" i="3"/>
  <c r="I196" i="3"/>
  <c r="M29" i="3"/>
  <c r="P29" i="3"/>
  <c r="W29" i="3"/>
  <c r="U29" i="3"/>
  <c r="R29" i="3"/>
  <c r="L29" i="3"/>
  <c r="Q29" i="3"/>
  <c r="Z29" i="3"/>
  <c r="X29" i="3"/>
  <c r="O29" i="3"/>
  <c r="Y29" i="3"/>
  <c r="E29" i="3"/>
  <c r="G29" i="3"/>
  <c r="T29" i="3"/>
  <c r="N29" i="3"/>
  <c r="F29" i="3"/>
  <c r="I29" i="3"/>
  <c r="S29" i="3"/>
  <c r="M369" i="3"/>
  <c r="Q369" i="3"/>
  <c r="P417" i="3"/>
  <c r="W83" i="3"/>
  <c r="L83" i="3"/>
  <c r="M83" i="3"/>
  <c r="E83" i="3"/>
  <c r="Y83" i="3"/>
  <c r="P83" i="3"/>
  <c r="F83" i="3"/>
  <c r="G83" i="3"/>
  <c r="I83" i="3"/>
  <c r="L120" i="3"/>
  <c r="X167" i="3"/>
  <c r="W452" i="3"/>
  <c r="S452" i="3"/>
  <c r="T452" i="3"/>
  <c r="U463" i="3"/>
  <c r="M463" i="3"/>
  <c r="G144" i="3"/>
  <c r="N144" i="3"/>
  <c r="X144" i="3"/>
  <c r="T393" i="3"/>
  <c r="Z60" i="3"/>
  <c r="Y188" i="3"/>
  <c r="N343" i="3"/>
  <c r="L405" i="3"/>
  <c r="E86" i="3"/>
  <c r="M216" i="3"/>
  <c r="S453" i="3"/>
  <c r="Z393" i="3"/>
  <c r="L167" i="3"/>
  <c r="G167" i="3"/>
  <c r="N452" i="3"/>
  <c r="Q452" i="3"/>
  <c r="Z463" i="3"/>
  <c r="L144" i="3"/>
  <c r="F188" i="3"/>
  <c r="W188" i="3"/>
  <c r="E188" i="3"/>
  <c r="I120" i="3"/>
  <c r="U120" i="3"/>
  <c r="Q393" i="3"/>
  <c r="O60" i="3"/>
  <c r="Z188" i="3"/>
  <c r="X343" i="3"/>
  <c r="Q405" i="3"/>
  <c r="T86" i="3"/>
  <c r="M290" i="3"/>
  <c r="T502" i="3"/>
  <c r="N393" i="3"/>
  <c r="S167" i="3"/>
  <c r="O452" i="3"/>
  <c r="X452" i="3"/>
  <c r="P463" i="3"/>
  <c r="R144" i="3"/>
  <c r="L393" i="3"/>
  <c r="E423" i="3"/>
  <c r="W503" i="3"/>
  <c r="T120" i="3"/>
  <c r="X120" i="3"/>
  <c r="M188" i="3"/>
  <c r="E290" i="3"/>
  <c r="Y290" i="3"/>
  <c r="U216" i="3"/>
  <c r="N502" i="3"/>
  <c r="Y345" i="3"/>
  <c r="Y167" i="3"/>
  <c r="Y452" i="3"/>
  <c r="U41" i="3"/>
  <c r="F463" i="3"/>
  <c r="P144" i="3"/>
  <c r="Y144" i="3"/>
  <c r="U405" i="3"/>
  <c r="E36" i="3"/>
  <c r="X188" i="3"/>
  <c r="F120" i="3"/>
  <c r="M120" i="3"/>
  <c r="F60" i="3"/>
  <c r="N188" i="3"/>
  <c r="W290" i="3"/>
  <c r="X393" i="3"/>
  <c r="T216" i="3"/>
  <c r="M345" i="3"/>
  <c r="I224" i="3"/>
  <c r="F167" i="3"/>
  <c r="R192" i="3"/>
  <c r="W41" i="3"/>
  <c r="O463" i="3"/>
  <c r="X463" i="3"/>
  <c r="T144" i="3"/>
  <c r="O144" i="3"/>
  <c r="O120" i="3"/>
  <c r="S60" i="3"/>
  <c r="P36" i="3"/>
  <c r="Q188" i="3"/>
  <c r="G120" i="3"/>
  <c r="S463" i="3"/>
  <c r="T60" i="3"/>
  <c r="U503" i="3"/>
  <c r="F423" i="3"/>
  <c r="S393" i="3"/>
  <c r="E216" i="3"/>
  <c r="G86" i="3"/>
  <c r="I405" i="3"/>
  <c r="I41" i="3"/>
  <c r="E463" i="3"/>
  <c r="Z144" i="3"/>
  <c r="E144" i="3"/>
  <c r="E53" i="3"/>
  <c r="O36" i="3"/>
  <c r="G188" i="3"/>
  <c r="N120" i="3"/>
  <c r="Q120" i="3"/>
  <c r="G463" i="3"/>
  <c r="E60" i="3"/>
  <c r="N503" i="3"/>
  <c r="S423" i="3"/>
  <c r="P216" i="3"/>
  <c r="R290" i="3"/>
  <c r="O167" i="3"/>
  <c r="E405" i="3"/>
  <c r="U423" i="3"/>
  <c r="G452" i="3"/>
  <c r="E41" i="3"/>
  <c r="P283" i="3"/>
  <c r="F36" i="3"/>
  <c r="S188" i="3"/>
  <c r="W120" i="3"/>
  <c r="R463" i="3"/>
  <c r="R60" i="3"/>
  <c r="Q216" i="3"/>
  <c r="O405" i="3"/>
  <c r="I311" i="3"/>
  <c r="N423" i="3"/>
  <c r="Y405" i="3"/>
  <c r="W502" i="3"/>
  <c r="Q167" i="3"/>
  <c r="T405" i="3"/>
  <c r="Q463" i="3"/>
  <c r="U144" i="3"/>
  <c r="S144" i="3"/>
  <c r="U393" i="3"/>
  <c r="P452" i="3"/>
  <c r="Y120" i="3"/>
  <c r="W463" i="3"/>
  <c r="Y60" i="3"/>
  <c r="S343" i="3"/>
  <c r="X502" i="3"/>
  <c r="M452" i="3"/>
  <c r="N290" i="3"/>
  <c r="I463" i="3"/>
  <c r="L453" i="3"/>
  <c r="P120" i="3"/>
  <c r="W144" i="3"/>
  <c r="L188" i="3"/>
  <c r="F224" i="3"/>
  <c r="F452" i="3"/>
  <c r="U452" i="3"/>
  <c r="R452" i="3"/>
  <c r="Z452" i="3"/>
  <c r="L195" i="3"/>
  <c r="P195" i="3"/>
  <c r="Q75" i="3"/>
  <c r="S75" i="3"/>
  <c r="N75" i="3"/>
  <c r="R75" i="3"/>
  <c r="U75" i="3"/>
  <c r="O75" i="3"/>
  <c r="G75" i="3"/>
  <c r="E75" i="3"/>
  <c r="T75" i="3"/>
  <c r="P75" i="3"/>
  <c r="Y75" i="3"/>
  <c r="I52" i="3"/>
  <c r="G52" i="3"/>
  <c r="X52" i="3"/>
  <c r="P256" i="3"/>
  <c r="Q256" i="3"/>
  <c r="W364" i="3"/>
  <c r="G364" i="3"/>
  <c r="F364" i="3"/>
  <c r="X364" i="3"/>
  <c r="T364" i="3"/>
  <c r="E364" i="3"/>
  <c r="U364" i="3"/>
  <c r="Q364" i="3"/>
  <c r="I364" i="3"/>
  <c r="S364" i="3"/>
  <c r="N364" i="3"/>
  <c r="L364" i="3"/>
  <c r="O364" i="3"/>
  <c r="Z364" i="3"/>
  <c r="R364" i="3"/>
  <c r="S352" i="3"/>
  <c r="O352" i="3"/>
  <c r="G340" i="3"/>
  <c r="I63" i="3"/>
  <c r="T268" i="3"/>
  <c r="G376" i="3"/>
  <c r="N268" i="3"/>
  <c r="I111" i="3"/>
  <c r="Q283" i="3"/>
  <c r="U28" i="3"/>
  <c r="S111" i="3"/>
  <c r="N111" i="3"/>
  <c r="N63" i="3"/>
  <c r="F135" i="3"/>
  <c r="Y348" i="3"/>
  <c r="L292" i="3"/>
  <c r="Y44" i="3"/>
  <c r="Y280" i="3"/>
  <c r="P280" i="3"/>
  <c r="M470" i="3"/>
  <c r="X63" i="3"/>
  <c r="L268" i="3"/>
  <c r="O376" i="3"/>
  <c r="O268" i="3"/>
  <c r="W376" i="3"/>
  <c r="F340" i="3"/>
  <c r="Y283" i="3"/>
  <c r="N28" i="3"/>
  <c r="W111" i="3"/>
  <c r="R63" i="3"/>
  <c r="X135" i="3"/>
  <c r="N292" i="3"/>
  <c r="E340" i="3"/>
  <c r="P376" i="3"/>
  <c r="U123" i="3"/>
  <c r="M268" i="3"/>
  <c r="S63" i="3"/>
  <c r="Y268" i="3"/>
  <c r="F292" i="3"/>
  <c r="F376" i="3"/>
  <c r="X283" i="3"/>
  <c r="O63" i="3"/>
  <c r="I292" i="3"/>
  <c r="Q28" i="3"/>
  <c r="U111" i="3"/>
  <c r="Y135" i="3"/>
  <c r="O292" i="3"/>
  <c r="T340" i="3"/>
  <c r="Q280" i="3"/>
  <c r="Y123" i="3"/>
  <c r="M63" i="3"/>
  <c r="G268" i="3"/>
  <c r="U268" i="3"/>
  <c r="M376" i="3"/>
  <c r="S28" i="3"/>
  <c r="T484" i="3"/>
  <c r="Y111" i="3"/>
  <c r="F283" i="3"/>
  <c r="X268" i="3"/>
  <c r="Z340" i="3"/>
  <c r="R340" i="3"/>
  <c r="I280" i="3"/>
  <c r="S123" i="3"/>
  <c r="S376" i="3"/>
  <c r="M349" i="3"/>
  <c r="G63" i="3"/>
  <c r="F268" i="3"/>
  <c r="M86" i="3"/>
  <c r="N350" i="3"/>
  <c r="E376" i="3"/>
  <c r="E111" i="3"/>
  <c r="G28" i="3"/>
  <c r="W28" i="3"/>
  <c r="E28" i="3"/>
  <c r="Z484" i="3"/>
  <c r="T292" i="3"/>
  <c r="W268" i="3"/>
  <c r="U283" i="3"/>
  <c r="P340" i="3"/>
  <c r="S280" i="3"/>
  <c r="R280" i="3"/>
  <c r="E280" i="3"/>
  <c r="R305" i="3"/>
  <c r="P86" i="3"/>
  <c r="N444" i="3"/>
  <c r="L340" i="3"/>
  <c r="Y376" i="3"/>
  <c r="M28" i="3"/>
  <c r="E135" i="3"/>
  <c r="Q340" i="3"/>
  <c r="F63" i="3"/>
  <c r="Q63" i="3"/>
  <c r="G283" i="3"/>
  <c r="R28" i="3"/>
  <c r="U484" i="3"/>
  <c r="Q111" i="3"/>
  <c r="P135" i="3"/>
  <c r="M292" i="3"/>
  <c r="I268" i="3"/>
  <c r="N340" i="3"/>
  <c r="W280" i="3"/>
  <c r="T63" i="3"/>
  <c r="I86" i="3"/>
  <c r="Y350" i="3"/>
  <c r="P268" i="3"/>
  <c r="T376" i="3"/>
  <c r="O111" i="3"/>
  <c r="N283" i="3"/>
  <c r="Z283" i="3"/>
  <c r="Y28" i="3"/>
  <c r="G484" i="3"/>
  <c r="P111" i="3"/>
  <c r="F111" i="3"/>
  <c r="T135" i="3"/>
  <c r="G292" i="3"/>
  <c r="W44" i="3"/>
  <c r="O340" i="3"/>
  <c r="T280" i="3"/>
  <c r="U63" i="3"/>
  <c r="Z268" i="3"/>
  <c r="I376" i="3"/>
  <c r="L86" i="3"/>
  <c r="L376" i="3"/>
  <c r="X340" i="3"/>
  <c r="T283" i="3"/>
  <c r="F28" i="3"/>
  <c r="L28" i="3"/>
  <c r="M484" i="3"/>
  <c r="T111" i="3"/>
  <c r="X111" i="3"/>
  <c r="L135" i="3"/>
  <c r="P292" i="3"/>
  <c r="W340" i="3"/>
  <c r="O280" i="3"/>
  <c r="X280" i="3"/>
  <c r="L63" i="3"/>
  <c r="Z376" i="3"/>
  <c r="P343" i="3"/>
  <c r="U86" i="3"/>
  <c r="Q268" i="3"/>
  <c r="Q376" i="3"/>
  <c r="E283" i="3"/>
  <c r="I28" i="3"/>
  <c r="Z28" i="3"/>
  <c r="N484" i="3"/>
  <c r="R111" i="3"/>
  <c r="L111" i="3"/>
  <c r="Z135" i="3"/>
  <c r="U340" i="3"/>
  <c r="U280" i="3"/>
  <c r="E63" i="3"/>
  <c r="S268" i="3"/>
  <c r="R376" i="3"/>
  <c r="L123" i="3"/>
  <c r="X376" i="3"/>
  <c r="T28" i="3"/>
  <c r="Z111" i="3"/>
  <c r="N135" i="3"/>
  <c r="S227" i="3"/>
  <c r="T227" i="3"/>
  <c r="O227" i="3"/>
  <c r="L227" i="3"/>
  <c r="I227" i="3"/>
  <c r="W227" i="3"/>
  <c r="Z227" i="3"/>
  <c r="P227" i="3"/>
  <c r="M227" i="3"/>
  <c r="Y227" i="3"/>
  <c r="N227" i="3"/>
  <c r="X227" i="3"/>
  <c r="F227" i="3"/>
  <c r="E227" i="3"/>
  <c r="Q227" i="3"/>
  <c r="G227" i="3"/>
  <c r="O113" i="3"/>
  <c r="Z113" i="3"/>
  <c r="L113" i="3"/>
  <c r="G113" i="3"/>
  <c r="M113" i="3"/>
  <c r="S113" i="3"/>
  <c r="T113" i="3"/>
  <c r="F113" i="3"/>
  <c r="Y113" i="3"/>
  <c r="I113" i="3"/>
  <c r="R113" i="3"/>
  <c r="O498" i="3"/>
  <c r="Q195" i="3"/>
  <c r="R352" i="3"/>
  <c r="L139" i="3"/>
  <c r="W93" i="3"/>
  <c r="X195" i="3"/>
  <c r="Q128" i="3"/>
  <c r="N211" i="3"/>
  <c r="U163" i="3"/>
  <c r="I151" i="3"/>
  <c r="D428" i="3"/>
  <c r="K428" i="3" s="1"/>
  <c r="S368" i="3"/>
  <c r="X93" i="3"/>
  <c r="Z195" i="3"/>
  <c r="O195" i="3"/>
  <c r="L128" i="3"/>
  <c r="X352" i="3"/>
  <c r="G163" i="3"/>
  <c r="Z151" i="3"/>
  <c r="G46" i="3"/>
  <c r="N195" i="3"/>
  <c r="X128" i="3"/>
  <c r="Q211" i="3"/>
  <c r="E352" i="3"/>
  <c r="R211" i="3"/>
  <c r="Z498" i="3"/>
  <c r="E368" i="3"/>
  <c r="M195" i="3"/>
  <c r="T128" i="3"/>
  <c r="F211" i="3"/>
  <c r="F352" i="3"/>
  <c r="P290" i="3"/>
  <c r="P250" i="3"/>
  <c r="Y195" i="3"/>
  <c r="W211" i="3"/>
  <c r="G352" i="3"/>
  <c r="R356" i="3"/>
  <c r="F368" i="3"/>
  <c r="X46" i="3"/>
  <c r="G195" i="3"/>
  <c r="E211" i="3"/>
  <c r="T46" i="3"/>
  <c r="T356" i="3"/>
  <c r="D136" i="3"/>
  <c r="K136" i="3" s="1"/>
  <c r="M368" i="3"/>
  <c r="U195" i="3"/>
  <c r="T211" i="3"/>
  <c r="F93" i="3"/>
  <c r="Q352" i="3"/>
  <c r="L46" i="3"/>
  <c r="N151" i="3"/>
  <c r="W199" i="3"/>
  <c r="U199" i="3"/>
  <c r="I163" i="3"/>
  <c r="M356" i="3"/>
  <c r="Q69" i="3"/>
  <c r="L250" i="3"/>
  <c r="Y151" i="3"/>
  <c r="Q93" i="3"/>
  <c r="Z199" i="3"/>
  <c r="F308" i="3"/>
  <c r="M444" i="3"/>
  <c r="M352" i="3"/>
  <c r="G498" i="3"/>
  <c r="R195" i="3"/>
  <c r="Q395" i="3"/>
  <c r="U352" i="3"/>
  <c r="Y211" i="3"/>
  <c r="W151" i="3"/>
  <c r="Q199" i="3"/>
  <c r="Y356" i="3"/>
  <c r="T69" i="3"/>
  <c r="W498" i="3"/>
  <c r="E195" i="3"/>
  <c r="W50" i="3"/>
  <c r="F50" i="3"/>
  <c r="Q416" i="3"/>
  <c r="S416" i="3"/>
  <c r="Z448" i="3"/>
  <c r="U448" i="3"/>
  <c r="X448" i="3"/>
  <c r="G55" i="3"/>
  <c r="W55" i="3"/>
  <c r="N55" i="3"/>
  <c r="R55" i="3"/>
  <c r="L55" i="3"/>
  <c r="S55" i="3"/>
  <c r="E55" i="3"/>
  <c r="I55" i="3"/>
  <c r="M55" i="3"/>
  <c r="O55" i="3"/>
  <c r="Q55" i="3"/>
  <c r="Z55" i="3"/>
  <c r="T55" i="3"/>
  <c r="G241" i="3"/>
  <c r="Q241" i="3"/>
  <c r="L425" i="3"/>
  <c r="R425" i="3"/>
  <c r="I425" i="3"/>
  <c r="F425" i="3"/>
  <c r="U202" i="3"/>
  <c r="Y202" i="3"/>
  <c r="M202" i="3"/>
  <c r="N196" i="3"/>
  <c r="L196" i="3"/>
  <c r="S196" i="3"/>
  <c r="X318" i="3"/>
  <c r="R318" i="3"/>
  <c r="S318" i="3"/>
  <c r="O318" i="3"/>
  <c r="W318" i="3"/>
  <c r="U318" i="3"/>
  <c r="W472" i="3"/>
  <c r="G197" i="3"/>
  <c r="N481" i="3"/>
  <c r="G368" i="3"/>
  <c r="O368" i="3"/>
  <c r="Z368" i="3"/>
  <c r="T368" i="3"/>
  <c r="E378" i="3"/>
  <c r="N378" i="3"/>
  <c r="F484" i="3"/>
  <c r="M128" i="3"/>
  <c r="N128" i="3"/>
  <c r="S93" i="3"/>
  <c r="Z377" i="3"/>
  <c r="W377" i="3"/>
  <c r="X241" i="3"/>
  <c r="F46" i="3"/>
  <c r="M360" i="3"/>
  <c r="Y358" i="3"/>
  <c r="G470" i="3"/>
  <c r="M46" i="3"/>
  <c r="T318" i="3"/>
  <c r="U491" i="3"/>
  <c r="G395" i="3"/>
  <c r="S395" i="3"/>
  <c r="P395" i="3"/>
  <c r="L352" i="3"/>
  <c r="W352" i="3"/>
  <c r="T352" i="3"/>
  <c r="Y352" i="3"/>
  <c r="Y23" i="3"/>
  <c r="L23" i="3"/>
  <c r="I23" i="3"/>
  <c r="Y379" i="3"/>
  <c r="T379" i="3"/>
  <c r="R379" i="3"/>
  <c r="E379" i="3"/>
  <c r="O391" i="3"/>
  <c r="U391" i="3"/>
  <c r="S391" i="3"/>
  <c r="M391" i="3"/>
  <c r="I450" i="3"/>
  <c r="X450" i="3"/>
  <c r="O241" i="3"/>
  <c r="Z470" i="3"/>
  <c r="I470" i="3"/>
  <c r="R197" i="3"/>
  <c r="N425" i="3"/>
  <c r="T197" i="3"/>
  <c r="M459" i="3"/>
  <c r="N471" i="3"/>
  <c r="M377" i="3"/>
  <c r="P459" i="3"/>
  <c r="P360" i="3"/>
  <c r="R369" i="3"/>
  <c r="N369" i="3"/>
  <c r="O247" i="3"/>
  <c r="E247" i="3"/>
  <c r="Q356" i="3"/>
  <c r="E356" i="3"/>
  <c r="I356" i="3"/>
  <c r="G356" i="3"/>
  <c r="F356" i="3"/>
  <c r="F459" i="3"/>
  <c r="T378" i="3"/>
  <c r="W484" i="3"/>
  <c r="I128" i="3"/>
  <c r="Z128" i="3"/>
  <c r="I50" i="3"/>
  <c r="Y377" i="3"/>
  <c r="L241" i="3"/>
  <c r="F241" i="3"/>
  <c r="E202" i="3"/>
  <c r="T196" i="3"/>
  <c r="S358" i="3"/>
  <c r="W356" i="3"/>
  <c r="Q46" i="3"/>
  <c r="S128" i="3"/>
  <c r="P318" i="3"/>
  <c r="F318" i="3"/>
  <c r="Q491" i="3"/>
  <c r="E425" i="3"/>
  <c r="S50" i="3"/>
  <c r="N41" i="3"/>
  <c r="S41" i="3"/>
  <c r="Z41" i="3"/>
  <c r="P41" i="3"/>
  <c r="O41" i="3"/>
  <c r="L343" i="3"/>
  <c r="T343" i="3"/>
  <c r="F343" i="3"/>
  <c r="M343" i="3"/>
  <c r="U343" i="3"/>
  <c r="I343" i="3"/>
  <c r="E343" i="3"/>
  <c r="G174" i="3"/>
  <c r="T174" i="3"/>
  <c r="F174" i="3"/>
  <c r="E174" i="3"/>
  <c r="Y174" i="3"/>
  <c r="N174" i="3"/>
  <c r="Q174" i="3"/>
  <c r="M174" i="3"/>
  <c r="U162" i="3"/>
  <c r="N162" i="3"/>
  <c r="O138" i="3"/>
  <c r="G138" i="3"/>
  <c r="X138" i="3"/>
  <c r="P138" i="3"/>
  <c r="Z138" i="3"/>
  <c r="N138" i="3"/>
  <c r="L92" i="3"/>
  <c r="G345" i="3"/>
  <c r="E345" i="3"/>
  <c r="M393" i="3"/>
  <c r="I393" i="3"/>
  <c r="F470" i="3"/>
  <c r="X470" i="3"/>
  <c r="E470" i="3"/>
  <c r="N470" i="3"/>
  <c r="O470" i="3"/>
  <c r="Q470" i="3"/>
  <c r="G377" i="3"/>
  <c r="Z358" i="3"/>
  <c r="Q202" i="3"/>
  <c r="E358" i="3"/>
  <c r="S356" i="3"/>
  <c r="L470" i="3"/>
  <c r="E318" i="3"/>
  <c r="U308" i="3"/>
  <c r="P425" i="3"/>
  <c r="O356" i="3"/>
  <c r="Y425" i="3"/>
  <c r="M50" i="3"/>
  <c r="P349" i="3"/>
  <c r="L349" i="3"/>
  <c r="I349" i="3"/>
  <c r="R283" i="3"/>
  <c r="W283" i="3"/>
  <c r="R221" i="3"/>
  <c r="Y221" i="3"/>
  <c r="T209" i="3"/>
  <c r="X209" i="3"/>
  <c r="Z209" i="3"/>
  <c r="F209" i="3"/>
  <c r="U209" i="3"/>
  <c r="N209" i="3"/>
  <c r="R185" i="3"/>
  <c r="T491" i="3"/>
  <c r="R491" i="3"/>
  <c r="M491" i="3"/>
  <c r="X491" i="3"/>
  <c r="S241" i="3"/>
  <c r="G425" i="3"/>
  <c r="P202" i="3"/>
  <c r="S377" i="3"/>
  <c r="R470" i="3"/>
  <c r="L69" i="3"/>
  <c r="N69" i="3"/>
  <c r="X69" i="3"/>
  <c r="I459" i="3"/>
  <c r="L368" i="3"/>
  <c r="I46" i="3"/>
  <c r="U128" i="3"/>
  <c r="E472" i="3"/>
  <c r="P356" i="3"/>
  <c r="Y470" i="3"/>
  <c r="I318" i="3"/>
  <c r="R196" i="3"/>
  <c r="Z491" i="3"/>
  <c r="Z425" i="3"/>
  <c r="W425" i="3"/>
  <c r="G50" i="3"/>
  <c r="Z224" i="3"/>
  <c r="T224" i="3"/>
  <c r="Y224" i="3"/>
  <c r="L224" i="3"/>
  <c r="W224" i="3"/>
  <c r="U224" i="3"/>
  <c r="N224" i="3"/>
  <c r="N487" i="3"/>
  <c r="E487" i="3"/>
  <c r="Q348" i="3"/>
  <c r="I348" i="3"/>
  <c r="O348" i="3"/>
  <c r="Q208" i="3"/>
  <c r="S208" i="3"/>
  <c r="E208" i="3"/>
  <c r="X208" i="3"/>
  <c r="P208" i="3"/>
  <c r="M208" i="3"/>
  <c r="P125" i="3"/>
  <c r="E125" i="3"/>
  <c r="R125" i="3"/>
  <c r="Z125" i="3"/>
  <c r="P113" i="3"/>
  <c r="U113" i="3"/>
  <c r="N113" i="3"/>
  <c r="X113" i="3"/>
  <c r="W113" i="3"/>
  <c r="Q113" i="3"/>
  <c r="E113" i="3"/>
  <c r="G78" i="3"/>
  <c r="W78" i="3"/>
  <c r="U66" i="3"/>
  <c r="R66" i="3"/>
  <c r="T66" i="3"/>
  <c r="O491" i="3"/>
  <c r="E491" i="3"/>
  <c r="U425" i="3"/>
  <c r="O425" i="3"/>
  <c r="U50" i="3"/>
  <c r="T459" i="3"/>
  <c r="O484" i="3"/>
  <c r="Q484" i="3"/>
  <c r="X377" i="3"/>
  <c r="N366" i="3"/>
  <c r="N241" i="3"/>
  <c r="N352" i="3"/>
  <c r="X366" i="3"/>
  <c r="W358" i="3"/>
  <c r="O46" i="3"/>
  <c r="N23" i="3"/>
  <c r="E369" i="3"/>
  <c r="G472" i="3"/>
  <c r="L202" i="3"/>
  <c r="X369" i="3"/>
  <c r="L358" i="3"/>
  <c r="L484" i="3"/>
  <c r="U470" i="3"/>
  <c r="Z318" i="3"/>
  <c r="Y41" i="3"/>
  <c r="O343" i="3"/>
  <c r="S491" i="3"/>
  <c r="Q358" i="3"/>
  <c r="P325" i="3"/>
  <c r="G325" i="3"/>
  <c r="N44" i="3"/>
  <c r="Q44" i="3"/>
  <c r="U44" i="3"/>
  <c r="G44" i="3"/>
  <c r="R44" i="3"/>
  <c r="T44" i="3"/>
  <c r="L44" i="3"/>
  <c r="G124" i="3"/>
  <c r="O124" i="3"/>
  <c r="S77" i="3"/>
  <c r="M77" i="3"/>
  <c r="I77" i="3"/>
  <c r="Q77" i="3"/>
  <c r="U77" i="3"/>
  <c r="Z30" i="3"/>
  <c r="F30" i="3"/>
  <c r="O377" i="3"/>
  <c r="F377" i="3"/>
  <c r="Q377" i="3"/>
  <c r="R377" i="3"/>
  <c r="I241" i="3"/>
  <c r="T470" i="3"/>
  <c r="Y241" i="3"/>
  <c r="U93" i="3"/>
  <c r="O93" i="3"/>
  <c r="W368" i="3"/>
  <c r="X368" i="3"/>
  <c r="Q368" i="3"/>
  <c r="R368" i="3"/>
  <c r="I197" i="3"/>
  <c r="G128" i="3"/>
  <c r="F358" i="3"/>
  <c r="N368" i="3"/>
  <c r="U459" i="3"/>
  <c r="Y368" i="3"/>
  <c r="O402" i="3"/>
  <c r="S484" i="3"/>
  <c r="P128" i="3"/>
  <c r="L366" i="3"/>
  <c r="R459" i="3"/>
  <c r="U368" i="3"/>
  <c r="Z459" i="3"/>
  <c r="Z402" i="3"/>
  <c r="Y378" i="3"/>
  <c r="G378" i="3"/>
  <c r="S195" i="3"/>
  <c r="E484" i="3"/>
  <c r="I484" i="3"/>
  <c r="W128" i="3"/>
  <c r="M93" i="3"/>
  <c r="U241" i="3"/>
  <c r="L377" i="3"/>
  <c r="I352" i="3"/>
  <c r="R46" i="3"/>
  <c r="R313" i="3"/>
  <c r="O23" i="3"/>
  <c r="W369" i="3"/>
  <c r="S472" i="3"/>
  <c r="U348" i="3"/>
  <c r="X380" i="3"/>
  <c r="L318" i="3"/>
  <c r="G41" i="3"/>
  <c r="M224" i="3"/>
  <c r="G343" i="3"/>
  <c r="M313" i="3"/>
  <c r="Q224" i="3"/>
  <c r="N377" i="3"/>
  <c r="L491" i="3"/>
  <c r="R69" i="3"/>
  <c r="T425" i="3"/>
  <c r="G369" i="3"/>
  <c r="Y43" i="3"/>
  <c r="N43" i="3"/>
  <c r="L43" i="3"/>
  <c r="I496" i="3"/>
  <c r="U496" i="3"/>
  <c r="I230" i="3"/>
  <c r="U230" i="3"/>
  <c r="X194" i="3"/>
  <c r="W194" i="3"/>
  <c r="I135" i="3"/>
  <c r="M135" i="3"/>
  <c r="Q135" i="3"/>
  <c r="U135" i="3"/>
  <c r="Z241" i="3"/>
  <c r="W241" i="3"/>
  <c r="X50" i="3"/>
  <c r="Q50" i="3"/>
  <c r="E50" i="3"/>
  <c r="L308" i="3"/>
  <c r="E308" i="3"/>
  <c r="P368" i="3"/>
  <c r="O50" i="3"/>
  <c r="G459" i="3"/>
  <c r="N358" i="3"/>
  <c r="Q425" i="3"/>
  <c r="F471" i="3"/>
  <c r="Y459" i="3"/>
  <c r="Q459" i="3"/>
  <c r="T492" i="3"/>
  <c r="L378" i="3"/>
  <c r="U378" i="3"/>
  <c r="F195" i="3"/>
  <c r="R484" i="3"/>
  <c r="E128" i="3"/>
  <c r="L93" i="3"/>
  <c r="U377" i="3"/>
  <c r="M241" i="3"/>
  <c r="P352" i="3"/>
  <c r="Z343" i="3"/>
  <c r="U313" i="3"/>
  <c r="U23" i="3"/>
  <c r="P379" i="3"/>
  <c r="Z356" i="3"/>
  <c r="F369" i="3"/>
  <c r="S209" i="3"/>
  <c r="N356" i="3"/>
  <c r="Q150" i="3"/>
  <c r="W360" i="3"/>
  <c r="S470" i="3"/>
  <c r="G318" i="3"/>
  <c r="D207" i="3"/>
  <c r="K207" i="3" s="1"/>
  <c r="X358" i="3"/>
  <c r="T358" i="3"/>
  <c r="R358" i="3"/>
  <c r="U358" i="3"/>
  <c r="P46" i="3"/>
  <c r="Z46" i="3"/>
  <c r="Y46" i="3"/>
  <c r="N46" i="3"/>
  <c r="E46" i="3"/>
  <c r="S46" i="3"/>
  <c r="S202" i="3"/>
  <c r="W378" i="3"/>
  <c r="G358" i="3"/>
  <c r="Z378" i="3"/>
  <c r="F128" i="3"/>
  <c r="F256" i="3"/>
  <c r="E69" i="3"/>
  <c r="P197" i="3"/>
  <c r="P358" i="3"/>
  <c r="R128" i="3"/>
  <c r="S256" i="3"/>
  <c r="I93" i="3"/>
  <c r="E196" i="3"/>
  <c r="F492" i="3"/>
  <c r="R378" i="3"/>
  <c r="M378" i="3"/>
  <c r="W195" i="3"/>
  <c r="Y484" i="3"/>
  <c r="P484" i="3"/>
  <c r="T50" i="3"/>
  <c r="R93" i="3"/>
  <c r="I377" i="3"/>
  <c r="P241" i="3"/>
  <c r="Z352" i="3"/>
  <c r="U46" i="3"/>
  <c r="Y343" i="3"/>
  <c r="Z23" i="3"/>
  <c r="L356" i="3"/>
  <c r="P369" i="3"/>
  <c r="O369" i="3"/>
  <c r="T348" i="3"/>
  <c r="S360" i="3"/>
  <c r="P224" i="3"/>
  <c r="W470" i="3"/>
  <c r="N318" i="3"/>
  <c r="T41" i="3"/>
  <c r="Q343" i="3"/>
  <c r="W453" i="3"/>
  <c r="T325" i="3"/>
  <c r="I491" i="3"/>
  <c r="F491" i="3"/>
  <c r="I78" i="3"/>
  <c r="T188" i="3"/>
  <c r="R188" i="3"/>
  <c r="I188" i="3"/>
  <c r="T310" i="3"/>
  <c r="T151" i="3"/>
  <c r="S83" i="3"/>
  <c r="Q83" i="3"/>
  <c r="W405" i="3"/>
  <c r="W75" i="3"/>
  <c r="Y58" i="3"/>
  <c r="R405" i="3"/>
  <c r="O151" i="3"/>
  <c r="S265" i="3"/>
  <c r="G405" i="3"/>
  <c r="Z423" i="3"/>
  <c r="G199" i="3"/>
  <c r="W58" i="3"/>
  <c r="Z75" i="3"/>
  <c r="S405" i="3"/>
  <c r="O444" i="3"/>
  <c r="F250" i="3"/>
  <c r="S151" i="3"/>
  <c r="G151" i="3"/>
  <c r="R199" i="3"/>
  <c r="Y199" i="3"/>
  <c r="M405" i="3"/>
  <c r="Q86" i="3"/>
  <c r="F75" i="3"/>
  <c r="L423" i="3"/>
  <c r="R151" i="3"/>
  <c r="W265" i="3"/>
  <c r="P405" i="3"/>
  <c r="G58" i="3"/>
  <c r="E429" i="3"/>
  <c r="X75" i="3"/>
  <c r="I75" i="3"/>
  <c r="Z254" i="3"/>
  <c r="P151" i="3"/>
  <c r="S86" i="3"/>
  <c r="N250" i="3"/>
  <c r="F405" i="3"/>
  <c r="L75" i="3"/>
  <c r="M423" i="3"/>
  <c r="W423" i="3"/>
  <c r="M151" i="3"/>
  <c r="G265" i="3"/>
  <c r="X405" i="3"/>
  <c r="M75" i="3"/>
  <c r="X290" i="3"/>
  <c r="X86" i="3"/>
  <c r="L290" i="3"/>
  <c r="F265" i="3"/>
  <c r="U290" i="3"/>
  <c r="T423" i="3"/>
  <c r="F444" i="3"/>
  <c r="O447" i="3"/>
  <c r="Q447" i="3"/>
  <c r="N447" i="3"/>
  <c r="S296" i="3"/>
  <c r="L296" i="3"/>
  <c r="R218" i="3"/>
  <c r="X218" i="3"/>
  <c r="S218" i="3"/>
  <c r="M218" i="3"/>
  <c r="O218" i="3"/>
  <c r="E218" i="3"/>
  <c r="Y218" i="3"/>
  <c r="W218" i="3"/>
  <c r="L218" i="3"/>
  <c r="U218" i="3"/>
  <c r="Z218" i="3"/>
  <c r="T218" i="3"/>
  <c r="I218" i="3"/>
  <c r="G218" i="3"/>
  <c r="P218" i="3"/>
  <c r="N218" i="3"/>
  <c r="F218" i="3"/>
  <c r="L99" i="3"/>
  <c r="E99" i="3"/>
  <c r="N99" i="3"/>
  <c r="R99" i="3"/>
  <c r="G99" i="3"/>
  <c r="W99" i="3"/>
  <c r="Z99" i="3"/>
  <c r="O99" i="3"/>
  <c r="I99" i="3"/>
  <c r="F99" i="3"/>
  <c r="S99" i="3"/>
  <c r="P99" i="3"/>
  <c r="T99" i="3"/>
  <c r="Q99" i="3"/>
  <c r="U99" i="3"/>
  <c r="F359" i="3"/>
  <c r="N359" i="3"/>
  <c r="Y359" i="3"/>
  <c r="M359" i="3"/>
  <c r="R359" i="3"/>
  <c r="P359" i="3"/>
  <c r="L359" i="3"/>
  <c r="O359" i="3"/>
  <c r="I359" i="3"/>
  <c r="Z359" i="3"/>
  <c r="W359" i="3"/>
  <c r="U359" i="3"/>
  <c r="X359" i="3"/>
  <c r="Q359" i="3"/>
  <c r="G359" i="3"/>
  <c r="G383" i="3"/>
  <c r="S383" i="3"/>
  <c r="M383" i="3"/>
  <c r="X383" i="3"/>
  <c r="Z383" i="3"/>
  <c r="P383" i="3"/>
  <c r="E383" i="3"/>
  <c r="U383" i="3"/>
  <c r="W383" i="3"/>
  <c r="O383" i="3"/>
  <c r="F383" i="3"/>
  <c r="T383" i="3"/>
  <c r="R383" i="3"/>
  <c r="N383" i="3"/>
  <c r="I383" i="3"/>
  <c r="Q383" i="3"/>
  <c r="S206" i="3"/>
  <c r="G206" i="3"/>
  <c r="P206" i="3"/>
  <c r="O206" i="3"/>
  <c r="T206" i="3"/>
  <c r="Z206" i="3"/>
  <c r="W206" i="3"/>
  <c r="Y206" i="3"/>
  <c r="I206" i="3"/>
  <c r="F206" i="3"/>
  <c r="Q206" i="3"/>
  <c r="X206" i="3"/>
  <c r="R206" i="3"/>
  <c r="L206" i="3"/>
  <c r="P267" i="3"/>
  <c r="G267" i="3"/>
  <c r="F267" i="3"/>
  <c r="O267" i="3"/>
  <c r="L267" i="3"/>
  <c r="R267" i="3"/>
  <c r="Y267" i="3"/>
  <c r="Z267" i="3"/>
  <c r="N267" i="3"/>
  <c r="S267" i="3"/>
  <c r="I267" i="3"/>
  <c r="E267" i="3"/>
  <c r="X267" i="3"/>
  <c r="U267" i="3"/>
  <c r="Q267" i="3"/>
  <c r="W267" i="3"/>
  <c r="M267" i="3"/>
  <c r="T267" i="3"/>
  <c r="G72" i="3"/>
  <c r="Y72" i="3"/>
  <c r="Q72" i="3"/>
  <c r="U72" i="3"/>
  <c r="L72" i="3"/>
  <c r="X72" i="3"/>
  <c r="I72" i="3"/>
  <c r="N72" i="3"/>
  <c r="O72" i="3"/>
  <c r="Z72" i="3"/>
  <c r="R72" i="3"/>
  <c r="W72" i="3"/>
  <c r="Y49" i="3"/>
  <c r="W49" i="3"/>
  <c r="M49" i="3"/>
  <c r="N49" i="3"/>
  <c r="U49" i="3"/>
  <c r="O49" i="3"/>
  <c r="L152" i="3"/>
  <c r="E152" i="3"/>
  <c r="Y152" i="3"/>
  <c r="F152" i="3"/>
  <c r="Z152" i="3"/>
  <c r="M152" i="3"/>
  <c r="U152" i="3"/>
  <c r="T152" i="3"/>
  <c r="I152" i="3"/>
  <c r="R152" i="3"/>
  <c r="P152" i="3"/>
  <c r="O152" i="3"/>
  <c r="S152" i="3"/>
  <c r="W152" i="3"/>
  <c r="G152" i="3"/>
  <c r="X152" i="3"/>
  <c r="Q152" i="3"/>
  <c r="N152" i="3"/>
  <c r="G140" i="3"/>
  <c r="U140" i="3"/>
  <c r="S140" i="3"/>
  <c r="Z140" i="3"/>
  <c r="P140" i="3"/>
  <c r="N140" i="3"/>
  <c r="M140" i="3"/>
  <c r="Y140" i="3"/>
  <c r="L140" i="3"/>
  <c r="E140" i="3"/>
  <c r="Q140" i="3"/>
  <c r="O140" i="3"/>
  <c r="F140" i="3"/>
  <c r="T140" i="3"/>
  <c r="X140" i="3"/>
  <c r="I140" i="3"/>
  <c r="W140" i="3"/>
  <c r="R140" i="3"/>
  <c r="E282" i="3"/>
  <c r="R282" i="3"/>
  <c r="Z282" i="3"/>
  <c r="N282" i="3"/>
  <c r="S282" i="3"/>
  <c r="F282" i="3"/>
  <c r="U282" i="3"/>
  <c r="P282" i="3"/>
  <c r="Q282" i="3"/>
  <c r="M282" i="3"/>
  <c r="M160" i="3"/>
  <c r="G80" i="3"/>
  <c r="Z496" i="3"/>
  <c r="N395" i="3"/>
  <c r="X395" i="3"/>
  <c r="Z418" i="3"/>
  <c r="Y185" i="3"/>
  <c r="I185" i="3"/>
  <c r="P503" i="3"/>
  <c r="I92" i="3"/>
  <c r="U92" i="3"/>
  <c r="R230" i="3"/>
  <c r="E177" i="3"/>
  <c r="X43" i="3"/>
  <c r="X444" i="3"/>
  <c r="G418" i="3"/>
  <c r="L496" i="3"/>
  <c r="I429" i="3"/>
  <c r="T164" i="3"/>
  <c r="F448" i="3"/>
  <c r="M395" i="3"/>
  <c r="U366" i="3"/>
  <c r="F395" i="3"/>
  <c r="F418" i="3"/>
  <c r="Q185" i="3"/>
  <c r="G503" i="3"/>
  <c r="O92" i="3"/>
  <c r="N92" i="3"/>
  <c r="S448" i="3"/>
  <c r="X177" i="3"/>
  <c r="F43" i="3"/>
  <c r="P496" i="3"/>
  <c r="O80" i="3"/>
  <c r="N418" i="3"/>
  <c r="F496" i="3"/>
  <c r="Y429" i="3"/>
  <c r="O429" i="3"/>
  <c r="P429" i="3"/>
  <c r="E279" i="3"/>
  <c r="W254" i="3"/>
  <c r="M254" i="3"/>
  <c r="Q164" i="3"/>
  <c r="S254" i="3"/>
  <c r="E402" i="3"/>
  <c r="I164" i="3"/>
  <c r="R164" i="3"/>
  <c r="T448" i="3"/>
  <c r="Z395" i="3"/>
  <c r="I418" i="3"/>
  <c r="M185" i="3"/>
  <c r="E185" i="3"/>
  <c r="M60" i="3"/>
  <c r="M503" i="3"/>
  <c r="M92" i="3"/>
  <c r="S194" i="3"/>
  <c r="I43" i="3"/>
  <c r="R80" i="3"/>
  <c r="S444" i="3"/>
  <c r="O496" i="3"/>
  <c r="W429" i="3"/>
  <c r="Z429" i="3"/>
  <c r="N80" i="3"/>
  <c r="P308" i="3"/>
  <c r="R393" i="3"/>
  <c r="I448" i="3"/>
  <c r="Y55" i="3"/>
  <c r="U227" i="3"/>
  <c r="I69" i="3"/>
  <c r="W69" i="3"/>
  <c r="Y254" i="3"/>
  <c r="Q254" i="3"/>
  <c r="S402" i="3"/>
  <c r="O164" i="3"/>
  <c r="Q448" i="3"/>
  <c r="R448" i="3"/>
  <c r="E395" i="3"/>
  <c r="S418" i="3"/>
  <c r="X185" i="3"/>
  <c r="N185" i="3"/>
  <c r="U60" i="3"/>
  <c r="G60" i="3"/>
  <c r="P60" i="3"/>
  <c r="Q503" i="3"/>
  <c r="G254" i="3"/>
  <c r="Q92" i="3"/>
  <c r="G194" i="3"/>
  <c r="Q496" i="3"/>
  <c r="R402" i="3"/>
  <c r="Z177" i="3"/>
  <c r="O43" i="3"/>
  <c r="Q391" i="3"/>
  <c r="L429" i="3"/>
  <c r="R429" i="3"/>
  <c r="O350" i="3"/>
  <c r="E80" i="3"/>
  <c r="U80" i="3"/>
  <c r="L350" i="3"/>
  <c r="O393" i="3"/>
  <c r="G391" i="3"/>
  <c r="W491" i="3"/>
  <c r="G491" i="3"/>
  <c r="X350" i="3"/>
  <c r="L254" i="3"/>
  <c r="E164" i="3"/>
  <c r="M448" i="3"/>
  <c r="N448" i="3"/>
  <c r="O395" i="3"/>
  <c r="X418" i="3"/>
  <c r="W185" i="3"/>
  <c r="L185" i="3"/>
  <c r="Z503" i="3"/>
  <c r="F254" i="3"/>
  <c r="P92" i="3"/>
  <c r="E194" i="3"/>
  <c r="S45" i="3"/>
  <c r="Y496" i="3"/>
  <c r="T444" i="3"/>
  <c r="Q418" i="3"/>
  <c r="Q429" i="3"/>
  <c r="F80" i="3"/>
  <c r="S308" i="3"/>
  <c r="F55" i="3"/>
  <c r="Z308" i="3"/>
  <c r="M308" i="3"/>
  <c r="Y444" i="3"/>
  <c r="N164" i="3"/>
  <c r="E503" i="3"/>
  <c r="W164" i="3"/>
  <c r="Y448" i="3"/>
  <c r="L395" i="3"/>
  <c r="G185" i="3"/>
  <c r="Q60" i="3"/>
  <c r="N60" i="3"/>
  <c r="I503" i="3"/>
  <c r="N254" i="3"/>
  <c r="W92" i="3"/>
  <c r="S92" i="3"/>
  <c r="E496" i="3"/>
  <c r="E311" i="3"/>
  <c r="T496" i="3"/>
  <c r="E444" i="3"/>
  <c r="X429" i="3"/>
  <c r="O224" i="3"/>
  <c r="U55" i="3"/>
  <c r="F429" i="3"/>
  <c r="E391" i="3"/>
  <c r="R227" i="3"/>
  <c r="P491" i="3"/>
  <c r="U356" i="3"/>
  <c r="Z69" i="3"/>
  <c r="P177" i="3"/>
  <c r="P254" i="3"/>
  <c r="U164" i="3"/>
  <c r="O448" i="3"/>
  <c r="I395" i="3"/>
  <c r="F366" i="3"/>
  <c r="F185" i="3"/>
  <c r="X60" i="3"/>
  <c r="W60" i="3"/>
  <c r="L503" i="3"/>
  <c r="T254" i="3"/>
  <c r="E92" i="3"/>
  <c r="X92" i="3"/>
  <c r="S496" i="3"/>
  <c r="P448" i="3"/>
  <c r="Z444" i="3"/>
  <c r="R254" i="3"/>
  <c r="E43" i="3"/>
  <c r="U444" i="3"/>
  <c r="U177" i="3"/>
  <c r="I80" i="3"/>
  <c r="U279" i="3"/>
  <c r="W418" i="3"/>
  <c r="G429" i="3"/>
  <c r="M429" i="3"/>
  <c r="S164" i="3"/>
  <c r="X55" i="3"/>
  <c r="S429" i="3"/>
  <c r="X391" i="3"/>
  <c r="Y491" i="3"/>
  <c r="M69" i="3"/>
  <c r="M177" i="3"/>
  <c r="O254" i="3"/>
  <c r="F164" i="3"/>
  <c r="G448" i="3"/>
  <c r="W395" i="3"/>
  <c r="O185" i="3"/>
  <c r="Y503" i="3"/>
  <c r="O503" i="3"/>
  <c r="M56" i="3"/>
  <c r="G92" i="3"/>
  <c r="Y92" i="3"/>
  <c r="G496" i="3"/>
  <c r="Q444" i="3"/>
  <c r="L177" i="3"/>
  <c r="R43" i="3"/>
  <c r="T177" i="3"/>
  <c r="L418" i="3"/>
  <c r="N496" i="3"/>
  <c r="T429" i="3"/>
  <c r="T279" i="3"/>
  <c r="I254" i="3"/>
  <c r="P164" i="3"/>
  <c r="E448" i="3"/>
  <c r="T395" i="3"/>
  <c r="Y395" i="3"/>
  <c r="Y418" i="3"/>
  <c r="S185" i="3"/>
  <c r="F92" i="3"/>
  <c r="R92" i="3"/>
  <c r="L80" i="3"/>
  <c r="M496" i="3"/>
  <c r="S177" i="3"/>
  <c r="L444" i="3"/>
  <c r="T43" i="3"/>
  <c r="X496" i="3"/>
  <c r="R418" i="3"/>
  <c r="W496" i="3"/>
  <c r="U429" i="3"/>
  <c r="Z80" i="3"/>
  <c r="Z43" i="3"/>
  <c r="P55" i="3"/>
  <c r="L391" i="3"/>
  <c r="P444" i="3"/>
  <c r="R444" i="3"/>
  <c r="W391" i="3"/>
  <c r="X164" i="3"/>
  <c r="L448" i="3"/>
  <c r="U395" i="3"/>
  <c r="T366" i="3"/>
  <c r="U418" i="3"/>
  <c r="Z185" i="3"/>
  <c r="I60" i="3"/>
  <c r="R503" i="3"/>
  <c r="T80" i="3"/>
  <c r="R496" i="3"/>
  <c r="I444" i="3"/>
  <c r="S43" i="3"/>
  <c r="W444" i="3"/>
  <c r="P80" i="3"/>
  <c r="P393" i="3"/>
  <c r="Q43" i="3"/>
  <c r="R391" i="3"/>
  <c r="X503" i="3"/>
  <c r="Y222" i="3"/>
  <c r="P222" i="3"/>
  <c r="F222" i="3"/>
  <c r="S222" i="3"/>
  <c r="G222" i="3"/>
  <c r="E222" i="3"/>
  <c r="T222" i="3"/>
  <c r="U222" i="3"/>
  <c r="M222" i="3"/>
  <c r="L222" i="3"/>
  <c r="R222" i="3"/>
  <c r="Q222" i="3"/>
  <c r="N222" i="3"/>
  <c r="I222" i="3"/>
  <c r="X222" i="3"/>
  <c r="W222" i="3"/>
  <c r="X45" i="3"/>
  <c r="I234" i="3"/>
  <c r="T234" i="3"/>
  <c r="Z234" i="3"/>
  <c r="E234" i="3"/>
  <c r="Q234" i="3"/>
  <c r="M234" i="3"/>
  <c r="T275" i="3"/>
  <c r="I275" i="3"/>
  <c r="Q275" i="3"/>
  <c r="F275" i="3"/>
  <c r="X275" i="3"/>
  <c r="O275" i="3"/>
  <c r="M275" i="3"/>
  <c r="P275" i="3"/>
  <c r="Y275" i="3"/>
  <c r="U275" i="3"/>
  <c r="N275" i="3"/>
  <c r="Z275" i="3"/>
  <c r="R275" i="3"/>
  <c r="S275" i="3"/>
  <c r="G275" i="3"/>
  <c r="L275" i="3"/>
  <c r="I56" i="3"/>
  <c r="E45" i="3"/>
  <c r="T45" i="3"/>
  <c r="L127" i="3"/>
  <c r="L305" i="3"/>
  <c r="O305" i="3"/>
  <c r="E305" i="3"/>
  <c r="Q305" i="3"/>
  <c r="F305" i="3"/>
  <c r="M305" i="3"/>
  <c r="G305" i="3"/>
  <c r="I305" i="3"/>
  <c r="W305" i="3"/>
  <c r="U305" i="3"/>
  <c r="P305" i="3"/>
  <c r="X305" i="3"/>
  <c r="U139" i="3"/>
  <c r="X139" i="3"/>
  <c r="Q139" i="3"/>
  <c r="Y139" i="3"/>
  <c r="I139" i="3"/>
  <c r="S139" i="3"/>
  <c r="Z139" i="3"/>
  <c r="N139" i="3"/>
  <c r="M139" i="3"/>
  <c r="W139" i="3"/>
  <c r="O139" i="3"/>
  <c r="R139" i="3"/>
  <c r="F139" i="3"/>
  <c r="E139" i="3"/>
  <c r="T139" i="3"/>
  <c r="G139" i="3"/>
  <c r="G56" i="3"/>
  <c r="W56" i="3"/>
  <c r="R45" i="3"/>
  <c r="Q453" i="3"/>
  <c r="T453" i="3"/>
  <c r="Z453" i="3"/>
  <c r="P453" i="3"/>
  <c r="R453" i="3"/>
  <c r="X453" i="3"/>
  <c r="N453" i="3"/>
  <c r="G453" i="3"/>
  <c r="M453" i="3"/>
  <c r="O453" i="3"/>
  <c r="F453" i="3"/>
  <c r="E453" i="3"/>
  <c r="U453" i="3"/>
  <c r="I453" i="3"/>
  <c r="O346" i="3"/>
  <c r="M346" i="3"/>
  <c r="G346" i="3"/>
  <c r="L346" i="3"/>
  <c r="W346" i="3"/>
  <c r="U346" i="3"/>
  <c r="Z346" i="3"/>
  <c r="S346" i="3"/>
  <c r="Q346" i="3"/>
  <c r="R346" i="3"/>
  <c r="T346" i="3"/>
  <c r="N346" i="3"/>
  <c r="Y346" i="3"/>
  <c r="F346" i="3"/>
  <c r="P346" i="3"/>
  <c r="Z56" i="3"/>
  <c r="I45" i="3"/>
  <c r="F45" i="3"/>
  <c r="Q127" i="3"/>
  <c r="L483" i="3"/>
  <c r="T127" i="3"/>
  <c r="E127" i="3"/>
  <c r="X127" i="3"/>
  <c r="R127" i="3"/>
  <c r="G127" i="3"/>
  <c r="F127" i="3"/>
  <c r="Y127" i="3"/>
  <c r="I127" i="3"/>
  <c r="S127" i="3"/>
  <c r="Z127" i="3"/>
  <c r="O127" i="3"/>
  <c r="U127" i="3"/>
  <c r="P127" i="3"/>
  <c r="W127" i="3"/>
  <c r="Y56" i="3"/>
  <c r="X56" i="3"/>
  <c r="N56" i="3"/>
  <c r="Q56" i="3"/>
  <c r="U56" i="3"/>
  <c r="E56" i="3"/>
  <c r="P56" i="3"/>
  <c r="N483" i="3"/>
  <c r="T305" i="3"/>
  <c r="T360" i="3"/>
  <c r="R360" i="3"/>
  <c r="Z360" i="3"/>
  <c r="I360" i="3"/>
  <c r="F360" i="3"/>
  <c r="Q360" i="3"/>
  <c r="N360" i="3"/>
  <c r="O360" i="3"/>
  <c r="G360" i="3"/>
  <c r="E360" i="3"/>
  <c r="U360" i="3"/>
  <c r="X360" i="3"/>
  <c r="X483" i="3"/>
  <c r="F483" i="3"/>
  <c r="T483" i="3"/>
  <c r="S483" i="3"/>
  <c r="Y483" i="3"/>
  <c r="U483" i="3"/>
  <c r="Q483" i="3"/>
  <c r="W483" i="3"/>
  <c r="O483" i="3"/>
  <c r="E483" i="3"/>
  <c r="N45" i="3"/>
  <c r="T56" i="3"/>
  <c r="S56" i="3"/>
  <c r="G483" i="3"/>
  <c r="I483" i="3"/>
  <c r="S502" i="3"/>
  <c r="O502" i="3"/>
  <c r="Y502" i="3"/>
  <c r="U502" i="3"/>
  <c r="G502" i="3"/>
  <c r="F502" i="3"/>
  <c r="R502" i="3"/>
  <c r="E502" i="3"/>
  <c r="Z502" i="3"/>
  <c r="I502" i="3"/>
  <c r="M502" i="3"/>
  <c r="P502" i="3"/>
  <c r="R241" i="3"/>
  <c r="T241" i="3"/>
  <c r="W135" i="3"/>
  <c r="O135" i="3"/>
  <c r="I216" i="3"/>
  <c r="N216" i="3"/>
  <c r="F216" i="3"/>
  <c r="Y216" i="3"/>
  <c r="O216" i="3"/>
  <c r="W216" i="3"/>
  <c r="G216" i="3"/>
  <c r="Z192" i="3"/>
  <c r="U192" i="3"/>
  <c r="P192" i="3"/>
  <c r="Y192" i="3"/>
  <c r="T192" i="3"/>
  <c r="N192" i="3"/>
  <c r="L192" i="3"/>
  <c r="W192" i="3"/>
  <c r="M192" i="3"/>
  <c r="F192" i="3"/>
  <c r="I192" i="3"/>
  <c r="E192" i="3"/>
  <c r="X192" i="3"/>
  <c r="O192" i="3"/>
  <c r="S281" i="3"/>
  <c r="Z281" i="3"/>
  <c r="T281" i="3"/>
  <c r="X281" i="3"/>
  <c r="Y281" i="3"/>
  <c r="L281" i="3"/>
  <c r="P281" i="3"/>
  <c r="W281" i="3"/>
  <c r="N281" i="3"/>
  <c r="E281" i="3"/>
  <c r="M281" i="3"/>
  <c r="G281" i="3"/>
  <c r="F281" i="3"/>
  <c r="R281" i="3"/>
  <c r="I281" i="3"/>
  <c r="L409" i="3"/>
  <c r="X409" i="3"/>
  <c r="N409" i="3"/>
  <c r="R56" i="3"/>
  <c r="F56" i="3"/>
  <c r="P483" i="3"/>
  <c r="G45" i="3"/>
  <c r="O472" i="3"/>
  <c r="U472" i="3"/>
  <c r="Y472" i="3"/>
  <c r="P472" i="3"/>
  <c r="X472" i="3"/>
  <c r="F472" i="3"/>
  <c r="I472" i="3"/>
  <c r="L472" i="3"/>
  <c r="M472" i="3"/>
  <c r="T472" i="3"/>
  <c r="R472" i="3"/>
  <c r="Z472" i="3"/>
  <c r="E42" i="3"/>
  <c r="M42" i="3"/>
  <c r="R30" i="3"/>
  <c r="W30" i="3"/>
  <c r="L30" i="3"/>
  <c r="Y258" i="3"/>
  <c r="N258" i="3"/>
  <c r="O258" i="3"/>
  <c r="Q258" i="3"/>
  <c r="L258" i="3"/>
  <c r="R258" i="3"/>
  <c r="U258" i="3"/>
  <c r="M258" i="3"/>
  <c r="P258" i="3"/>
  <c r="G258" i="3"/>
  <c r="E258" i="3"/>
  <c r="Z258" i="3"/>
  <c r="U270" i="3"/>
  <c r="Y292" i="3"/>
  <c r="Q292" i="3"/>
  <c r="W292" i="3"/>
  <c r="U292" i="3"/>
  <c r="X292" i="3"/>
  <c r="Z292" i="3"/>
  <c r="E292" i="3"/>
  <c r="R292" i="3"/>
  <c r="L56" i="3"/>
  <c r="M483" i="3"/>
  <c r="N54" i="3"/>
  <c r="S305" i="3"/>
  <c r="R445" i="3"/>
  <c r="E445" i="3"/>
  <c r="X445" i="3"/>
  <c r="M445" i="3"/>
  <c r="Q445" i="3"/>
  <c r="W445" i="3"/>
  <c r="P445" i="3"/>
  <c r="T445" i="3"/>
  <c r="O445" i="3"/>
  <c r="S445" i="3"/>
  <c r="X348" i="3"/>
  <c r="M348" i="3"/>
  <c r="N348" i="3"/>
  <c r="E348" i="3"/>
  <c r="L348" i="3"/>
  <c r="G348" i="3"/>
  <c r="Z348" i="3"/>
  <c r="R348" i="3"/>
  <c r="P348" i="3"/>
  <c r="E72" i="3"/>
  <c r="F72" i="3"/>
  <c r="S72" i="3"/>
  <c r="T72" i="3"/>
  <c r="M72" i="3"/>
  <c r="P72" i="3"/>
  <c r="M99" i="3"/>
  <c r="Y99" i="3"/>
  <c r="X99" i="3"/>
  <c r="B351" i="3"/>
  <c r="D351" i="3" s="1"/>
  <c r="K351" i="3" s="1"/>
  <c r="Q54" i="3"/>
  <c r="N127" i="3"/>
  <c r="Q472" i="3"/>
  <c r="S197" i="3"/>
  <c r="Y197" i="3"/>
  <c r="N197" i="3"/>
  <c r="W197" i="3"/>
  <c r="X197" i="3"/>
  <c r="Z197" i="3"/>
  <c r="F197" i="3"/>
  <c r="E197" i="3"/>
  <c r="F132" i="3"/>
  <c r="W132" i="3"/>
  <c r="Z132" i="3"/>
  <c r="P132" i="3"/>
  <c r="L132" i="3"/>
  <c r="S132" i="3"/>
  <c r="M132" i="3"/>
  <c r="I132" i="3"/>
  <c r="E132" i="3"/>
  <c r="U132" i="3"/>
  <c r="T132" i="3"/>
  <c r="B121" i="3"/>
  <c r="D121" i="3" s="1"/>
  <c r="K121" i="3" s="1"/>
  <c r="R329" i="3"/>
  <c r="S329" i="3"/>
  <c r="E329" i="3"/>
  <c r="F329" i="3"/>
  <c r="U329" i="3"/>
  <c r="G329" i="3"/>
  <c r="I329" i="3"/>
  <c r="Q329" i="3"/>
  <c r="P329" i="3"/>
  <c r="B341" i="3"/>
  <c r="D341" i="3" s="1"/>
  <c r="K341" i="3" s="1"/>
  <c r="Z483" i="3"/>
  <c r="I161" i="3"/>
  <c r="U161" i="3"/>
  <c r="X161" i="3"/>
  <c r="G161" i="3"/>
  <c r="L161" i="3"/>
  <c r="N161" i="3"/>
  <c r="S161" i="3"/>
  <c r="W161" i="3"/>
  <c r="O161" i="3"/>
  <c r="F161" i="3"/>
  <c r="Q161" i="3"/>
  <c r="E161" i="3"/>
  <c r="P161" i="3"/>
  <c r="Z161" i="3"/>
  <c r="T447" i="3"/>
  <c r="W447" i="3"/>
  <c r="Z447" i="3"/>
  <c r="G447" i="3"/>
  <c r="U447" i="3"/>
  <c r="Y447" i="3"/>
  <c r="F447" i="3"/>
  <c r="P447" i="3"/>
  <c r="X447" i="3"/>
  <c r="E447" i="3"/>
  <c r="R447" i="3"/>
  <c r="I447" i="3"/>
  <c r="L447" i="3"/>
  <c r="S447" i="3"/>
  <c r="M447" i="3"/>
  <c r="M364" i="3"/>
  <c r="P364" i="3"/>
  <c r="Y364" i="3"/>
  <c r="U98" i="3"/>
  <c r="I98" i="3"/>
  <c r="Y98" i="3"/>
  <c r="P98" i="3"/>
  <c r="W98" i="3"/>
  <c r="M98" i="3"/>
  <c r="X98" i="3"/>
  <c r="R98" i="3"/>
  <c r="N98" i="3"/>
  <c r="G98" i="3"/>
  <c r="R62" i="3"/>
  <c r="U62" i="3"/>
  <c r="X62" i="3"/>
  <c r="I62" i="3"/>
  <c r="P62" i="3"/>
  <c r="G62" i="3"/>
  <c r="Y62" i="3"/>
  <c r="T62" i="3"/>
  <c r="F62" i="3"/>
  <c r="Q62" i="3"/>
  <c r="Z62" i="3"/>
  <c r="M62" i="3"/>
  <c r="E62" i="3"/>
  <c r="O62" i="3"/>
  <c r="E51" i="3"/>
  <c r="N51" i="3"/>
  <c r="X51" i="3"/>
  <c r="I51" i="3"/>
  <c r="Y51" i="3"/>
  <c r="G51" i="3"/>
  <c r="L51" i="3"/>
  <c r="T51" i="3"/>
  <c r="R51" i="3"/>
  <c r="F51" i="3"/>
  <c r="O51" i="3"/>
  <c r="S51" i="3"/>
  <c r="Z51" i="3"/>
  <c r="W39" i="3"/>
  <c r="G39" i="3"/>
  <c r="Z39" i="3"/>
  <c r="T39" i="3"/>
  <c r="X39" i="3"/>
  <c r="Y39" i="3"/>
  <c r="L39" i="3"/>
  <c r="S39" i="3"/>
  <c r="U39" i="3"/>
  <c r="F39" i="3"/>
  <c r="O39" i="3"/>
  <c r="P39" i="3"/>
  <c r="I39" i="3"/>
  <c r="R39" i="3"/>
  <c r="Q39" i="3"/>
  <c r="O54" i="3"/>
  <c r="U54" i="3"/>
  <c r="M54" i="3"/>
  <c r="E54" i="3"/>
  <c r="I54" i="3"/>
  <c r="T54" i="3"/>
  <c r="L54" i="3"/>
  <c r="W54" i="3"/>
  <c r="S54" i="3"/>
  <c r="Y54" i="3"/>
  <c r="G54" i="3"/>
  <c r="Z54" i="3"/>
  <c r="X54" i="3"/>
  <c r="P54" i="3"/>
  <c r="R54" i="3"/>
  <c r="Z45" i="3"/>
  <c r="W45" i="3"/>
  <c r="Y45" i="3"/>
  <c r="O45" i="3"/>
  <c r="P45" i="3"/>
  <c r="L45" i="3"/>
  <c r="Q45" i="3"/>
  <c r="U45" i="3"/>
  <c r="M45" i="3"/>
  <c r="G232" i="3"/>
  <c r="E232" i="3"/>
  <c r="Q402" i="3"/>
  <c r="I402" i="3"/>
  <c r="W402" i="3"/>
  <c r="M402" i="3"/>
  <c r="P402" i="3"/>
  <c r="G402" i="3"/>
  <c r="X402" i="3"/>
  <c r="W366" i="3"/>
  <c r="R49" i="3"/>
  <c r="I49" i="3"/>
  <c r="T49" i="3"/>
  <c r="Q49" i="3"/>
  <c r="S49" i="3"/>
  <c r="X49" i="3"/>
  <c r="Z49" i="3"/>
  <c r="F49" i="3"/>
  <c r="P49" i="3"/>
  <c r="G49" i="3"/>
  <c r="E49" i="3"/>
  <c r="Y176" i="3"/>
  <c r="S176" i="3"/>
  <c r="I176" i="3"/>
  <c r="G176" i="3"/>
  <c r="U176" i="3"/>
  <c r="F176" i="3"/>
  <c r="W176" i="3"/>
  <c r="O176" i="3"/>
  <c r="U108" i="3"/>
  <c r="R108" i="3"/>
  <c r="Y108" i="3"/>
  <c r="S108" i="3"/>
  <c r="E108" i="3"/>
  <c r="F108" i="3"/>
  <c r="P108" i="3"/>
  <c r="I108" i="3"/>
  <c r="O108" i="3"/>
  <c r="X108" i="3"/>
  <c r="W108" i="3"/>
  <c r="N108" i="3"/>
  <c r="Z108" i="3"/>
  <c r="G108" i="3"/>
  <c r="Q108" i="3"/>
  <c r="M108" i="3"/>
  <c r="T108" i="3"/>
  <c r="F86" i="3"/>
  <c r="Y50" i="3"/>
  <c r="R86" i="3"/>
  <c r="M41" i="3"/>
  <c r="W86" i="3"/>
  <c r="M490" i="3"/>
  <c r="F503" i="3"/>
  <c r="P50" i="3"/>
  <c r="Z50" i="3"/>
  <c r="N86" i="3"/>
  <c r="W448" i="3"/>
  <c r="S503" i="3"/>
  <c r="X41" i="3"/>
  <c r="Z86" i="3"/>
  <c r="G224" i="3"/>
  <c r="G77" i="3"/>
  <c r="Y383" i="3"/>
  <c r="L50" i="3"/>
  <c r="D353" i="3"/>
  <c r="K353" i="3" s="1"/>
  <c r="O86" i="3"/>
  <c r="L383" i="3"/>
  <c r="R50" i="3"/>
  <c r="B243" i="3"/>
  <c r="D243" i="3" s="1"/>
  <c r="K243" i="3" s="1"/>
  <c r="Y498" i="3"/>
  <c r="E498" i="3"/>
  <c r="F498" i="3"/>
  <c r="L498" i="3"/>
  <c r="M498" i="3"/>
  <c r="Y416" i="3"/>
  <c r="L416" i="3"/>
  <c r="N42" i="3"/>
  <c r="R42" i="3"/>
  <c r="O42" i="3"/>
  <c r="P52" i="3"/>
  <c r="E52" i="3"/>
  <c r="F52" i="3"/>
  <c r="Z230" i="3"/>
  <c r="E230" i="3"/>
  <c r="N97" i="3"/>
  <c r="X97" i="3"/>
  <c r="Z194" i="3"/>
  <c r="U498" i="3"/>
  <c r="N230" i="3"/>
  <c r="P230" i="3"/>
  <c r="Z76" i="3"/>
  <c r="L232" i="3"/>
  <c r="F232" i="3"/>
  <c r="T232" i="3"/>
  <c r="X232" i="3"/>
  <c r="S232" i="3"/>
  <c r="W232" i="3"/>
  <c r="Q232" i="3"/>
  <c r="N232" i="3"/>
  <c r="U232" i="3"/>
  <c r="X160" i="3"/>
  <c r="Y160" i="3"/>
  <c r="F160" i="3"/>
  <c r="G160" i="3"/>
  <c r="N160" i="3"/>
  <c r="Z160" i="3"/>
  <c r="L160" i="3"/>
  <c r="W160" i="3"/>
  <c r="N85" i="3"/>
  <c r="Q85" i="3"/>
  <c r="X74" i="3"/>
  <c r="F74" i="3"/>
  <c r="Z74" i="3"/>
  <c r="W74" i="3"/>
  <c r="L74" i="3"/>
  <c r="P74" i="3"/>
  <c r="N492" i="3"/>
  <c r="I498" i="3"/>
  <c r="S481" i="3"/>
  <c r="T471" i="3"/>
  <c r="E492" i="3"/>
  <c r="Z36" i="3"/>
  <c r="G36" i="3"/>
  <c r="T52" i="3"/>
  <c r="W162" i="3"/>
  <c r="M162" i="3"/>
  <c r="W416" i="3"/>
  <c r="Z416" i="3"/>
  <c r="N153" i="3"/>
  <c r="I202" i="3"/>
  <c r="P85" i="3"/>
  <c r="Q194" i="3"/>
  <c r="U194" i="3"/>
  <c r="T498" i="3"/>
  <c r="W230" i="3"/>
  <c r="Z202" i="3"/>
  <c r="N347" i="3"/>
  <c r="S42" i="3"/>
  <c r="P162" i="3"/>
  <c r="Z232" i="3"/>
  <c r="O160" i="3"/>
  <c r="E76" i="3"/>
  <c r="I347" i="3"/>
  <c r="O222" i="3"/>
  <c r="Z222" i="3"/>
  <c r="S216" i="3"/>
  <c r="X216" i="3"/>
  <c r="G450" i="3"/>
  <c r="T450" i="3"/>
  <c r="E450" i="3"/>
  <c r="F450" i="3"/>
  <c r="N450" i="3"/>
  <c r="M450" i="3"/>
  <c r="S450" i="3"/>
  <c r="U450" i="3"/>
  <c r="Q450" i="3"/>
  <c r="W450" i="3"/>
  <c r="O450" i="3"/>
  <c r="Y450" i="3"/>
  <c r="P450" i="3"/>
  <c r="L450" i="3"/>
  <c r="O417" i="3"/>
  <c r="F417" i="3"/>
  <c r="Q417" i="3"/>
  <c r="W417" i="3"/>
  <c r="G242" i="3"/>
  <c r="U242" i="3"/>
  <c r="W242" i="3"/>
  <c r="P242" i="3"/>
  <c r="I242" i="3"/>
  <c r="T242" i="3"/>
  <c r="Z242" i="3"/>
  <c r="E242" i="3"/>
  <c r="X242" i="3"/>
  <c r="R242" i="3"/>
  <c r="S242" i="3"/>
  <c r="N242" i="3"/>
  <c r="Q242" i="3"/>
  <c r="Y242" i="3"/>
  <c r="O242" i="3"/>
  <c r="D87" i="3"/>
  <c r="K87" i="3" s="1"/>
  <c r="Y347" i="3"/>
  <c r="L36" i="3"/>
  <c r="F481" i="3"/>
  <c r="W52" i="3"/>
  <c r="N416" i="3"/>
  <c r="U153" i="3"/>
  <c r="Z153" i="3"/>
  <c r="L194" i="3"/>
  <c r="W471" i="3"/>
  <c r="Y42" i="3"/>
  <c r="I74" i="3"/>
  <c r="G230" i="3"/>
  <c r="U160" i="3"/>
  <c r="S181" i="3"/>
  <c r="U181" i="3"/>
  <c r="Z181" i="3"/>
  <c r="I181" i="3"/>
  <c r="F181" i="3"/>
  <c r="R181" i="3"/>
  <c r="G181" i="3"/>
  <c r="Z481" i="3"/>
  <c r="Q492" i="3"/>
  <c r="Z471" i="3"/>
  <c r="F150" i="3"/>
  <c r="X492" i="3"/>
  <c r="P492" i="3"/>
  <c r="I36" i="3"/>
  <c r="N52" i="3"/>
  <c r="G416" i="3"/>
  <c r="I162" i="3"/>
  <c r="O416" i="3"/>
  <c r="T417" i="3"/>
  <c r="P181" i="3"/>
  <c r="R85" i="3"/>
  <c r="L417" i="3"/>
  <c r="Q347" i="3"/>
  <c r="X230" i="3"/>
  <c r="Y471" i="3"/>
  <c r="U42" i="3"/>
  <c r="L76" i="3"/>
  <c r="W181" i="3"/>
  <c r="P247" i="3"/>
  <c r="U247" i="3"/>
  <c r="W247" i="3"/>
  <c r="S247" i="3"/>
  <c r="B440" i="3"/>
  <c r="D440" i="3" s="1"/>
  <c r="K440" i="3" s="1"/>
  <c r="O162" i="3"/>
  <c r="Z162" i="3"/>
  <c r="X162" i="3"/>
  <c r="G162" i="3"/>
  <c r="E162" i="3"/>
  <c r="I153" i="3"/>
  <c r="N194" i="3"/>
  <c r="S347" i="3"/>
  <c r="P42" i="3"/>
  <c r="U52" i="3"/>
  <c r="Y481" i="3"/>
  <c r="S417" i="3"/>
  <c r="F230" i="3"/>
  <c r="X202" i="3"/>
  <c r="F202" i="3"/>
  <c r="S471" i="3"/>
  <c r="Y52" i="3"/>
  <c r="T162" i="3"/>
  <c r="X416" i="3"/>
  <c r="X153" i="3"/>
  <c r="S153" i="3"/>
  <c r="O181" i="3"/>
  <c r="M85" i="3"/>
  <c r="Y194" i="3"/>
  <c r="P194" i="3"/>
  <c r="M52" i="3"/>
  <c r="E160" i="3"/>
  <c r="R471" i="3"/>
  <c r="O232" i="3"/>
  <c r="S74" i="3"/>
  <c r="Q42" i="3"/>
  <c r="E417" i="3"/>
  <c r="Y232" i="3"/>
  <c r="I232" i="3"/>
  <c r="N179" i="3"/>
  <c r="P179" i="3"/>
  <c r="X179" i="3"/>
  <c r="I179" i="3"/>
  <c r="Q179" i="3"/>
  <c r="G179" i="3"/>
  <c r="R179" i="3"/>
  <c r="E179" i="3"/>
  <c r="Z179" i="3"/>
  <c r="T179" i="3"/>
  <c r="Y179" i="3"/>
  <c r="M179" i="3"/>
  <c r="F179" i="3"/>
  <c r="S179" i="3"/>
  <c r="O179" i="3"/>
  <c r="U179" i="3"/>
  <c r="L179" i="3"/>
  <c r="B411" i="3"/>
  <c r="D411" i="3" s="1"/>
  <c r="K411" i="3" s="1"/>
  <c r="P76" i="3"/>
  <c r="G76" i="3"/>
  <c r="X76" i="3"/>
  <c r="Y76" i="3"/>
  <c r="O76" i="3"/>
  <c r="M76" i="3"/>
  <c r="W76" i="3"/>
  <c r="F76" i="3"/>
  <c r="N76" i="3"/>
  <c r="R76" i="3"/>
  <c r="Q76" i="3"/>
  <c r="T76" i="3"/>
  <c r="U76" i="3"/>
  <c r="X347" i="3"/>
  <c r="F347" i="3"/>
  <c r="Z347" i="3"/>
  <c r="O347" i="3"/>
  <c r="E347" i="3"/>
  <c r="L347" i="3"/>
  <c r="W347" i="3"/>
  <c r="M347" i="3"/>
  <c r="T347" i="3"/>
  <c r="I417" i="3"/>
  <c r="F153" i="3"/>
  <c r="M417" i="3"/>
  <c r="I481" i="3"/>
  <c r="L150" i="3"/>
  <c r="S492" i="3"/>
  <c r="N36" i="3"/>
  <c r="F162" i="3"/>
  <c r="X85" i="3"/>
  <c r="O194" i="3"/>
  <c r="O74" i="3"/>
  <c r="Y85" i="3"/>
  <c r="Z417" i="3"/>
  <c r="S230" i="3"/>
  <c r="U492" i="3"/>
  <c r="U36" i="3"/>
  <c r="O481" i="3"/>
  <c r="L471" i="3"/>
  <c r="W492" i="3"/>
  <c r="M36" i="3"/>
  <c r="P416" i="3"/>
  <c r="I416" i="3"/>
  <c r="Q153" i="3"/>
  <c r="G153" i="3"/>
  <c r="M194" i="3"/>
  <c r="G347" i="3"/>
  <c r="G74" i="3"/>
  <c r="O52" i="3"/>
  <c r="Q160" i="3"/>
  <c r="E471" i="3"/>
  <c r="M232" i="3"/>
  <c r="R74" i="3"/>
  <c r="M74" i="3"/>
  <c r="U436" i="3"/>
  <c r="R216" i="3"/>
  <c r="L42" i="3"/>
  <c r="L436" i="3"/>
  <c r="X417" i="3"/>
  <c r="N498" i="3"/>
  <c r="P498" i="3"/>
  <c r="L242" i="3"/>
  <c r="F236" i="3"/>
  <c r="L236" i="3"/>
  <c r="X236" i="3"/>
  <c r="T236" i="3"/>
  <c r="R236" i="3"/>
  <c r="W236" i="3"/>
  <c r="N189" i="3"/>
  <c r="Z189" i="3"/>
  <c r="Y189" i="3"/>
  <c r="I189" i="3"/>
  <c r="U189" i="3"/>
  <c r="R189" i="3"/>
  <c r="W189" i="3"/>
  <c r="L189" i="3"/>
  <c r="F189" i="3"/>
  <c r="U167" i="3"/>
  <c r="Z167" i="3"/>
  <c r="I167" i="3"/>
  <c r="W167" i="3"/>
  <c r="N167" i="3"/>
  <c r="E167" i="3"/>
  <c r="M123" i="3"/>
  <c r="F123" i="3"/>
  <c r="N123" i="3"/>
  <c r="T123" i="3"/>
  <c r="Q123" i="3"/>
  <c r="P123" i="3"/>
  <c r="U58" i="3"/>
  <c r="Q58" i="3"/>
  <c r="Z58" i="3"/>
  <c r="T58" i="3"/>
  <c r="E58" i="3"/>
  <c r="X58" i="3"/>
  <c r="N58" i="3"/>
  <c r="M58" i="3"/>
  <c r="Y35" i="3"/>
  <c r="M35" i="3"/>
  <c r="S35" i="3"/>
  <c r="P35" i="3"/>
  <c r="I35" i="3"/>
  <c r="O35" i="3"/>
  <c r="Q35" i="3"/>
  <c r="X35" i="3"/>
  <c r="U35" i="3"/>
  <c r="L35" i="3"/>
  <c r="T35" i="3"/>
  <c r="X308" i="3"/>
  <c r="R308" i="3"/>
  <c r="N308" i="3"/>
  <c r="T308" i="3"/>
  <c r="W308" i="3"/>
  <c r="G308" i="3"/>
  <c r="O308" i="3"/>
  <c r="T150" i="3"/>
  <c r="M492" i="3"/>
  <c r="Q36" i="3"/>
  <c r="S36" i="3"/>
  <c r="S160" i="3"/>
  <c r="R162" i="3"/>
  <c r="E153" i="3"/>
  <c r="P153" i="3"/>
  <c r="G492" i="3"/>
  <c r="T85" i="3"/>
  <c r="R194" i="3"/>
  <c r="P347" i="3"/>
  <c r="R347" i="3"/>
  <c r="S52" i="3"/>
  <c r="M230" i="3"/>
  <c r="X471" i="3"/>
  <c r="T230" i="3"/>
  <c r="E74" i="3"/>
  <c r="W42" i="3"/>
  <c r="U74" i="3"/>
  <c r="N74" i="3"/>
  <c r="G417" i="3"/>
  <c r="Q196" i="3"/>
  <c r="F196" i="3"/>
  <c r="M196" i="3"/>
  <c r="Y196" i="3"/>
  <c r="U196" i="3"/>
  <c r="W196" i="3"/>
  <c r="Q138" i="3"/>
  <c r="S138" i="3"/>
  <c r="L138" i="3"/>
  <c r="F138" i="3"/>
  <c r="U138" i="3"/>
  <c r="E138" i="3"/>
  <c r="W138" i="3"/>
  <c r="M199" i="3"/>
  <c r="N199" i="3"/>
  <c r="S199" i="3"/>
  <c r="O199" i="3"/>
  <c r="P199" i="3"/>
  <c r="L199" i="3"/>
  <c r="X199" i="3"/>
  <c r="F199" i="3"/>
  <c r="E199" i="3"/>
  <c r="T199" i="3"/>
  <c r="T133" i="3"/>
  <c r="W133" i="3"/>
  <c r="F133" i="3"/>
  <c r="Q23" i="3"/>
  <c r="R23" i="3"/>
  <c r="S23" i="3"/>
  <c r="F279" i="3"/>
  <c r="G279" i="3"/>
  <c r="W279" i="3"/>
  <c r="N279" i="3"/>
  <c r="Y279" i="3"/>
  <c r="M436" i="3"/>
  <c r="R436" i="3"/>
  <c r="P436" i="3"/>
  <c r="Y436" i="3"/>
  <c r="E436" i="3"/>
  <c r="X436" i="3"/>
  <c r="N436" i="3"/>
  <c r="Q436" i="3"/>
  <c r="T436" i="3"/>
  <c r="Z436" i="3"/>
  <c r="G436" i="3"/>
  <c r="S436" i="3"/>
  <c r="W436" i="3"/>
  <c r="M242" i="3"/>
  <c r="Q162" i="3"/>
  <c r="G202" i="3"/>
  <c r="W150" i="3"/>
  <c r="Z492" i="3"/>
  <c r="X36" i="3"/>
  <c r="Z52" i="3"/>
  <c r="S162" i="3"/>
  <c r="T416" i="3"/>
  <c r="M153" i="3"/>
  <c r="W153" i="3"/>
  <c r="Y492" i="3"/>
  <c r="W202" i="3"/>
  <c r="U85" i="3"/>
  <c r="F194" i="3"/>
  <c r="R52" i="3"/>
  <c r="T202" i="3"/>
  <c r="I150" i="3"/>
  <c r="Z42" i="3"/>
  <c r="I436" i="3"/>
  <c r="Q498" i="3"/>
  <c r="T195" i="3"/>
  <c r="I195" i="3"/>
  <c r="Q52" i="3"/>
  <c r="N202" i="3"/>
  <c r="U471" i="3"/>
  <c r="Q471" i="3"/>
  <c r="G150" i="3"/>
  <c r="I471" i="3"/>
  <c r="P471" i="3"/>
  <c r="W36" i="3"/>
  <c r="Y162" i="3"/>
  <c r="M416" i="3"/>
  <c r="F416" i="3"/>
  <c r="O153" i="3"/>
  <c r="R153" i="3"/>
  <c r="W85" i="3"/>
  <c r="I194" i="3"/>
  <c r="O230" i="3"/>
  <c r="P150" i="3"/>
  <c r="Q74" i="3"/>
  <c r="P232" i="3"/>
  <c r="F42" i="3"/>
  <c r="F436" i="3"/>
  <c r="M181" i="3"/>
  <c r="L181" i="3"/>
  <c r="F409" i="3"/>
  <c r="U409" i="3"/>
  <c r="T409" i="3"/>
  <c r="O409" i="3"/>
  <c r="W409" i="3"/>
  <c r="Q409" i="3"/>
  <c r="I409" i="3"/>
  <c r="O132" i="3"/>
  <c r="R132" i="3"/>
  <c r="G132" i="3"/>
  <c r="X132" i="3"/>
  <c r="N132" i="3"/>
  <c r="Y132" i="3"/>
  <c r="P221" i="3"/>
  <c r="T221" i="3"/>
  <c r="Z120" i="3"/>
  <c r="R120" i="3"/>
  <c r="E66" i="3"/>
  <c r="Z66" i="3"/>
  <c r="Q66" i="3"/>
  <c r="G66" i="3"/>
  <c r="Y66" i="3"/>
  <c r="W66" i="3"/>
  <c r="X66" i="3"/>
  <c r="Y153" i="3"/>
  <c r="I76" i="3"/>
  <c r="L52" i="3"/>
  <c r="O202" i="3"/>
  <c r="O471" i="3"/>
  <c r="G471" i="3"/>
  <c r="R498" i="3"/>
  <c r="Z150" i="3"/>
  <c r="L492" i="3"/>
  <c r="R36" i="3"/>
  <c r="T36" i="3"/>
  <c r="X498" i="3"/>
  <c r="L162" i="3"/>
  <c r="E416" i="3"/>
  <c r="I160" i="3"/>
  <c r="Y417" i="3"/>
  <c r="O85" i="3"/>
  <c r="T194" i="3"/>
  <c r="R202" i="3"/>
  <c r="Y74" i="3"/>
  <c r="U416" i="3"/>
  <c r="R416" i="3"/>
  <c r="I42" i="3"/>
  <c r="Q230" i="3"/>
  <c r="R417" i="3"/>
  <c r="T181" i="3"/>
  <c r="R232" i="3"/>
  <c r="Q296" i="3"/>
  <c r="W296" i="3"/>
  <c r="T296" i="3"/>
  <c r="F296" i="3"/>
  <c r="Z296" i="3"/>
  <c r="M296" i="3"/>
  <c r="U296" i="3"/>
  <c r="R296" i="3"/>
  <c r="Y296" i="3"/>
  <c r="N296" i="3"/>
  <c r="E296" i="3"/>
  <c r="X296" i="3"/>
  <c r="I296" i="3"/>
  <c r="O296" i="3"/>
  <c r="G296" i="3"/>
  <c r="P296" i="3"/>
  <c r="M329" i="3"/>
  <c r="Y325" i="3"/>
  <c r="W43" i="3"/>
  <c r="Z77" i="3"/>
  <c r="T369" i="3"/>
  <c r="L369" i="3"/>
  <c r="S369" i="3"/>
  <c r="Y402" i="3"/>
  <c r="W177" i="3"/>
  <c r="L49" i="3"/>
  <c r="G177" i="3"/>
  <c r="T402" i="3"/>
  <c r="D239" i="3"/>
  <c r="K239" i="3" s="1"/>
  <c r="D220" i="3"/>
  <c r="K220" i="3" s="1"/>
  <c r="D321" i="3"/>
  <c r="K321" i="3" s="1"/>
  <c r="Z329" i="3"/>
  <c r="O325" i="3"/>
  <c r="P43" i="3"/>
  <c r="T77" i="3"/>
  <c r="Z369" i="3"/>
  <c r="Y369" i="3"/>
  <c r="U369" i="3"/>
  <c r="P366" i="3"/>
  <c r="S359" i="3"/>
  <c r="R78" i="3"/>
  <c r="M78" i="3"/>
  <c r="D403" i="3"/>
  <c r="K403" i="3" s="1"/>
  <c r="W329" i="3"/>
  <c r="L329" i="3"/>
  <c r="Z325" i="3"/>
  <c r="S98" i="3"/>
  <c r="E359" i="3"/>
  <c r="T78" i="3"/>
  <c r="D205" i="3"/>
  <c r="K205" i="3" s="1"/>
  <c r="X329" i="3"/>
  <c r="G43" i="3"/>
  <c r="Q98" i="3"/>
  <c r="L402" i="3"/>
  <c r="N177" i="3"/>
  <c r="F78" i="3"/>
  <c r="N78" i="3"/>
  <c r="D146" i="3"/>
  <c r="K146" i="3" s="1"/>
  <c r="D277" i="3"/>
  <c r="K277" i="3" s="1"/>
  <c r="D334" i="3"/>
  <c r="K334" i="3" s="1"/>
  <c r="T329" i="3"/>
  <c r="O329" i="3"/>
  <c r="U43" i="3"/>
  <c r="N329" i="3"/>
  <c r="Q78" i="3"/>
  <c r="T359" i="3"/>
  <c r="Z78" i="3"/>
  <c r="E78" i="3"/>
  <c r="O197" i="3"/>
  <c r="Z98" i="3"/>
  <c r="N402" i="3"/>
  <c r="U78" i="3"/>
  <c r="Y78" i="3"/>
  <c r="L197" i="3"/>
  <c r="D458" i="3"/>
  <c r="K458" i="3" s="1"/>
  <c r="I369" i="3"/>
  <c r="F402" i="3"/>
  <c r="S78" i="3"/>
  <c r="Q197" i="3"/>
  <c r="Z164" i="3"/>
  <c r="U325" i="3"/>
  <c r="X325" i="3"/>
  <c r="L325" i="3"/>
  <c r="M43" i="3"/>
  <c r="Y77" i="3"/>
  <c r="T98" i="3"/>
  <c r="F98" i="3"/>
  <c r="E98" i="3"/>
  <c r="M197" i="3"/>
  <c r="T481" i="3"/>
  <c r="M481" i="3"/>
  <c r="X481" i="3"/>
  <c r="R481" i="3"/>
  <c r="L311" i="3"/>
  <c r="F311" i="3"/>
  <c r="Q311" i="3"/>
  <c r="Y311" i="3"/>
  <c r="G311" i="3"/>
  <c r="P311" i="3"/>
  <c r="T311" i="3"/>
  <c r="W311" i="3"/>
  <c r="R311" i="3"/>
  <c r="S311" i="3"/>
  <c r="O311" i="3"/>
  <c r="U311" i="3"/>
  <c r="Z311" i="3"/>
  <c r="M311" i="3"/>
  <c r="N311" i="3"/>
  <c r="I283" i="3"/>
  <c r="O283" i="3"/>
  <c r="M283" i="3"/>
  <c r="S283" i="3"/>
  <c r="O256" i="3"/>
  <c r="M256" i="3"/>
  <c r="L256" i="3"/>
  <c r="T256" i="3"/>
  <c r="R256" i="3"/>
  <c r="W256" i="3"/>
  <c r="Z256" i="3"/>
  <c r="Y256" i="3"/>
  <c r="E256" i="3"/>
  <c r="G256" i="3"/>
  <c r="X256" i="3"/>
  <c r="I380" i="3"/>
  <c r="Y380" i="3"/>
  <c r="O380" i="3"/>
  <c r="E380" i="3"/>
  <c r="G380" i="3"/>
  <c r="Z380" i="3"/>
  <c r="M380" i="3"/>
  <c r="S380" i="3"/>
  <c r="L380" i="3"/>
  <c r="T380" i="3"/>
  <c r="F380" i="3"/>
  <c r="Q380" i="3"/>
  <c r="N380" i="3"/>
  <c r="U380" i="3"/>
  <c r="B413" i="3"/>
  <c r="D413" i="3" s="1"/>
  <c r="K413" i="3" s="1"/>
  <c r="E481" i="3"/>
  <c r="U481" i="3"/>
  <c r="Q481" i="3"/>
  <c r="P481" i="3"/>
  <c r="G481" i="3"/>
  <c r="W481" i="3"/>
  <c r="R380" i="3"/>
  <c r="N256" i="3"/>
  <c r="I256" i="3"/>
  <c r="U256" i="3"/>
  <c r="P380" i="3"/>
  <c r="O282" i="3"/>
  <c r="W282" i="3"/>
  <c r="Y282" i="3"/>
  <c r="L282" i="3"/>
  <c r="G282" i="3"/>
  <c r="T282" i="3"/>
  <c r="I282" i="3"/>
  <c r="X282" i="3"/>
  <c r="Y340" i="3"/>
  <c r="I340" i="3"/>
  <c r="B381" i="3"/>
  <c r="D381" i="3" s="1"/>
  <c r="K381" i="3" s="1"/>
  <c r="R234" i="3"/>
  <c r="P37" i="3"/>
  <c r="Y230" i="3"/>
  <c r="L230" i="3"/>
  <c r="B312" i="3"/>
  <c r="D312" i="3" s="1"/>
  <c r="K312" i="3" s="1"/>
  <c r="N206" i="3"/>
  <c r="U206" i="3"/>
  <c r="E206" i="3"/>
  <c r="M206" i="3"/>
  <c r="R490" i="3"/>
  <c r="G490" i="3"/>
  <c r="Z490" i="3"/>
  <c r="E490" i="3"/>
  <c r="O490" i="3"/>
  <c r="F490" i="3"/>
  <c r="Q490" i="3"/>
  <c r="T490" i="3"/>
  <c r="N490" i="3"/>
  <c r="W490" i="3"/>
  <c r="S490" i="3"/>
  <c r="I490" i="3"/>
  <c r="U234" i="3"/>
  <c r="F234" i="3"/>
  <c r="S27" i="3"/>
  <c r="X166" i="3"/>
  <c r="I166" i="3"/>
  <c r="O166" i="3"/>
  <c r="L166" i="3"/>
  <c r="U166" i="3"/>
  <c r="Z166" i="3"/>
  <c r="P166" i="3"/>
  <c r="Q166" i="3"/>
  <c r="G166" i="3"/>
  <c r="S166" i="3"/>
  <c r="G110" i="3"/>
  <c r="U110" i="3"/>
  <c r="Y110" i="3"/>
  <c r="M110" i="3"/>
  <c r="F110" i="3"/>
  <c r="S110" i="3"/>
  <c r="E110" i="3"/>
  <c r="Q110" i="3"/>
  <c r="Q80" i="3"/>
  <c r="M80" i="3"/>
  <c r="W80" i="3"/>
  <c r="Y80" i="3"/>
  <c r="S80" i="3"/>
  <c r="X80" i="3"/>
  <c r="B38" i="3"/>
  <c r="D38" i="3" s="1"/>
  <c r="K38" i="3" s="1"/>
  <c r="B109" i="3"/>
  <c r="D109" i="3" s="1"/>
  <c r="K109" i="3" s="1"/>
  <c r="G37" i="3"/>
  <c r="Q37" i="3"/>
  <c r="R37" i="3"/>
  <c r="E37" i="3"/>
  <c r="T37" i="3"/>
  <c r="W37" i="3"/>
  <c r="X37" i="3"/>
  <c r="F37" i="3"/>
  <c r="L37" i="3"/>
  <c r="U37" i="3"/>
  <c r="I37" i="3"/>
  <c r="N37" i="3"/>
  <c r="Z37" i="3"/>
  <c r="M37" i="3"/>
  <c r="O37" i="3"/>
  <c r="P193" i="3"/>
  <c r="M193" i="3"/>
  <c r="R193" i="3"/>
  <c r="W193" i="3"/>
  <c r="O193" i="3"/>
  <c r="E193" i="3"/>
  <c r="Q193" i="3"/>
  <c r="Y193" i="3"/>
  <c r="S193" i="3"/>
  <c r="D204" i="3"/>
  <c r="K204" i="3" s="1"/>
  <c r="X234" i="3"/>
  <c r="P234" i="3"/>
  <c r="Y234" i="3"/>
  <c r="L234" i="3"/>
  <c r="O234" i="3"/>
  <c r="S234" i="3"/>
  <c r="G234" i="3"/>
  <c r="N234" i="3"/>
  <c r="Y27" i="3"/>
  <c r="Z27" i="3"/>
  <c r="N27" i="3"/>
  <c r="U27" i="3"/>
  <c r="Q27" i="3"/>
  <c r="R27" i="3"/>
  <c r="O27" i="3"/>
  <c r="X27" i="3"/>
  <c r="L27" i="3"/>
  <c r="M27" i="3"/>
  <c r="I27" i="3"/>
  <c r="G27" i="3"/>
  <c r="P27" i="3"/>
  <c r="W27" i="3"/>
  <c r="L133" i="3"/>
  <c r="Z123" i="3"/>
  <c r="T290" i="3"/>
  <c r="R409" i="3"/>
  <c r="G409" i="3"/>
  <c r="Y409" i="3"/>
  <c r="Q218" i="3"/>
  <c r="Q290" i="3"/>
  <c r="G69" i="3"/>
  <c r="U335" i="3"/>
  <c r="I335" i="3"/>
  <c r="F177" i="3"/>
  <c r="O177" i="3"/>
  <c r="I177" i="3"/>
  <c r="Y177" i="3"/>
  <c r="Q177" i="3"/>
  <c r="G247" i="3"/>
  <c r="Z247" i="3"/>
  <c r="R247" i="3"/>
  <c r="F247" i="3"/>
  <c r="T247" i="3"/>
  <c r="Q247" i="3"/>
  <c r="N247" i="3"/>
  <c r="I247" i="3"/>
  <c r="Y247" i="3"/>
  <c r="L247" i="3"/>
  <c r="M247" i="3"/>
  <c r="X247" i="3"/>
  <c r="B48" i="3"/>
  <c r="D48" i="3" s="1"/>
  <c r="K48" i="3" s="1"/>
  <c r="B361" i="3"/>
  <c r="D361" i="3" s="1"/>
  <c r="K361" i="3" s="1"/>
  <c r="X123" i="3"/>
  <c r="X196" i="3"/>
  <c r="Z290" i="3"/>
  <c r="E409" i="3"/>
  <c r="M409" i="3"/>
  <c r="S409" i="3"/>
  <c r="E335" i="3"/>
  <c r="B474" i="3"/>
  <c r="D474" i="3" s="1"/>
  <c r="K474" i="3" s="1"/>
  <c r="I123" i="3"/>
  <c r="P196" i="3"/>
  <c r="O290" i="3"/>
  <c r="U69" i="3"/>
  <c r="W123" i="3"/>
  <c r="Q124" i="3"/>
  <c r="F69" i="3"/>
  <c r="B116" i="3"/>
  <c r="D116" i="3" s="1"/>
  <c r="K116" i="3" s="1"/>
  <c r="B57" i="3"/>
  <c r="D57" i="3" s="1"/>
  <c r="K57" i="3" s="1"/>
  <c r="D231" i="3"/>
  <c r="K231" i="3" s="1"/>
  <c r="D134" i="3"/>
  <c r="K134" i="3" s="1"/>
  <c r="B126" i="3"/>
  <c r="D126" i="3" s="1"/>
  <c r="K126" i="3" s="1"/>
  <c r="D465" i="3"/>
  <c r="K465" i="3" s="1"/>
  <c r="U149" i="3"/>
  <c r="W149" i="3"/>
  <c r="F149" i="3"/>
  <c r="R149" i="3"/>
  <c r="Q149" i="3"/>
  <c r="I149" i="3"/>
  <c r="G149" i="3"/>
  <c r="X149" i="3"/>
  <c r="O149" i="3"/>
  <c r="L149" i="3"/>
  <c r="S149" i="3"/>
  <c r="N149" i="3"/>
  <c r="Z149" i="3"/>
  <c r="E149" i="3"/>
  <c r="D141" i="3"/>
  <c r="K141" i="3" s="1"/>
  <c r="M335" i="3"/>
  <c r="G335" i="3"/>
  <c r="O497" i="3"/>
  <c r="Y497" i="3"/>
  <c r="S290" i="3"/>
  <c r="P409" i="3"/>
  <c r="N417" i="3"/>
  <c r="Z174" i="3"/>
  <c r="S366" i="3"/>
  <c r="R366" i="3"/>
  <c r="Q366" i="3"/>
  <c r="I366" i="3"/>
  <c r="G366" i="3"/>
  <c r="Z366" i="3"/>
  <c r="E366" i="3"/>
  <c r="O366" i="3"/>
  <c r="M366" i="3"/>
  <c r="Y69" i="3"/>
  <c r="P69" i="3"/>
  <c r="S69" i="3"/>
  <c r="D238" i="3"/>
  <c r="K238" i="3" s="1"/>
  <c r="N124" i="3"/>
  <c r="S124" i="3"/>
  <c r="I279" i="3"/>
  <c r="S279" i="3"/>
  <c r="P279" i="3"/>
  <c r="O279" i="3"/>
  <c r="X279" i="3"/>
  <c r="Q279" i="3"/>
  <c r="R279" i="3"/>
  <c r="M279" i="3"/>
  <c r="Z279" i="3"/>
  <c r="D287" i="3"/>
  <c r="K287" i="3" s="1"/>
  <c r="D244" i="3"/>
  <c r="K244" i="3" s="1"/>
  <c r="Y63" i="3"/>
  <c r="P63" i="3"/>
  <c r="T399" i="3"/>
  <c r="L399" i="3"/>
  <c r="U399" i="3"/>
  <c r="I399" i="3"/>
  <c r="F399" i="3"/>
  <c r="Q399" i="3"/>
  <c r="X399" i="3"/>
  <c r="U417" i="3"/>
  <c r="Z409" i="3"/>
  <c r="X174" i="3"/>
  <c r="G196" i="3"/>
  <c r="T335" i="3"/>
  <c r="Q308" i="3"/>
  <c r="Y308" i="3"/>
  <c r="B157" i="3"/>
  <c r="D157" i="3" s="1"/>
  <c r="K157" i="3" s="1"/>
  <c r="B288" i="3"/>
  <c r="D288" i="3" s="1"/>
  <c r="K288" i="3" s="1"/>
  <c r="B319" i="3"/>
  <c r="D319" i="3" s="1"/>
  <c r="K319" i="3" s="1"/>
  <c r="D389" i="3"/>
  <c r="K389" i="3" s="1"/>
  <c r="E123" i="3"/>
  <c r="O123" i="3"/>
  <c r="G123" i="3"/>
  <c r="E250" i="3"/>
  <c r="X250" i="3"/>
  <c r="W250" i="3"/>
  <c r="G250" i="3"/>
  <c r="Q250" i="3"/>
  <c r="Z250" i="3"/>
  <c r="T250" i="3"/>
  <c r="B175" i="3"/>
  <c r="D175" i="3" s="1"/>
  <c r="K175" i="3" s="1"/>
  <c r="G93" i="3"/>
  <c r="N93" i="3"/>
  <c r="Z93" i="3"/>
  <c r="E93" i="3"/>
  <c r="Y93" i="3"/>
  <c r="T93" i="3"/>
  <c r="N459" i="3"/>
  <c r="L459" i="3"/>
  <c r="X459" i="3"/>
  <c r="P149" i="3"/>
  <c r="B184" i="3"/>
  <c r="D184" i="3" s="1"/>
  <c r="K184" i="3" s="1"/>
  <c r="B81" i="3"/>
  <c r="D81" i="3" s="1"/>
  <c r="K81" i="3" s="1"/>
  <c r="D156" i="3"/>
  <c r="K156" i="3" s="1"/>
  <c r="D294" i="3"/>
  <c r="K294" i="3" s="1"/>
  <c r="D427" i="3"/>
  <c r="K427" i="3" s="1"/>
  <c r="D79" i="3"/>
  <c r="K79" i="3" s="1"/>
  <c r="D337" i="3"/>
  <c r="K337" i="3" s="1"/>
  <c r="B372" i="3"/>
  <c r="D372" i="3" s="1"/>
  <c r="K372" i="3" s="1"/>
  <c r="D248" i="3"/>
  <c r="K248" i="3" s="1"/>
  <c r="D190" i="3"/>
  <c r="K190" i="3" s="1"/>
  <c r="D154" i="3"/>
  <c r="K154" i="3" s="1"/>
  <c r="B261" i="3"/>
  <c r="D261" i="3" s="1"/>
  <c r="K261" i="3" s="1"/>
  <c r="D278" i="3"/>
  <c r="K278" i="3" s="1"/>
  <c r="D284" i="3"/>
  <c r="K284" i="3" s="1"/>
  <c r="D314" i="3"/>
  <c r="K314" i="3" s="1"/>
  <c r="D338" i="3"/>
  <c r="K338" i="3" s="1"/>
  <c r="D365" i="3"/>
  <c r="K365" i="3" s="1"/>
  <c r="D392" i="3"/>
  <c r="K392" i="3" s="1"/>
  <c r="D400" i="3"/>
  <c r="K400" i="3" s="1"/>
  <c r="B407" i="3"/>
  <c r="D407" i="3" s="1"/>
  <c r="K407" i="3" s="1"/>
  <c r="B414" i="3"/>
  <c r="D414" i="3" s="1"/>
  <c r="K414" i="3" s="1"/>
  <c r="B435" i="3"/>
  <c r="D435" i="3" s="1"/>
  <c r="K435" i="3" s="1"/>
  <c r="D454" i="3"/>
  <c r="K454" i="3" s="1"/>
  <c r="D477" i="3"/>
  <c r="K477" i="3" s="1"/>
  <c r="D67" i="3"/>
  <c r="K67" i="3" s="1"/>
  <c r="D307" i="3"/>
  <c r="K307" i="3" s="1"/>
  <c r="B373" i="3"/>
  <c r="D373" i="3" s="1"/>
  <c r="K373" i="3" s="1"/>
  <c r="D384" i="3"/>
  <c r="K384" i="3" s="1"/>
  <c r="D415" i="3"/>
  <c r="K415" i="3" s="1"/>
  <c r="B422" i="3"/>
  <c r="D422" i="3" s="1"/>
  <c r="K422" i="3" s="1"/>
  <c r="D462" i="3"/>
  <c r="K462" i="3" s="1"/>
  <c r="D235" i="3"/>
  <c r="K235" i="3" s="1"/>
  <c r="D217" i="3"/>
  <c r="K217" i="3" s="1"/>
  <c r="D255" i="3"/>
  <c r="K255" i="3" s="1"/>
  <c r="B262" i="3"/>
  <c r="D262" i="3" s="1"/>
  <c r="K262" i="3" s="1"/>
  <c r="D272" i="3"/>
  <c r="K272" i="3" s="1"/>
  <c r="D285" i="3"/>
  <c r="K285" i="3" s="1"/>
  <c r="D322" i="3"/>
  <c r="K322" i="3" s="1"/>
  <c r="D226" i="3"/>
  <c r="K226" i="3" s="1"/>
  <c r="D137" i="3"/>
  <c r="K137" i="3" s="1"/>
  <c r="D104" i="3"/>
  <c r="K104" i="3" s="1"/>
  <c r="D59" i="3"/>
  <c r="K59" i="3" s="1"/>
  <c r="D291" i="3"/>
  <c r="K291" i="3" s="1"/>
  <c r="B297" i="3"/>
  <c r="D297" i="3" s="1"/>
  <c r="K297" i="3" s="1"/>
  <c r="D480" i="3"/>
  <c r="K480" i="3" s="1"/>
  <c r="D317" i="3"/>
  <c r="K317" i="3" s="1"/>
  <c r="B357" i="3"/>
  <c r="D357" i="3" s="1"/>
  <c r="K357" i="3" s="1"/>
  <c r="B385" i="3"/>
  <c r="D385" i="3" s="1"/>
  <c r="K385" i="3" s="1"/>
  <c r="D410" i="3"/>
  <c r="K410" i="3" s="1"/>
  <c r="D424" i="3"/>
  <c r="K424" i="3" s="1"/>
  <c r="D431" i="3"/>
  <c r="K431" i="3" s="1"/>
  <c r="D489" i="3"/>
  <c r="K489" i="3" s="1"/>
  <c r="D168" i="3"/>
  <c r="K168" i="3" s="1"/>
  <c r="D143" i="3"/>
  <c r="K143" i="3" s="1"/>
  <c r="D129" i="3"/>
  <c r="K129" i="3" s="1"/>
  <c r="D94" i="3"/>
  <c r="K94" i="3" s="1"/>
  <c r="D73" i="3"/>
  <c r="K73" i="3" s="1"/>
  <c r="D65" i="3"/>
  <c r="K65" i="3" s="1"/>
  <c r="D257" i="3"/>
  <c r="K257" i="3" s="1"/>
  <c r="D286" i="3"/>
  <c r="K286" i="3" s="1"/>
  <c r="B323" i="3"/>
  <c r="D323" i="3" s="1"/>
  <c r="K323" i="3" s="1"/>
  <c r="D439" i="3"/>
  <c r="K439" i="3" s="1"/>
  <c r="B457" i="3"/>
  <c r="D457" i="3" s="1"/>
  <c r="K457" i="3" s="1"/>
  <c r="B464" i="3"/>
  <c r="D464" i="3" s="1"/>
  <c r="K464" i="3" s="1"/>
  <c r="D245" i="3"/>
  <c r="K245" i="3" s="1"/>
  <c r="D426" i="3"/>
  <c r="K426" i="3" s="1"/>
  <c r="D432" i="3"/>
  <c r="K432" i="3" s="1"/>
  <c r="T302" i="3"/>
  <c r="Z302" i="3"/>
  <c r="F302" i="3"/>
  <c r="N302" i="3"/>
  <c r="L302" i="3"/>
  <c r="X302" i="3"/>
  <c r="R302" i="3"/>
  <c r="U302" i="3"/>
  <c r="Q302" i="3"/>
  <c r="W302" i="3"/>
  <c r="P302" i="3"/>
  <c r="G302" i="3"/>
  <c r="S302" i="3"/>
  <c r="O302" i="3"/>
  <c r="M302" i="3"/>
  <c r="Y302" i="3"/>
  <c r="I302" i="3"/>
  <c r="G280" i="3"/>
  <c r="L280" i="3"/>
  <c r="N280" i="3"/>
  <c r="M280" i="3"/>
  <c r="T345" i="3"/>
  <c r="F345" i="3"/>
  <c r="Q345" i="3"/>
  <c r="W345" i="3"/>
  <c r="I345" i="3"/>
  <c r="S345" i="3"/>
  <c r="N345" i="3"/>
  <c r="P345" i="3"/>
  <c r="O345" i="3"/>
  <c r="X345" i="3"/>
  <c r="U345" i="3"/>
  <c r="Z345" i="3"/>
  <c r="S150" i="3"/>
  <c r="Y150" i="3"/>
  <c r="M150" i="3"/>
  <c r="R150" i="3"/>
  <c r="N150" i="3"/>
  <c r="X150" i="3"/>
  <c r="O150" i="3"/>
  <c r="F151" i="3"/>
  <c r="Q151" i="3"/>
  <c r="X151" i="3"/>
  <c r="E151" i="3"/>
  <c r="L151" i="3"/>
  <c r="U151" i="3"/>
  <c r="E186" i="3"/>
  <c r="Y186" i="3"/>
  <c r="U186" i="3"/>
  <c r="S186" i="3"/>
  <c r="T186" i="3"/>
  <c r="P186" i="3"/>
  <c r="Q186" i="3"/>
  <c r="R186" i="3"/>
  <c r="O186" i="3"/>
  <c r="X186" i="3"/>
  <c r="N186" i="3"/>
  <c r="L186" i="3"/>
  <c r="G186" i="3"/>
  <c r="I186" i="3"/>
  <c r="F186" i="3"/>
  <c r="W186" i="3"/>
  <c r="M186" i="3"/>
  <c r="Z186" i="3"/>
  <c r="T83" i="3"/>
  <c r="R83" i="3"/>
  <c r="U83" i="3"/>
  <c r="O83" i="3"/>
  <c r="Z83" i="3"/>
  <c r="X83" i="3"/>
  <c r="N83" i="3"/>
  <c r="I211" i="3"/>
  <c r="U211" i="3"/>
  <c r="G211" i="3"/>
  <c r="Z211" i="3"/>
  <c r="L211" i="3"/>
  <c r="M211" i="3"/>
  <c r="X211" i="3"/>
  <c r="S211" i="3"/>
  <c r="O211" i="3"/>
  <c r="Y163" i="3"/>
  <c r="R163" i="3"/>
  <c r="P163" i="3"/>
  <c r="M163" i="3"/>
  <c r="F163" i="3"/>
  <c r="T163" i="3"/>
  <c r="Z163" i="3"/>
  <c r="O163" i="3"/>
  <c r="N163" i="3"/>
  <c r="Q163" i="3"/>
  <c r="W163" i="3"/>
  <c r="L163" i="3"/>
  <c r="S163" i="3"/>
  <c r="E163" i="3"/>
  <c r="R88" i="3"/>
  <c r="W88" i="3"/>
  <c r="T88" i="3"/>
  <c r="U88" i="3"/>
  <c r="F88" i="3"/>
  <c r="T486" i="3"/>
  <c r="L486" i="3"/>
  <c r="F486" i="3"/>
  <c r="X486" i="3"/>
  <c r="R486" i="3"/>
  <c r="P486" i="3"/>
  <c r="O486" i="3"/>
  <c r="Z486" i="3"/>
  <c r="N486" i="3"/>
  <c r="W486" i="3"/>
  <c r="G486" i="3"/>
  <c r="Q486" i="3"/>
  <c r="I486" i="3"/>
  <c r="M486" i="3"/>
  <c r="Y486" i="3"/>
  <c r="E486" i="3"/>
  <c r="S486" i="3"/>
  <c r="U486" i="3"/>
  <c r="R345" i="3"/>
  <c r="Y349" i="3"/>
  <c r="N349" i="3"/>
  <c r="Q349" i="3"/>
  <c r="T349" i="3"/>
  <c r="R349" i="3"/>
  <c r="U349" i="3"/>
  <c r="G349" i="3"/>
  <c r="W349" i="3"/>
  <c r="X349" i="3"/>
  <c r="F349" i="3"/>
  <c r="S349" i="3"/>
  <c r="E349" i="3"/>
  <c r="O349" i="3"/>
  <c r="P160" i="3"/>
  <c r="R160" i="3"/>
  <c r="X42" i="3"/>
  <c r="T42" i="3"/>
  <c r="G42" i="3"/>
  <c r="T97" i="3"/>
  <c r="F97" i="3"/>
  <c r="P97" i="3"/>
  <c r="Y97" i="3"/>
  <c r="E97" i="3"/>
  <c r="Z97" i="3"/>
  <c r="O97" i="3"/>
  <c r="W97" i="3"/>
  <c r="S97" i="3"/>
  <c r="I97" i="3"/>
  <c r="G97" i="3"/>
  <c r="Q97" i="3"/>
  <c r="L97" i="3"/>
  <c r="R97" i="3"/>
  <c r="U97" i="3"/>
  <c r="M97" i="3"/>
  <c r="Q423" i="3"/>
  <c r="I423" i="3"/>
  <c r="Y423" i="3"/>
  <c r="R423" i="3"/>
  <c r="P423" i="3"/>
  <c r="G423" i="3"/>
  <c r="O423" i="3"/>
  <c r="T27" i="3"/>
  <c r="R250" i="3"/>
  <c r="S250" i="3"/>
  <c r="O250" i="3"/>
  <c r="I250" i="3"/>
  <c r="P78" i="3"/>
  <c r="I144" i="3"/>
  <c r="Q456" i="3"/>
  <c r="F456" i="3"/>
  <c r="W456" i="3"/>
  <c r="S456" i="3"/>
  <c r="Z456" i="3"/>
  <c r="X425" i="3"/>
  <c r="M425" i="3"/>
  <c r="D251" i="3"/>
  <c r="K251" i="3" s="1"/>
  <c r="D240" i="3"/>
  <c r="K240" i="3" s="1"/>
  <c r="D223" i="3"/>
  <c r="K223" i="3" s="1"/>
  <c r="D210" i="3"/>
  <c r="K210" i="3" s="1"/>
  <c r="D178" i="3"/>
  <c r="K178" i="3" s="1"/>
  <c r="D95" i="3"/>
  <c r="K95" i="3" s="1"/>
  <c r="B89" i="3"/>
  <c r="D89" i="3" s="1"/>
  <c r="K89" i="3" s="1"/>
  <c r="B485" i="3"/>
  <c r="D485" i="3" s="1"/>
  <c r="K485" i="3" s="1"/>
  <c r="D233" i="3"/>
  <c r="K233" i="3" s="1"/>
  <c r="D228" i="3"/>
  <c r="K228" i="3" s="1"/>
  <c r="D214" i="3"/>
  <c r="K214" i="3" s="1"/>
  <c r="D198" i="3"/>
  <c r="K198" i="3" s="1"/>
  <c r="D172" i="3"/>
  <c r="K172" i="3" s="1"/>
  <c r="D155" i="3"/>
  <c r="K155" i="3" s="1"/>
  <c r="D148" i="3"/>
  <c r="K148" i="3" s="1"/>
  <c r="D131" i="3"/>
  <c r="K131" i="3" s="1"/>
  <c r="D117" i="3"/>
  <c r="K117" i="3" s="1"/>
  <c r="D106" i="3"/>
  <c r="K106" i="3" s="1"/>
  <c r="B101" i="3"/>
  <c r="D101" i="3" s="1"/>
  <c r="K101" i="3" s="1"/>
  <c r="D34" i="3"/>
  <c r="K34" i="3" s="1"/>
  <c r="D259" i="3"/>
  <c r="K259" i="3" s="1"/>
  <c r="D309" i="3"/>
  <c r="K309" i="3" s="1"/>
  <c r="D406" i="3"/>
  <c r="K406" i="3" s="1"/>
  <c r="D419" i="3"/>
  <c r="K419" i="3" s="1"/>
  <c r="B478" i="3"/>
  <c r="D478" i="3" s="1"/>
  <c r="K478" i="3" s="1"/>
  <c r="B494" i="3"/>
  <c r="D494" i="3" s="1"/>
  <c r="K494" i="3" s="1"/>
  <c r="B147" i="3"/>
  <c r="D147" i="3" s="1"/>
  <c r="K147" i="3" s="1"/>
  <c r="D142" i="3"/>
  <c r="K142" i="3" s="1"/>
  <c r="B100" i="3"/>
  <c r="D100" i="3" s="1"/>
  <c r="K100" i="3" s="1"/>
  <c r="B71" i="3"/>
  <c r="D71" i="3" s="1"/>
  <c r="K71" i="3" s="1"/>
  <c r="D64" i="3"/>
  <c r="K64" i="3" s="1"/>
  <c r="B33" i="3"/>
  <c r="D33" i="3" s="1"/>
  <c r="K33" i="3" s="1"/>
  <c r="B300" i="3"/>
  <c r="D300" i="3" s="1"/>
  <c r="K300" i="3" s="1"/>
  <c r="B332" i="3"/>
  <c r="D332" i="3" s="1"/>
  <c r="K332" i="3" s="1"/>
  <c r="B479" i="3"/>
  <c r="D479" i="3" s="1"/>
  <c r="K479" i="3" s="1"/>
  <c r="D183" i="3"/>
  <c r="K183" i="3" s="1"/>
  <c r="B122" i="3"/>
  <c r="D122" i="3" s="1"/>
  <c r="K122" i="3" s="1"/>
  <c r="B70" i="3"/>
  <c r="D70" i="3" s="1"/>
  <c r="K70" i="3" s="1"/>
  <c r="B375" i="3"/>
  <c r="D375" i="3" s="1"/>
  <c r="K375" i="3" s="1"/>
  <c r="D171" i="3"/>
  <c r="K171" i="3" s="1"/>
  <c r="D105" i="3"/>
  <c r="K105" i="3" s="1"/>
  <c r="D367" i="3"/>
  <c r="K367" i="3" s="1"/>
  <c r="D182" i="3"/>
  <c r="K182" i="3" s="1"/>
  <c r="B170" i="3"/>
  <c r="D170" i="3" s="1"/>
  <c r="K170" i="3" s="1"/>
  <c r="D165" i="3"/>
  <c r="K165" i="3" s="1"/>
  <c r="D159" i="3"/>
  <c r="K159" i="3" s="1"/>
  <c r="D68" i="3"/>
  <c r="K68" i="3" s="1"/>
  <c r="B441" i="3"/>
  <c r="D441" i="3" s="1"/>
  <c r="K441" i="3" s="1"/>
  <c r="D252" i="3"/>
  <c r="K252" i="3" s="1"/>
  <c r="D249" i="3"/>
  <c r="K249" i="3" s="1"/>
  <c r="D246" i="3"/>
  <c r="K246" i="3" s="1"/>
  <c r="D187" i="3"/>
  <c r="K187" i="3" s="1"/>
  <c r="D180" i="3"/>
  <c r="K180" i="3" s="1"/>
  <c r="D169" i="3"/>
  <c r="K169" i="3" s="1"/>
  <c r="D145" i="3"/>
  <c r="K145" i="3" s="1"/>
  <c r="D114" i="3"/>
  <c r="K114" i="3" s="1"/>
  <c r="B84" i="3"/>
  <c r="D84" i="3" s="1"/>
  <c r="K84" i="3" s="1"/>
  <c r="B289" i="3"/>
  <c r="D289" i="3" s="1"/>
  <c r="K289" i="3" s="1"/>
  <c r="D295" i="3"/>
  <c r="K295" i="3" s="1"/>
  <c r="B304" i="3"/>
  <c r="D304" i="3" s="1"/>
  <c r="K304" i="3" s="1"/>
  <c r="B320" i="3"/>
  <c r="D320" i="3" s="1"/>
  <c r="K320" i="3" s="1"/>
  <c r="B327" i="3"/>
  <c r="D327" i="3" s="1"/>
  <c r="K327" i="3" s="1"/>
  <c r="D401" i="3"/>
  <c r="K401" i="3" s="1"/>
  <c r="D225" i="3"/>
  <c r="K225" i="3" s="1"/>
  <c r="D200" i="3"/>
  <c r="K200" i="3" s="1"/>
  <c r="B158" i="3"/>
  <c r="D158" i="3" s="1"/>
  <c r="K158" i="3" s="1"/>
  <c r="D103" i="3"/>
  <c r="K103" i="3" s="1"/>
  <c r="B344" i="3"/>
  <c r="D344" i="3" s="1"/>
  <c r="K344" i="3" s="1"/>
  <c r="B466" i="3"/>
  <c r="D466" i="3" s="1"/>
  <c r="K466" i="3" s="1"/>
  <c r="B475" i="3"/>
  <c r="D475" i="3" s="1"/>
  <c r="K475" i="3" s="1"/>
  <c r="D203" i="3"/>
  <c r="K203" i="3" s="1"/>
  <c r="D91" i="3"/>
  <c r="K91" i="3" s="1"/>
  <c r="D273" i="3"/>
  <c r="K273" i="3" s="1"/>
  <c r="B306" i="3"/>
  <c r="D306" i="3" s="1"/>
  <c r="K306" i="3" s="1"/>
  <c r="D371" i="3"/>
  <c r="K371" i="3" s="1"/>
  <c r="B396" i="3"/>
  <c r="D396" i="3" s="1"/>
  <c r="K396" i="3" s="1"/>
  <c r="B460" i="3"/>
  <c r="D460" i="3" s="1"/>
  <c r="K460" i="3" s="1"/>
  <c r="B500" i="3"/>
  <c r="D500" i="3" s="1"/>
  <c r="K500" i="3" s="1"/>
  <c r="D237" i="3"/>
  <c r="K237" i="3" s="1"/>
  <c r="D229" i="3"/>
  <c r="K229" i="3" s="1"/>
  <c r="D219" i="3"/>
  <c r="K219" i="3" s="1"/>
  <c r="D215" i="3"/>
  <c r="K215" i="3" s="1"/>
  <c r="D173" i="3"/>
  <c r="K173" i="3" s="1"/>
  <c r="D119" i="3"/>
  <c r="K119" i="3" s="1"/>
  <c r="B96" i="3"/>
  <c r="D96" i="3" s="1"/>
  <c r="K96" i="3" s="1"/>
  <c r="B9" i="3"/>
  <c r="D9" i="3" s="1"/>
  <c r="K9" i="3" s="1"/>
  <c r="B363" i="3"/>
  <c r="D363" i="3" s="1"/>
  <c r="K363" i="3" s="1"/>
  <c r="D191" i="3"/>
  <c r="K191" i="3" s="1"/>
  <c r="B118" i="3"/>
  <c r="D118" i="3" s="1"/>
  <c r="K118" i="3" s="1"/>
  <c r="D112" i="3"/>
  <c r="K112" i="3" s="1"/>
  <c r="B107" i="3"/>
  <c r="D107" i="3" s="1"/>
  <c r="K107" i="3" s="1"/>
  <c r="D102" i="3"/>
  <c r="K102" i="3" s="1"/>
  <c r="B90" i="3"/>
  <c r="D90" i="3" s="1"/>
  <c r="K90" i="3" s="1"/>
  <c r="B8" i="3"/>
  <c r="B274" i="3"/>
  <c r="D274" i="3" s="1"/>
  <c r="K274" i="3" s="1"/>
  <c r="B315" i="3"/>
  <c r="D315" i="3" s="1"/>
  <c r="K315" i="3" s="1"/>
  <c r="D330" i="3"/>
  <c r="K330" i="3" s="1"/>
  <c r="D354" i="3"/>
  <c r="K354" i="3" s="1"/>
  <c r="B382" i="3"/>
  <c r="D382" i="3" s="1"/>
  <c r="K382" i="3" s="1"/>
  <c r="B390" i="3"/>
  <c r="D390" i="3" s="1"/>
  <c r="K390" i="3" s="1"/>
  <c r="B438" i="3"/>
  <c r="D438" i="3" s="1"/>
  <c r="K438" i="3" s="1"/>
  <c r="B455" i="3"/>
  <c r="D455" i="3" s="1"/>
  <c r="K455" i="3" s="1"/>
  <c r="D266" i="3"/>
  <c r="K266" i="3" s="1"/>
  <c r="D331" i="3"/>
  <c r="K331" i="3" s="1"/>
  <c r="D339" i="3"/>
  <c r="K339" i="3" s="1"/>
  <c r="D355" i="3"/>
  <c r="K355" i="3" s="1"/>
  <c r="D362" i="3"/>
  <c r="K362" i="3" s="1"/>
  <c r="D386" i="3"/>
  <c r="K386" i="3" s="1"/>
  <c r="D437" i="3"/>
  <c r="K437" i="3" s="1"/>
  <c r="D451" i="3"/>
  <c r="K451" i="3" s="1"/>
  <c r="D301" i="3"/>
  <c r="K301" i="3" s="1"/>
  <c r="D328" i="3"/>
  <c r="K328" i="3" s="1"/>
  <c r="D336" i="3"/>
  <c r="K336" i="3" s="1"/>
  <c r="D387" i="3"/>
  <c r="K387" i="3" s="1"/>
  <c r="D412" i="3"/>
  <c r="K412" i="3" s="1"/>
  <c r="D476" i="3"/>
  <c r="K476" i="3" s="1"/>
  <c r="D482" i="3"/>
  <c r="K482" i="3" s="1"/>
  <c r="D495" i="3"/>
  <c r="K495" i="3" s="1"/>
  <c r="D40" i="3"/>
  <c r="K40" i="3" s="1"/>
  <c r="D32" i="3"/>
  <c r="K32" i="3" s="1"/>
  <c r="D260" i="3"/>
  <c r="K260" i="3" s="1"/>
  <c r="D263" i="3"/>
  <c r="K263" i="3" s="1"/>
  <c r="D298" i="3"/>
  <c r="K298" i="3" s="1"/>
  <c r="D316" i="3"/>
  <c r="K316" i="3" s="1"/>
  <c r="D324" i="3"/>
  <c r="K324" i="3" s="1"/>
  <c r="D404" i="3"/>
  <c r="K404" i="3" s="1"/>
  <c r="D408" i="3"/>
  <c r="K408" i="3" s="1"/>
  <c r="D473" i="3"/>
  <c r="K473" i="3" s="1"/>
  <c r="D469" i="3"/>
  <c r="K469" i="3" s="1"/>
  <c r="D501" i="3"/>
  <c r="K501" i="3" s="1"/>
  <c r="D269" i="3"/>
  <c r="K269" i="3" s="1"/>
  <c r="D276" i="3"/>
  <c r="K276" i="3" s="1"/>
  <c r="D333" i="3"/>
  <c r="K333" i="3" s="1"/>
  <c r="D342" i="3"/>
  <c r="K342" i="3" s="1"/>
  <c r="D370" i="3"/>
  <c r="K370" i="3" s="1"/>
  <c r="D388" i="3"/>
  <c r="K388" i="3" s="1"/>
  <c r="D397" i="3"/>
  <c r="K397" i="3" s="1"/>
  <c r="D461" i="3"/>
  <c r="K461" i="3" s="1"/>
  <c r="D488" i="3"/>
  <c r="K488" i="3" s="1"/>
  <c r="D493" i="3"/>
  <c r="K493" i="3" s="1"/>
  <c r="D264" i="3"/>
  <c r="K264" i="3" s="1"/>
  <c r="D299" i="3"/>
  <c r="K299" i="3" s="1"/>
  <c r="D326" i="3"/>
  <c r="K326" i="3" s="1"/>
  <c r="D443" i="3"/>
  <c r="K443" i="3" s="1"/>
  <c r="D449" i="3"/>
  <c r="K449" i="3" s="1"/>
  <c r="D8" i="3" l="1"/>
  <c r="K8" i="3" s="1"/>
  <c r="D7" i="3"/>
  <c r="K7" i="3" s="1"/>
  <c r="D10" i="3"/>
  <c r="K10" i="3" s="1"/>
  <c r="D11" i="3"/>
  <c r="K11" i="3" s="1"/>
  <c r="D12" i="3"/>
  <c r="K12" i="3" s="1"/>
  <c r="D14" i="3"/>
  <c r="K14" i="3" s="1"/>
  <c r="D18" i="3"/>
  <c r="K18" i="3" s="1"/>
  <c r="D15" i="3"/>
  <c r="K15" i="3" s="1"/>
  <c r="D17" i="3"/>
  <c r="K17" i="3" s="1"/>
  <c r="D13" i="3"/>
  <c r="K13" i="3" s="1"/>
  <c r="D16" i="3"/>
  <c r="K16" i="3" s="1"/>
  <c r="K22" i="3"/>
  <c r="M22" i="3"/>
  <c r="O22" i="3"/>
  <c r="P22" i="3"/>
  <c r="Z22" i="3"/>
  <c r="X22" i="3"/>
  <c r="G22" i="3" s="1"/>
  <c r="L22" i="3"/>
  <c r="N22" i="3"/>
  <c r="E22" i="3"/>
  <c r="J22" i="3"/>
  <c r="W22" i="3"/>
  <c r="Y22" i="3"/>
  <c r="H22" i="3" s="1"/>
  <c r="I22" i="3"/>
  <c r="F22" i="3"/>
  <c r="O6" i="3"/>
  <c r="W6" i="3"/>
  <c r="Y6" i="3"/>
  <c r="F6" i="3"/>
  <c r="K6" i="3"/>
  <c r="X6" i="3"/>
  <c r="I6" i="3"/>
  <c r="M6" i="3"/>
  <c r="P6" i="3"/>
  <c r="N6" i="3"/>
  <c r="L6" i="3"/>
  <c r="Z6" i="3"/>
  <c r="H355" i="3"/>
  <c r="J355" i="3"/>
  <c r="H215" i="3"/>
  <c r="J215" i="3"/>
  <c r="H159" i="3"/>
  <c r="J159" i="3"/>
  <c r="H156" i="3"/>
  <c r="J156" i="3"/>
  <c r="H482" i="3"/>
  <c r="J482" i="3"/>
  <c r="H219" i="3"/>
  <c r="J219" i="3"/>
  <c r="H381" i="3"/>
  <c r="J381" i="3"/>
  <c r="H488" i="3"/>
  <c r="J488" i="3"/>
  <c r="H331" i="3"/>
  <c r="J331" i="3"/>
  <c r="H170" i="3"/>
  <c r="J170" i="3"/>
  <c r="H34" i="3"/>
  <c r="J34" i="3"/>
  <c r="H288" i="3"/>
  <c r="J288" i="3"/>
  <c r="H469" i="3"/>
  <c r="J469" i="3"/>
  <c r="H289" i="3"/>
  <c r="J289" i="3"/>
  <c r="H309" i="3"/>
  <c r="J309" i="3"/>
  <c r="H385" i="3"/>
  <c r="J385" i="3"/>
  <c r="H307" i="3"/>
  <c r="J307" i="3"/>
  <c r="H389" i="3"/>
  <c r="J389" i="3"/>
  <c r="H38" i="3"/>
  <c r="J38" i="3"/>
  <c r="H493" i="3"/>
  <c r="J493" i="3"/>
  <c r="H90" i="3"/>
  <c r="J90" i="3"/>
  <c r="H84" i="3"/>
  <c r="J84" i="3"/>
  <c r="H165" i="3"/>
  <c r="J165" i="3"/>
  <c r="H259" i="3"/>
  <c r="J259" i="3"/>
  <c r="H357" i="3"/>
  <c r="J357" i="3"/>
  <c r="J81" i="3"/>
  <c r="H57" i="3"/>
  <c r="J57" i="3"/>
  <c r="H220" i="3"/>
  <c r="J220" i="3"/>
  <c r="H334" i="3"/>
  <c r="J334" i="3"/>
  <c r="J136" i="3"/>
  <c r="H342" i="3"/>
  <c r="J342" i="3"/>
  <c r="H263" i="3"/>
  <c r="J263" i="3"/>
  <c r="H301" i="3"/>
  <c r="J301" i="3"/>
  <c r="H363" i="3"/>
  <c r="J363" i="3"/>
  <c r="H371" i="3"/>
  <c r="J371" i="3"/>
  <c r="H401" i="3"/>
  <c r="J401" i="3"/>
  <c r="H246" i="3"/>
  <c r="J246" i="3"/>
  <c r="H375" i="3"/>
  <c r="J375" i="3"/>
  <c r="H147" i="3"/>
  <c r="J147" i="3"/>
  <c r="H148" i="3"/>
  <c r="J148" i="3"/>
  <c r="H223" i="3"/>
  <c r="J223" i="3"/>
  <c r="J245" i="3"/>
  <c r="H168" i="3"/>
  <c r="J168" i="3"/>
  <c r="H104" i="3"/>
  <c r="J104" i="3"/>
  <c r="H462" i="3"/>
  <c r="J462" i="3"/>
  <c r="H407" i="3"/>
  <c r="J407" i="3"/>
  <c r="H48" i="3"/>
  <c r="J48" i="3"/>
  <c r="J277" i="3"/>
  <c r="H87" i="3"/>
  <c r="J87" i="3"/>
  <c r="H449" i="3"/>
  <c r="J449" i="3"/>
  <c r="H451" i="3"/>
  <c r="J451" i="3"/>
  <c r="H70" i="3"/>
  <c r="J70" i="3"/>
  <c r="H155" i="3"/>
  <c r="J155" i="3"/>
  <c r="H240" i="3"/>
  <c r="J240" i="3"/>
  <c r="H464" i="3"/>
  <c r="J464" i="3"/>
  <c r="H489" i="3"/>
  <c r="J489" i="3"/>
  <c r="H422" i="3"/>
  <c r="J422" i="3"/>
  <c r="H400" i="3"/>
  <c r="J400" i="3"/>
  <c r="H244" i="3"/>
  <c r="J244" i="3"/>
  <c r="H312" i="3"/>
  <c r="J312" i="3"/>
  <c r="H146" i="3"/>
  <c r="J146" i="3"/>
  <c r="H499" i="3"/>
  <c r="J499" i="3"/>
  <c r="H443" i="3"/>
  <c r="J443" i="3"/>
  <c r="H276" i="3"/>
  <c r="J276" i="3"/>
  <c r="H437" i="3"/>
  <c r="J437" i="3"/>
  <c r="H330" i="3"/>
  <c r="J330" i="3"/>
  <c r="H96" i="3"/>
  <c r="J96" i="3"/>
  <c r="H273" i="3"/>
  <c r="J273" i="3"/>
  <c r="H320" i="3"/>
  <c r="J320" i="3"/>
  <c r="H252" i="3"/>
  <c r="J252" i="3"/>
  <c r="H122" i="3"/>
  <c r="J122" i="3"/>
  <c r="H478" i="3"/>
  <c r="J478" i="3"/>
  <c r="H172" i="3"/>
  <c r="J172" i="3"/>
  <c r="H251" i="3"/>
  <c r="J251" i="3"/>
  <c r="H457" i="3"/>
  <c r="J457" i="3"/>
  <c r="H431" i="3"/>
  <c r="J431" i="3"/>
  <c r="H226" i="3"/>
  <c r="J226" i="3"/>
  <c r="H415" i="3"/>
  <c r="J415" i="3"/>
  <c r="H392" i="3"/>
  <c r="J392" i="3"/>
  <c r="H79" i="3"/>
  <c r="J79" i="3"/>
  <c r="H287" i="3"/>
  <c r="J287" i="3"/>
  <c r="H238" i="3"/>
  <c r="J238" i="3"/>
  <c r="H465" i="3"/>
  <c r="J465" i="3"/>
  <c r="H264" i="3"/>
  <c r="J264" i="3"/>
  <c r="H495" i="3"/>
  <c r="J495" i="3"/>
  <c r="H475" i="3"/>
  <c r="J475" i="3"/>
  <c r="H332" i="3"/>
  <c r="J332" i="3"/>
  <c r="H228" i="3"/>
  <c r="J228" i="3"/>
  <c r="H286" i="3"/>
  <c r="J286" i="3"/>
  <c r="H272" i="3"/>
  <c r="J272" i="3"/>
  <c r="H314" i="3"/>
  <c r="J314" i="3"/>
  <c r="H231" i="3"/>
  <c r="J231" i="3"/>
  <c r="H321" i="3"/>
  <c r="J321" i="3"/>
  <c r="H121" i="3"/>
  <c r="J121" i="3"/>
  <c r="X47" i="3"/>
  <c r="J47" i="3"/>
  <c r="H473" i="3"/>
  <c r="J473" i="3"/>
  <c r="H339" i="3"/>
  <c r="J339" i="3"/>
  <c r="H466" i="3"/>
  <c r="J466" i="3"/>
  <c r="H300" i="3"/>
  <c r="J300" i="3"/>
  <c r="H233" i="3"/>
  <c r="J233" i="3"/>
  <c r="H257" i="3"/>
  <c r="J257" i="3"/>
  <c r="H262" i="3"/>
  <c r="J262" i="3"/>
  <c r="H284" i="3"/>
  <c r="J284" i="3"/>
  <c r="H175" i="3"/>
  <c r="J175" i="3"/>
  <c r="H319" i="3"/>
  <c r="J319" i="3"/>
  <c r="H411" i="3"/>
  <c r="J411" i="3"/>
  <c r="H351" i="3"/>
  <c r="J351" i="3"/>
  <c r="H408" i="3"/>
  <c r="J408" i="3"/>
  <c r="H476" i="3"/>
  <c r="J476" i="3"/>
  <c r="H102" i="3"/>
  <c r="J102" i="3"/>
  <c r="H344" i="3"/>
  <c r="J344" i="3"/>
  <c r="H114" i="3"/>
  <c r="J114" i="3"/>
  <c r="H33" i="3"/>
  <c r="J33" i="3"/>
  <c r="H485" i="3"/>
  <c r="J485" i="3"/>
  <c r="H317" i="3"/>
  <c r="J317" i="3"/>
  <c r="H255" i="3"/>
  <c r="J255" i="3"/>
  <c r="H67" i="3"/>
  <c r="J67" i="3"/>
  <c r="H278" i="3"/>
  <c r="J278" i="3"/>
  <c r="H184" i="3"/>
  <c r="J184" i="3"/>
  <c r="H116" i="3"/>
  <c r="J116" i="3"/>
  <c r="H239" i="3"/>
  <c r="J239" i="3"/>
  <c r="H341" i="3"/>
  <c r="J341" i="3"/>
  <c r="H461" i="3"/>
  <c r="J461" i="3"/>
  <c r="H404" i="3"/>
  <c r="J404" i="3"/>
  <c r="H412" i="3"/>
  <c r="J412" i="3"/>
  <c r="H266" i="3"/>
  <c r="J266" i="3"/>
  <c r="H237" i="3"/>
  <c r="J237" i="3"/>
  <c r="H103" i="3"/>
  <c r="J103" i="3"/>
  <c r="H145" i="3"/>
  <c r="J145" i="3"/>
  <c r="H182" i="3"/>
  <c r="J182" i="3"/>
  <c r="H64" i="3"/>
  <c r="J64" i="3"/>
  <c r="H101" i="3"/>
  <c r="J101" i="3"/>
  <c r="H432" i="3"/>
  <c r="J432" i="3"/>
  <c r="H480" i="3"/>
  <c r="J480" i="3"/>
  <c r="H261" i="3"/>
  <c r="J261" i="3"/>
  <c r="H157" i="3"/>
  <c r="J157" i="3"/>
  <c r="H458" i="3"/>
  <c r="J458" i="3"/>
  <c r="H353" i="3"/>
  <c r="J353" i="3"/>
  <c r="H428" i="3"/>
  <c r="J428" i="3"/>
  <c r="H397" i="3"/>
  <c r="J397" i="3"/>
  <c r="H387" i="3"/>
  <c r="J387" i="3"/>
  <c r="H455" i="3"/>
  <c r="J455" i="3"/>
  <c r="H112" i="3"/>
  <c r="J112" i="3"/>
  <c r="H500" i="3"/>
  <c r="J500" i="3"/>
  <c r="H169" i="3"/>
  <c r="J169" i="3"/>
  <c r="H71" i="3"/>
  <c r="J71" i="3"/>
  <c r="H106" i="3"/>
  <c r="J106" i="3"/>
  <c r="H426" i="3"/>
  <c r="J426" i="3"/>
  <c r="H297" i="3"/>
  <c r="J297" i="3"/>
  <c r="H454" i="3"/>
  <c r="J454" i="3"/>
  <c r="J154" i="3"/>
  <c r="H205" i="3"/>
  <c r="J205" i="3"/>
  <c r="H316" i="3"/>
  <c r="J316" i="3"/>
  <c r="H336" i="3"/>
  <c r="J336" i="3"/>
  <c r="H438" i="3"/>
  <c r="J438" i="3"/>
  <c r="H460" i="3"/>
  <c r="J460" i="3"/>
  <c r="H180" i="3"/>
  <c r="J180" i="3"/>
  <c r="H100" i="3"/>
  <c r="J100" i="3"/>
  <c r="H117" i="3"/>
  <c r="J117" i="3"/>
  <c r="H129" i="3"/>
  <c r="J129" i="3"/>
  <c r="H217" i="3"/>
  <c r="J217" i="3"/>
  <c r="H435" i="3"/>
  <c r="J435" i="3"/>
  <c r="H440" i="3"/>
  <c r="J440" i="3"/>
  <c r="H370" i="3"/>
  <c r="J370" i="3"/>
  <c r="H298" i="3"/>
  <c r="J298" i="3"/>
  <c r="H390" i="3"/>
  <c r="J390" i="3"/>
  <c r="H191" i="3"/>
  <c r="J191" i="3"/>
  <c r="H225" i="3"/>
  <c r="J225" i="3"/>
  <c r="H187" i="3"/>
  <c r="J187" i="3"/>
  <c r="H142" i="3"/>
  <c r="J142" i="3"/>
  <c r="H210" i="3"/>
  <c r="J210" i="3"/>
  <c r="H235" i="3"/>
  <c r="J235" i="3"/>
  <c r="H372" i="3"/>
  <c r="J372" i="3"/>
  <c r="J9" i="3"/>
  <c r="H494" i="3"/>
  <c r="J494" i="3"/>
  <c r="H337" i="3"/>
  <c r="J337" i="3"/>
  <c r="H439" i="3"/>
  <c r="J439" i="3"/>
  <c r="H424" i="3"/>
  <c r="J424" i="3"/>
  <c r="H322" i="3"/>
  <c r="J322" i="3"/>
  <c r="H384" i="3"/>
  <c r="J384" i="3"/>
  <c r="H365" i="3"/>
  <c r="J365" i="3"/>
  <c r="H427" i="3"/>
  <c r="J427" i="3"/>
  <c r="H126" i="3"/>
  <c r="J126" i="3"/>
  <c r="H474" i="3"/>
  <c r="J474" i="3"/>
  <c r="J204" i="3"/>
  <c r="J207" i="3"/>
  <c r="J5" i="3"/>
  <c r="H229" i="3"/>
  <c r="J229" i="3"/>
  <c r="H65" i="3"/>
  <c r="J65" i="3"/>
  <c r="H107" i="3"/>
  <c r="J107" i="3"/>
  <c r="H89" i="3"/>
  <c r="J89" i="3"/>
  <c r="H73" i="3"/>
  <c r="J73" i="3"/>
  <c r="H477" i="3"/>
  <c r="J477" i="3"/>
  <c r="H324" i="3"/>
  <c r="J324" i="3"/>
  <c r="H158" i="3"/>
  <c r="J158" i="3"/>
  <c r="H367" i="3"/>
  <c r="J367" i="3"/>
  <c r="H95" i="3"/>
  <c r="J95" i="3"/>
  <c r="H94" i="3"/>
  <c r="J94" i="3"/>
  <c r="H388" i="3"/>
  <c r="J388" i="3"/>
  <c r="H118" i="3"/>
  <c r="J118" i="3"/>
  <c r="H200" i="3"/>
  <c r="J200" i="3"/>
  <c r="H105" i="3"/>
  <c r="J105" i="3"/>
  <c r="H178" i="3"/>
  <c r="J178" i="3"/>
  <c r="H291" i="3"/>
  <c r="J291" i="3"/>
  <c r="H190" i="3"/>
  <c r="J190" i="3"/>
  <c r="H328" i="3"/>
  <c r="J328" i="3"/>
  <c r="H396" i="3"/>
  <c r="J396" i="3"/>
  <c r="H171" i="3"/>
  <c r="J171" i="3"/>
  <c r="H131" i="3"/>
  <c r="J131" i="3"/>
  <c r="H143" i="3"/>
  <c r="J143" i="3"/>
  <c r="H59" i="3"/>
  <c r="J59" i="3"/>
  <c r="H414" i="3"/>
  <c r="J414" i="3"/>
  <c r="J248" i="3"/>
  <c r="H141" i="3"/>
  <c r="J141" i="3"/>
  <c r="H361" i="3"/>
  <c r="J361" i="3"/>
  <c r="H382" i="3"/>
  <c r="J382" i="3"/>
  <c r="H333" i="3"/>
  <c r="J333" i="3"/>
  <c r="H260" i="3"/>
  <c r="J260" i="3"/>
  <c r="H354" i="3"/>
  <c r="J354" i="3"/>
  <c r="H306" i="3"/>
  <c r="J306" i="3"/>
  <c r="H327" i="3"/>
  <c r="J327" i="3"/>
  <c r="H249" i="3"/>
  <c r="J249" i="3"/>
  <c r="H137" i="3"/>
  <c r="J137" i="3"/>
  <c r="H326" i="3"/>
  <c r="J326" i="3"/>
  <c r="H269" i="3"/>
  <c r="J269" i="3"/>
  <c r="H32" i="3"/>
  <c r="J32" i="3"/>
  <c r="H386" i="3"/>
  <c r="J386" i="3"/>
  <c r="H315" i="3"/>
  <c r="J315" i="3"/>
  <c r="H119" i="3"/>
  <c r="J119" i="3"/>
  <c r="H91" i="3"/>
  <c r="J91" i="3"/>
  <c r="H304" i="3"/>
  <c r="J304" i="3"/>
  <c r="H441" i="3"/>
  <c r="J441" i="3"/>
  <c r="H183" i="3"/>
  <c r="J183" i="3"/>
  <c r="H419" i="3"/>
  <c r="J419" i="3"/>
  <c r="H198" i="3"/>
  <c r="J198" i="3"/>
  <c r="H299" i="3"/>
  <c r="J299" i="3"/>
  <c r="H501" i="3"/>
  <c r="J501" i="3"/>
  <c r="H40" i="3"/>
  <c r="J40" i="3"/>
  <c r="H362" i="3"/>
  <c r="J362" i="3"/>
  <c r="H274" i="3"/>
  <c r="J274" i="3"/>
  <c r="H173" i="3"/>
  <c r="J173" i="3"/>
  <c r="H203" i="3"/>
  <c r="J203" i="3"/>
  <c r="H295" i="3"/>
  <c r="J295" i="3"/>
  <c r="H68" i="3"/>
  <c r="J68" i="3"/>
  <c r="H479" i="3"/>
  <c r="J479" i="3"/>
  <c r="H406" i="3"/>
  <c r="J406" i="3"/>
  <c r="H214" i="3"/>
  <c r="J214" i="3"/>
  <c r="H323" i="3"/>
  <c r="J323" i="3"/>
  <c r="H410" i="3"/>
  <c r="J410" i="3"/>
  <c r="H285" i="3"/>
  <c r="J285" i="3"/>
  <c r="H373" i="3"/>
  <c r="J373" i="3"/>
  <c r="H338" i="3"/>
  <c r="J338" i="3"/>
  <c r="H294" i="3"/>
  <c r="J294" i="3"/>
  <c r="H134" i="3"/>
  <c r="J134" i="3"/>
  <c r="H109" i="3"/>
  <c r="J109" i="3"/>
  <c r="H413" i="3"/>
  <c r="J413" i="3"/>
  <c r="H403" i="3"/>
  <c r="J403" i="3"/>
  <c r="J243" i="3"/>
  <c r="L4" i="3"/>
  <c r="J4" i="3"/>
  <c r="J6" i="3"/>
  <c r="E5" i="3"/>
  <c r="P5" i="3"/>
  <c r="N5" i="3"/>
  <c r="M5" i="3"/>
  <c r="Z5" i="3"/>
  <c r="W5" i="3"/>
  <c r="I5" i="3"/>
  <c r="F5" i="3"/>
  <c r="X5" i="3"/>
  <c r="L5" i="3"/>
  <c r="O5" i="3"/>
  <c r="Y5" i="3"/>
  <c r="D19" i="3"/>
  <c r="K19" i="3" s="1"/>
  <c r="D21" i="3"/>
  <c r="K21" i="3" s="1"/>
  <c r="D20" i="3"/>
  <c r="K20" i="3" s="1"/>
  <c r="D24" i="3"/>
  <c r="K24" i="3" s="1"/>
  <c r="D26" i="3"/>
  <c r="K26" i="3" s="1"/>
  <c r="D25" i="3"/>
  <c r="K25" i="3" s="1"/>
  <c r="O499" i="3"/>
  <c r="Z47" i="3"/>
  <c r="I47" i="3"/>
  <c r="X499" i="3"/>
  <c r="L499" i="3"/>
  <c r="Y499" i="3"/>
  <c r="E499" i="3"/>
  <c r="P499" i="3"/>
  <c r="N499" i="3"/>
  <c r="M499" i="3"/>
  <c r="S499" i="3"/>
  <c r="I499" i="3"/>
  <c r="W499" i="3"/>
  <c r="F499" i="3"/>
  <c r="Q499" i="3"/>
  <c r="U499" i="3"/>
  <c r="Z499" i="3"/>
  <c r="G499" i="3"/>
  <c r="T499" i="3"/>
  <c r="R499" i="3"/>
  <c r="Z4" i="3"/>
  <c r="I4" i="3"/>
  <c r="E4" i="3"/>
  <c r="P4" i="3"/>
  <c r="O4" i="3"/>
  <c r="F4" i="3"/>
  <c r="M4" i="3"/>
  <c r="N4" i="3"/>
  <c r="Y4" i="3"/>
  <c r="W4" i="3"/>
  <c r="L47" i="3"/>
  <c r="H47" i="3"/>
  <c r="O47" i="3"/>
  <c r="Q136" i="3"/>
  <c r="H136" i="3"/>
  <c r="G47" i="3"/>
  <c r="T47" i="3"/>
  <c r="F47" i="3"/>
  <c r="R47" i="3"/>
  <c r="U47" i="3"/>
  <c r="S47" i="3"/>
  <c r="Q47" i="3"/>
  <c r="H204" i="3"/>
  <c r="O81" i="3"/>
  <c r="H81" i="3"/>
  <c r="W47" i="3"/>
  <c r="G277" i="3"/>
  <c r="H277" i="3"/>
  <c r="T243" i="3"/>
  <c r="H243" i="3"/>
  <c r="N47" i="3"/>
  <c r="X4" i="3"/>
  <c r="Q248" i="3"/>
  <c r="H248" i="3"/>
  <c r="T154" i="3"/>
  <c r="H154" i="3"/>
  <c r="U207" i="3"/>
  <c r="H207" i="3"/>
  <c r="M47" i="3"/>
  <c r="T245" i="3"/>
  <c r="H245" i="3"/>
  <c r="E47" i="3"/>
  <c r="Y47" i="3"/>
  <c r="P47" i="3"/>
  <c r="B4" i="5"/>
  <c r="Z207" i="3"/>
  <c r="P136" i="3"/>
  <c r="Z136" i="3"/>
  <c r="G136" i="3"/>
  <c r="F136" i="3"/>
  <c r="U136" i="3"/>
  <c r="I136" i="3"/>
  <c r="T136" i="3"/>
  <c r="R136" i="3"/>
  <c r="S136" i="3"/>
  <c r="X136" i="3"/>
  <c r="W136" i="3"/>
  <c r="N136" i="3"/>
  <c r="P207" i="3"/>
  <c r="L207" i="3"/>
  <c r="I207" i="3"/>
  <c r="R207" i="3"/>
  <c r="M207" i="3"/>
  <c r="N207" i="3"/>
  <c r="Y204" i="3"/>
  <c r="T207" i="3"/>
  <c r="F207" i="3"/>
  <c r="S207" i="3"/>
  <c r="E207" i="3"/>
  <c r="Q207" i="3"/>
  <c r="W207" i="3"/>
  <c r="R277" i="3"/>
  <c r="G207" i="3"/>
  <c r="X207" i="3"/>
  <c r="E136" i="3"/>
  <c r="Y136" i="3"/>
  <c r="L136" i="3"/>
  <c r="M136" i="3"/>
  <c r="O207" i="3"/>
  <c r="O136" i="3"/>
  <c r="I248" i="3"/>
  <c r="U428" i="3"/>
  <c r="E248" i="3"/>
  <c r="X428" i="3"/>
  <c r="T277" i="3"/>
  <c r="G428" i="3"/>
  <c r="W428" i="3"/>
  <c r="F154" i="3"/>
  <c r="S154" i="3"/>
  <c r="Q277" i="3"/>
  <c r="P154" i="3"/>
  <c r="M428" i="3"/>
  <c r="X154" i="3"/>
  <c r="L428" i="3"/>
  <c r="N428" i="3"/>
  <c r="I428" i="3"/>
  <c r="T428" i="3"/>
  <c r="Y428" i="3"/>
  <c r="N154" i="3"/>
  <c r="F428" i="3"/>
  <c r="Z428" i="3"/>
  <c r="P428" i="3"/>
  <c r="O428" i="3"/>
  <c r="L154" i="3"/>
  <c r="S428" i="3"/>
  <c r="R428" i="3"/>
  <c r="Q243" i="3"/>
  <c r="Q428" i="3"/>
  <c r="R154" i="3"/>
  <c r="M154" i="3"/>
  <c r="E428" i="3"/>
  <c r="O154" i="3"/>
  <c r="Z277" i="3"/>
  <c r="Y207" i="3"/>
  <c r="P277" i="3"/>
  <c r="G248" i="3"/>
  <c r="W277" i="3"/>
  <c r="N248" i="3"/>
  <c r="U277" i="3"/>
  <c r="W248" i="3"/>
  <c r="I277" i="3"/>
  <c r="N277" i="3"/>
  <c r="X277" i="3"/>
  <c r="P245" i="3"/>
  <c r="N440" i="3"/>
  <c r="I440" i="3"/>
  <c r="F440" i="3"/>
  <c r="X440" i="3"/>
  <c r="W351" i="3"/>
  <c r="X351" i="3"/>
  <c r="G351" i="3"/>
  <c r="L351" i="3"/>
  <c r="T351" i="3"/>
  <c r="Z351" i="3"/>
  <c r="M351" i="3"/>
  <c r="F351" i="3"/>
  <c r="O351" i="3"/>
  <c r="I351" i="3"/>
  <c r="P351" i="3"/>
  <c r="Q351" i="3"/>
  <c r="E351" i="3"/>
  <c r="S351" i="3"/>
  <c r="U351" i="3"/>
  <c r="R351" i="3"/>
  <c r="Y351" i="3"/>
  <c r="N351" i="3"/>
  <c r="Y341" i="3"/>
  <c r="Q341" i="3"/>
  <c r="S341" i="3"/>
  <c r="F341" i="3"/>
  <c r="I341" i="3"/>
  <c r="E341" i="3"/>
  <c r="R341" i="3"/>
  <c r="P341" i="3"/>
  <c r="G341" i="3"/>
  <c r="M341" i="3"/>
  <c r="L341" i="3"/>
  <c r="X341" i="3"/>
  <c r="Z341" i="3"/>
  <c r="W341" i="3"/>
  <c r="T341" i="3"/>
  <c r="N341" i="3"/>
  <c r="U341" i="3"/>
  <c r="O341" i="3"/>
  <c r="X121" i="3"/>
  <c r="T121" i="3"/>
  <c r="Y121" i="3"/>
  <c r="M121" i="3"/>
  <c r="L121" i="3"/>
  <c r="R121" i="3"/>
  <c r="E121" i="3"/>
  <c r="S121" i="3"/>
  <c r="I121" i="3"/>
  <c r="U121" i="3"/>
  <c r="G121" i="3"/>
  <c r="Z121" i="3"/>
  <c r="Q121" i="3"/>
  <c r="O121" i="3"/>
  <c r="P121" i="3"/>
  <c r="F121" i="3"/>
  <c r="W121" i="3"/>
  <c r="N121" i="3"/>
  <c r="Y243" i="3"/>
  <c r="Q154" i="3"/>
  <c r="X248" i="3"/>
  <c r="I154" i="3"/>
  <c r="L248" i="3"/>
  <c r="L277" i="3"/>
  <c r="E243" i="3"/>
  <c r="M243" i="3"/>
  <c r="W243" i="3"/>
  <c r="X243" i="3"/>
  <c r="Z243" i="3"/>
  <c r="I243" i="3"/>
  <c r="R243" i="3"/>
  <c r="P243" i="3"/>
  <c r="F243" i="3"/>
  <c r="L243" i="3"/>
  <c r="N243" i="3"/>
  <c r="S243" i="3"/>
  <c r="O243" i="3"/>
  <c r="U243" i="3"/>
  <c r="G243" i="3"/>
  <c r="S353" i="3"/>
  <c r="P353" i="3"/>
  <c r="U353" i="3"/>
  <c r="F353" i="3"/>
  <c r="Z353" i="3"/>
  <c r="X353" i="3"/>
  <c r="Q353" i="3"/>
  <c r="M353" i="3"/>
  <c r="E353" i="3"/>
  <c r="Y353" i="3"/>
  <c r="L353" i="3"/>
  <c r="I353" i="3"/>
  <c r="R353" i="3"/>
  <c r="G353" i="3"/>
  <c r="O353" i="3"/>
  <c r="W353" i="3"/>
  <c r="N353" i="3"/>
  <c r="T353" i="3"/>
  <c r="O245" i="3"/>
  <c r="Z245" i="3"/>
  <c r="U440" i="3"/>
  <c r="S440" i="3"/>
  <c r="F87" i="3"/>
  <c r="G87" i="3"/>
  <c r="Y87" i="3"/>
  <c r="P87" i="3"/>
  <c r="L87" i="3"/>
  <c r="X87" i="3"/>
  <c r="O87" i="3"/>
  <c r="Z87" i="3"/>
  <c r="T87" i="3"/>
  <c r="E87" i="3"/>
  <c r="W87" i="3"/>
  <c r="Q87" i="3"/>
  <c r="N87" i="3"/>
  <c r="M87" i="3"/>
  <c r="R87" i="3"/>
  <c r="U87" i="3"/>
  <c r="I87" i="3"/>
  <c r="S87" i="3"/>
  <c r="R411" i="3"/>
  <c r="I411" i="3"/>
  <c r="P411" i="3"/>
  <c r="O411" i="3"/>
  <c r="X411" i="3"/>
  <c r="G411" i="3"/>
  <c r="E411" i="3"/>
  <c r="Z411" i="3"/>
  <c r="N411" i="3"/>
  <c r="U411" i="3"/>
  <c r="S411" i="3"/>
  <c r="F411" i="3"/>
  <c r="M411" i="3"/>
  <c r="Y411" i="3"/>
  <c r="T411" i="3"/>
  <c r="L411" i="3"/>
  <c r="Q411" i="3"/>
  <c r="W411" i="3"/>
  <c r="L440" i="3"/>
  <c r="Z440" i="3"/>
  <c r="P440" i="3"/>
  <c r="O334" i="3"/>
  <c r="F334" i="3"/>
  <c r="Q334" i="3"/>
  <c r="E334" i="3"/>
  <c r="Z334" i="3"/>
  <c r="R334" i="3"/>
  <c r="M334" i="3"/>
  <c r="N334" i="3"/>
  <c r="W334" i="3"/>
  <c r="U334" i="3"/>
  <c r="P334" i="3"/>
  <c r="Y334" i="3"/>
  <c r="X334" i="3"/>
  <c r="I334" i="3"/>
  <c r="G334" i="3"/>
  <c r="T334" i="3"/>
  <c r="L334" i="3"/>
  <c r="S334" i="3"/>
  <c r="P205" i="3"/>
  <c r="T205" i="3"/>
  <c r="E205" i="3"/>
  <c r="F205" i="3"/>
  <c r="R205" i="3"/>
  <c r="W205" i="3"/>
  <c r="S205" i="3"/>
  <c r="Z205" i="3"/>
  <c r="X205" i="3"/>
  <c r="L205" i="3"/>
  <c r="Y205" i="3"/>
  <c r="M205" i="3"/>
  <c r="Q205" i="3"/>
  <c r="I205" i="3"/>
  <c r="G205" i="3"/>
  <c r="U205" i="3"/>
  <c r="O205" i="3"/>
  <c r="N205" i="3"/>
  <c r="O403" i="3"/>
  <c r="M403" i="3"/>
  <c r="P403" i="3"/>
  <c r="N403" i="3"/>
  <c r="U403" i="3"/>
  <c r="Y403" i="3"/>
  <c r="S403" i="3"/>
  <c r="Q403" i="3"/>
  <c r="G403" i="3"/>
  <c r="I403" i="3"/>
  <c r="Z403" i="3"/>
  <c r="W403" i="3"/>
  <c r="L403" i="3"/>
  <c r="X403" i="3"/>
  <c r="R403" i="3"/>
  <c r="F403" i="3"/>
  <c r="E403" i="3"/>
  <c r="T403" i="3"/>
  <c r="M440" i="3"/>
  <c r="E440" i="3"/>
  <c r="O458" i="3"/>
  <c r="Z458" i="3"/>
  <c r="M458" i="3"/>
  <c r="R458" i="3"/>
  <c r="F458" i="3"/>
  <c r="T458" i="3"/>
  <c r="P458" i="3"/>
  <c r="U458" i="3"/>
  <c r="L458" i="3"/>
  <c r="E458" i="3"/>
  <c r="X458" i="3"/>
  <c r="Y458" i="3"/>
  <c r="S458" i="3"/>
  <c r="G458" i="3"/>
  <c r="I458" i="3"/>
  <c r="Q458" i="3"/>
  <c r="N458" i="3"/>
  <c r="W458" i="3"/>
  <c r="M277" i="3"/>
  <c r="F277" i="3"/>
  <c r="S277" i="3"/>
  <c r="Y277" i="3"/>
  <c r="O277" i="3"/>
  <c r="E277" i="3"/>
  <c r="Y440" i="3"/>
  <c r="R146" i="3"/>
  <c r="L146" i="3"/>
  <c r="T146" i="3"/>
  <c r="Y146" i="3"/>
  <c r="M146" i="3"/>
  <c r="W146" i="3"/>
  <c r="X146" i="3"/>
  <c r="F146" i="3"/>
  <c r="E146" i="3"/>
  <c r="P146" i="3"/>
  <c r="O146" i="3"/>
  <c r="Q146" i="3"/>
  <c r="N146" i="3"/>
  <c r="I146" i="3"/>
  <c r="S146" i="3"/>
  <c r="Z146" i="3"/>
  <c r="U146" i="3"/>
  <c r="G146" i="3"/>
  <c r="G440" i="3"/>
  <c r="R440" i="3"/>
  <c r="L321" i="3"/>
  <c r="O321" i="3"/>
  <c r="R321" i="3"/>
  <c r="X321" i="3"/>
  <c r="N321" i="3"/>
  <c r="E321" i="3"/>
  <c r="P321" i="3"/>
  <c r="Q321" i="3"/>
  <c r="Z321" i="3"/>
  <c r="I321" i="3"/>
  <c r="U321" i="3"/>
  <c r="Y321" i="3"/>
  <c r="F321" i="3"/>
  <c r="M321" i="3"/>
  <c r="T321" i="3"/>
  <c r="S321" i="3"/>
  <c r="G321" i="3"/>
  <c r="W321" i="3"/>
  <c r="Q440" i="3"/>
  <c r="W440" i="3"/>
  <c r="N220" i="3"/>
  <c r="R220" i="3"/>
  <c r="G220" i="3"/>
  <c r="Y220" i="3"/>
  <c r="L220" i="3"/>
  <c r="I220" i="3"/>
  <c r="O220" i="3"/>
  <c r="S220" i="3"/>
  <c r="W220" i="3"/>
  <c r="P220" i="3"/>
  <c r="X220" i="3"/>
  <c r="Z220" i="3"/>
  <c r="U220" i="3"/>
  <c r="T220" i="3"/>
  <c r="Q220" i="3"/>
  <c r="M220" i="3"/>
  <c r="F220" i="3"/>
  <c r="E220" i="3"/>
  <c r="T440" i="3"/>
  <c r="O440" i="3"/>
  <c r="F239" i="3"/>
  <c r="R239" i="3"/>
  <c r="O239" i="3"/>
  <c r="S239" i="3"/>
  <c r="I239" i="3"/>
  <c r="E239" i="3"/>
  <c r="M239" i="3"/>
  <c r="G239" i="3"/>
  <c r="L239" i="3"/>
  <c r="W239" i="3"/>
  <c r="X239" i="3"/>
  <c r="Y239" i="3"/>
  <c r="Q239" i="3"/>
  <c r="N239" i="3"/>
  <c r="P239" i="3"/>
  <c r="T239" i="3"/>
  <c r="U239" i="3"/>
  <c r="Z239" i="3"/>
  <c r="E48" i="3"/>
  <c r="T48" i="3"/>
  <c r="W48" i="3"/>
  <c r="Y48" i="3"/>
  <c r="R48" i="3"/>
  <c r="S48" i="3"/>
  <c r="G48" i="3"/>
  <c r="L48" i="3"/>
  <c r="O48" i="3"/>
  <c r="N48" i="3"/>
  <c r="M48" i="3"/>
  <c r="I48" i="3"/>
  <c r="U48" i="3"/>
  <c r="F48" i="3"/>
  <c r="P48" i="3"/>
  <c r="Z48" i="3"/>
  <c r="Q48" i="3"/>
  <c r="X48" i="3"/>
  <c r="W157" i="3"/>
  <c r="L157" i="3"/>
  <c r="Y157" i="3"/>
  <c r="Z157" i="3"/>
  <c r="G157" i="3"/>
  <c r="F157" i="3"/>
  <c r="S157" i="3"/>
  <c r="M157" i="3"/>
  <c r="N157" i="3"/>
  <c r="U157" i="3"/>
  <c r="E157" i="3"/>
  <c r="O157" i="3"/>
  <c r="I157" i="3"/>
  <c r="R157" i="3"/>
  <c r="P157" i="3"/>
  <c r="Q157" i="3"/>
  <c r="X157" i="3"/>
  <c r="T157" i="3"/>
  <c r="N175" i="3"/>
  <c r="F175" i="3"/>
  <c r="G175" i="3"/>
  <c r="P175" i="3"/>
  <c r="Y175" i="3"/>
  <c r="I175" i="3"/>
  <c r="U175" i="3"/>
  <c r="L175" i="3"/>
  <c r="S175" i="3"/>
  <c r="R175" i="3"/>
  <c r="O175" i="3"/>
  <c r="Z175" i="3"/>
  <c r="E175" i="3"/>
  <c r="T175" i="3"/>
  <c r="X175" i="3"/>
  <c r="W175" i="3"/>
  <c r="Q175" i="3"/>
  <c r="M175" i="3"/>
  <c r="N261" i="3"/>
  <c r="L261" i="3"/>
  <c r="S261" i="3"/>
  <c r="F261" i="3"/>
  <c r="T261" i="3"/>
  <c r="O261" i="3"/>
  <c r="Q261" i="3"/>
  <c r="Y261" i="3"/>
  <c r="M261" i="3"/>
  <c r="Z261" i="3"/>
  <c r="U261" i="3"/>
  <c r="G261" i="3"/>
  <c r="W261" i="3"/>
  <c r="I261" i="3"/>
  <c r="E261" i="3"/>
  <c r="X261" i="3"/>
  <c r="P261" i="3"/>
  <c r="R261" i="3"/>
  <c r="Y464" i="3"/>
  <c r="P464" i="3"/>
  <c r="I464" i="3"/>
  <c r="Z464" i="3"/>
  <c r="S464" i="3"/>
  <c r="W464" i="3"/>
  <c r="U464" i="3"/>
  <c r="N464" i="3"/>
  <c r="M464" i="3"/>
  <c r="X464" i="3"/>
  <c r="T464" i="3"/>
  <c r="O464" i="3"/>
  <c r="L464" i="3"/>
  <c r="G464" i="3"/>
  <c r="F464" i="3"/>
  <c r="R464" i="3"/>
  <c r="E464" i="3"/>
  <c r="Q464" i="3"/>
  <c r="T126" i="3"/>
  <c r="S126" i="3"/>
  <c r="L126" i="3"/>
  <c r="X126" i="3"/>
  <c r="W126" i="3"/>
  <c r="N126" i="3"/>
  <c r="F126" i="3"/>
  <c r="E126" i="3"/>
  <c r="G126" i="3"/>
  <c r="U126" i="3"/>
  <c r="R126" i="3"/>
  <c r="O126" i="3"/>
  <c r="I126" i="3"/>
  <c r="Q126" i="3"/>
  <c r="P126" i="3"/>
  <c r="Z126" i="3"/>
  <c r="Y126" i="3"/>
  <c r="M126" i="3"/>
  <c r="W422" i="3"/>
  <c r="G422" i="3"/>
  <c r="P422" i="3"/>
  <c r="N422" i="3"/>
  <c r="E422" i="3"/>
  <c r="Q422" i="3"/>
  <c r="S422" i="3"/>
  <c r="I422" i="3"/>
  <c r="T422" i="3"/>
  <c r="R422" i="3"/>
  <c r="U422" i="3"/>
  <c r="O422" i="3"/>
  <c r="Z422" i="3"/>
  <c r="M422" i="3"/>
  <c r="Y422" i="3"/>
  <c r="L422" i="3"/>
  <c r="F422" i="3"/>
  <c r="X422" i="3"/>
  <c r="L262" i="3"/>
  <c r="R262" i="3"/>
  <c r="Y262" i="3"/>
  <c r="Q262" i="3"/>
  <c r="N262" i="3"/>
  <c r="Z262" i="3"/>
  <c r="U262" i="3"/>
  <c r="M262" i="3"/>
  <c r="S262" i="3"/>
  <c r="E262" i="3"/>
  <c r="W262" i="3"/>
  <c r="T262" i="3"/>
  <c r="O262" i="3"/>
  <c r="P262" i="3"/>
  <c r="G262" i="3"/>
  <c r="X262" i="3"/>
  <c r="I262" i="3"/>
  <c r="F262" i="3"/>
  <c r="X414" i="3"/>
  <c r="G414" i="3"/>
  <c r="M414" i="3"/>
  <c r="T414" i="3"/>
  <c r="E414" i="3"/>
  <c r="P414" i="3"/>
  <c r="R414" i="3"/>
  <c r="O414" i="3"/>
  <c r="W414" i="3"/>
  <c r="I414" i="3"/>
  <c r="Z414" i="3"/>
  <c r="U414" i="3"/>
  <c r="Y414" i="3"/>
  <c r="S414" i="3"/>
  <c r="L414" i="3"/>
  <c r="Q414" i="3"/>
  <c r="N414" i="3"/>
  <c r="F414" i="3"/>
  <c r="F312" i="3"/>
  <c r="L312" i="3"/>
  <c r="Z312" i="3"/>
  <c r="T312" i="3"/>
  <c r="P312" i="3"/>
  <c r="W312" i="3"/>
  <c r="O312" i="3"/>
  <c r="I312" i="3"/>
  <c r="G312" i="3"/>
  <c r="Q312" i="3"/>
  <c r="N312" i="3"/>
  <c r="R312" i="3"/>
  <c r="U312" i="3"/>
  <c r="Y312" i="3"/>
  <c r="E312" i="3"/>
  <c r="S312" i="3"/>
  <c r="M312" i="3"/>
  <c r="X312" i="3"/>
  <c r="G357" i="3"/>
  <c r="O357" i="3"/>
  <c r="Z357" i="3"/>
  <c r="L357" i="3"/>
  <c r="S357" i="3"/>
  <c r="Q357" i="3"/>
  <c r="Y357" i="3"/>
  <c r="E357" i="3"/>
  <c r="T357" i="3"/>
  <c r="U357" i="3"/>
  <c r="I357" i="3"/>
  <c r="X357" i="3"/>
  <c r="R357" i="3"/>
  <c r="F357" i="3"/>
  <c r="W357" i="3"/>
  <c r="M357" i="3"/>
  <c r="P357" i="3"/>
  <c r="N357" i="3"/>
  <c r="T373" i="3"/>
  <c r="Z373" i="3"/>
  <c r="L373" i="3"/>
  <c r="E373" i="3"/>
  <c r="G373" i="3"/>
  <c r="W373" i="3"/>
  <c r="Y373" i="3"/>
  <c r="O373" i="3"/>
  <c r="X373" i="3"/>
  <c r="R373" i="3"/>
  <c r="I373" i="3"/>
  <c r="M373" i="3"/>
  <c r="N373" i="3"/>
  <c r="U373" i="3"/>
  <c r="P373" i="3"/>
  <c r="S373" i="3"/>
  <c r="Q373" i="3"/>
  <c r="F373" i="3"/>
  <c r="S381" i="3"/>
  <c r="Y381" i="3"/>
  <c r="L381" i="3"/>
  <c r="X381" i="3"/>
  <c r="M381" i="3"/>
  <c r="W381" i="3"/>
  <c r="U381" i="3"/>
  <c r="E381" i="3"/>
  <c r="Q381" i="3"/>
  <c r="F381" i="3"/>
  <c r="Z381" i="3"/>
  <c r="R381" i="3"/>
  <c r="I381" i="3"/>
  <c r="G381" i="3"/>
  <c r="O381" i="3"/>
  <c r="P381" i="3"/>
  <c r="T381" i="3"/>
  <c r="N381" i="3"/>
  <c r="N413" i="3"/>
  <c r="F413" i="3"/>
  <c r="L413" i="3"/>
  <c r="G413" i="3"/>
  <c r="M413" i="3"/>
  <c r="R413" i="3"/>
  <c r="I413" i="3"/>
  <c r="Z413" i="3"/>
  <c r="E413" i="3"/>
  <c r="Q413" i="3"/>
  <c r="Y413" i="3"/>
  <c r="T413" i="3"/>
  <c r="P413" i="3"/>
  <c r="W413" i="3"/>
  <c r="O413" i="3"/>
  <c r="U413" i="3"/>
  <c r="S413" i="3"/>
  <c r="X413" i="3"/>
  <c r="Y168" i="3"/>
  <c r="R168" i="3"/>
  <c r="E168" i="3"/>
  <c r="X168" i="3"/>
  <c r="L168" i="3"/>
  <c r="T168" i="3"/>
  <c r="P168" i="3"/>
  <c r="U168" i="3"/>
  <c r="G168" i="3"/>
  <c r="M168" i="3"/>
  <c r="Q168" i="3"/>
  <c r="N168" i="3"/>
  <c r="O168" i="3"/>
  <c r="I168" i="3"/>
  <c r="Z168" i="3"/>
  <c r="S168" i="3"/>
  <c r="F168" i="3"/>
  <c r="W168" i="3"/>
  <c r="Z154" i="3"/>
  <c r="R248" i="3"/>
  <c r="Z248" i="3"/>
  <c r="Z489" i="3"/>
  <c r="G489" i="3"/>
  <c r="U489" i="3"/>
  <c r="S489" i="3"/>
  <c r="F489" i="3"/>
  <c r="Q489" i="3"/>
  <c r="O489" i="3"/>
  <c r="E489" i="3"/>
  <c r="I489" i="3"/>
  <c r="N489" i="3"/>
  <c r="X489" i="3"/>
  <c r="L489" i="3"/>
  <c r="W489" i="3"/>
  <c r="M489" i="3"/>
  <c r="R489" i="3"/>
  <c r="P489" i="3"/>
  <c r="T489" i="3"/>
  <c r="Y489" i="3"/>
  <c r="E255" i="3"/>
  <c r="I255" i="3"/>
  <c r="Q255" i="3"/>
  <c r="W255" i="3"/>
  <c r="Y255" i="3"/>
  <c r="X255" i="3"/>
  <c r="O255" i="3"/>
  <c r="S255" i="3"/>
  <c r="P255" i="3"/>
  <c r="M255" i="3"/>
  <c r="N255" i="3"/>
  <c r="T255" i="3"/>
  <c r="U255" i="3"/>
  <c r="G255" i="3"/>
  <c r="Z255" i="3"/>
  <c r="R255" i="3"/>
  <c r="L255" i="3"/>
  <c r="F255" i="3"/>
  <c r="U338" i="3"/>
  <c r="Y338" i="3"/>
  <c r="R338" i="3"/>
  <c r="I338" i="3"/>
  <c r="N338" i="3"/>
  <c r="M338" i="3"/>
  <c r="T338" i="3"/>
  <c r="O338" i="3"/>
  <c r="S338" i="3"/>
  <c r="W338" i="3"/>
  <c r="X338" i="3"/>
  <c r="Z338" i="3"/>
  <c r="P338" i="3"/>
  <c r="F338" i="3"/>
  <c r="G338" i="3"/>
  <c r="Q338" i="3"/>
  <c r="L338" i="3"/>
  <c r="E338" i="3"/>
  <c r="M134" i="3"/>
  <c r="N134" i="3"/>
  <c r="L134" i="3"/>
  <c r="U134" i="3"/>
  <c r="I134" i="3"/>
  <c r="Z134" i="3"/>
  <c r="F134" i="3"/>
  <c r="O134" i="3"/>
  <c r="E134" i="3"/>
  <c r="W134" i="3"/>
  <c r="R134" i="3"/>
  <c r="Y134" i="3"/>
  <c r="X134" i="3"/>
  <c r="G134" i="3"/>
  <c r="S134" i="3"/>
  <c r="P134" i="3"/>
  <c r="T134" i="3"/>
  <c r="Q134" i="3"/>
  <c r="Q109" i="3"/>
  <c r="G109" i="3"/>
  <c r="U109" i="3"/>
  <c r="X109" i="3"/>
  <c r="I109" i="3"/>
  <c r="S109" i="3"/>
  <c r="Y109" i="3"/>
  <c r="P109" i="3"/>
  <c r="N109" i="3"/>
  <c r="L109" i="3"/>
  <c r="E109" i="3"/>
  <c r="T109" i="3"/>
  <c r="F109" i="3"/>
  <c r="W109" i="3"/>
  <c r="R109" i="3"/>
  <c r="O109" i="3"/>
  <c r="M109" i="3"/>
  <c r="Z109" i="3"/>
  <c r="U385" i="3"/>
  <c r="Y385" i="3"/>
  <c r="G385" i="3"/>
  <c r="X385" i="3"/>
  <c r="S385" i="3"/>
  <c r="I385" i="3"/>
  <c r="N385" i="3"/>
  <c r="F385" i="3"/>
  <c r="P385" i="3"/>
  <c r="T385" i="3"/>
  <c r="E385" i="3"/>
  <c r="M385" i="3"/>
  <c r="W385" i="3"/>
  <c r="Z385" i="3"/>
  <c r="O385" i="3"/>
  <c r="L385" i="3"/>
  <c r="Q385" i="3"/>
  <c r="R385" i="3"/>
  <c r="Y154" i="3"/>
  <c r="G67" i="3"/>
  <c r="S67" i="3"/>
  <c r="F67" i="3"/>
  <c r="M67" i="3"/>
  <c r="T67" i="3"/>
  <c r="O67" i="3"/>
  <c r="I67" i="3"/>
  <c r="N67" i="3"/>
  <c r="X67" i="3"/>
  <c r="Z67" i="3"/>
  <c r="R67" i="3"/>
  <c r="E67" i="3"/>
  <c r="P67" i="3"/>
  <c r="U67" i="3"/>
  <c r="W67" i="3"/>
  <c r="Q67" i="3"/>
  <c r="L67" i="3"/>
  <c r="Y67" i="3"/>
  <c r="N314" i="3"/>
  <c r="O314" i="3"/>
  <c r="X314" i="3"/>
  <c r="R314" i="3"/>
  <c r="W314" i="3"/>
  <c r="G314" i="3"/>
  <c r="I314" i="3"/>
  <c r="T314" i="3"/>
  <c r="P314" i="3"/>
  <c r="S314" i="3"/>
  <c r="Z314" i="3"/>
  <c r="U314" i="3"/>
  <c r="L314" i="3"/>
  <c r="F314" i="3"/>
  <c r="M314" i="3"/>
  <c r="Q314" i="3"/>
  <c r="E314" i="3"/>
  <c r="Y314" i="3"/>
  <c r="Z337" i="3"/>
  <c r="Y337" i="3"/>
  <c r="F337" i="3"/>
  <c r="G337" i="3"/>
  <c r="M337" i="3"/>
  <c r="U337" i="3"/>
  <c r="Q337" i="3"/>
  <c r="I337" i="3"/>
  <c r="S337" i="3"/>
  <c r="N337" i="3"/>
  <c r="X337" i="3"/>
  <c r="T337" i="3"/>
  <c r="E337" i="3"/>
  <c r="L337" i="3"/>
  <c r="R337" i="3"/>
  <c r="O337" i="3"/>
  <c r="P337" i="3"/>
  <c r="W337" i="3"/>
  <c r="Z389" i="3"/>
  <c r="W389" i="3"/>
  <c r="G389" i="3"/>
  <c r="U389" i="3"/>
  <c r="F389" i="3"/>
  <c r="L389" i="3"/>
  <c r="N389" i="3"/>
  <c r="M389" i="3"/>
  <c r="I389" i="3"/>
  <c r="R389" i="3"/>
  <c r="O389" i="3"/>
  <c r="X389" i="3"/>
  <c r="Q389" i="3"/>
  <c r="Y389" i="3"/>
  <c r="T389" i="3"/>
  <c r="P389" i="3"/>
  <c r="E389" i="3"/>
  <c r="S389" i="3"/>
  <c r="I231" i="3"/>
  <c r="L231" i="3"/>
  <c r="Q231" i="3"/>
  <c r="T231" i="3"/>
  <c r="O231" i="3"/>
  <c r="X231" i="3"/>
  <c r="P231" i="3"/>
  <c r="M231" i="3"/>
  <c r="S231" i="3"/>
  <c r="U231" i="3"/>
  <c r="R231" i="3"/>
  <c r="N231" i="3"/>
  <c r="Y231" i="3"/>
  <c r="G231" i="3"/>
  <c r="W231" i="3"/>
  <c r="Z231" i="3"/>
  <c r="F231" i="3"/>
  <c r="E231" i="3"/>
  <c r="X365" i="3"/>
  <c r="F365" i="3"/>
  <c r="L365" i="3"/>
  <c r="G365" i="3"/>
  <c r="W365" i="3"/>
  <c r="Q365" i="3"/>
  <c r="Z365" i="3"/>
  <c r="E365" i="3"/>
  <c r="R365" i="3"/>
  <c r="P365" i="3"/>
  <c r="N365" i="3"/>
  <c r="I365" i="3"/>
  <c r="U365" i="3"/>
  <c r="M365" i="3"/>
  <c r="S365" i="3"/>
  <c r="T365" i="3"/>
  <c r="O365" i="3"/>
  <c r="Y365" i="3"/>
  <c r="P439" i="3"/>
  <c r="N439" i="3"/>
  <c r="I439" i="3"/>
  <c r="F439" i="3"/>
  <c r="L439" i="3"/>
  <c r="Y439" i="3"/>
  <c r="E439" i="3"/>
  <c r="X439" i="3"/>
  <c r="T439" i="3"/>
  <c r="G439" i="3"/>
  <c r="U439" i="3"/>
  <c r="Q439" i="3"/>
  <c r="O439" i="3"/>
  <c r="S439" i="3"/>
  <c r="W439" i="3"/>
  <c r="R439" i="3"/>
  <c r="M439" i="3"/>
  <c r="Z439" i="3"/>
  <c r="O457" i="3"/>
  <c r="W457" i="3"/>
  <c r="R457" i="3"/>
  <c r="L457" i="3"/>
  <c r="Y457" i="3"/>
  <c r="T457" i="3"/>
  <c r="Z457" i="3"/>
  <c r="M457" i="3"/>
  <c r="S457" i="3"/>
  <c r="G457" i="3"/>
  <c r="I457" i="3"/>
  <c r="N457" i="3"/>
  <c r="X457" i="3"/>
  <c r="F457" i="3"/>
  <c r="P457" i="3"/>
  <c r="Q457" i="3"/>
  <c r="U457" i="3"/>
  <c r="E457" i="3"/>
  <c r="R291" i="3"/>
  <c r="G291" i="3"/>
  <c r="L291" i="3"/>
  <c r="X291" i="3"/>
  <c r="Y291" i="3"/>
  <c r="Z291" i="3"/>
  <c r="P291" i="3"/>
  <c r="N291" i="3"/>
  <c r="T291" i="3"/>
  <c r="Q291" i="3"/>
  <c r="S291" i="3"/>
  <c r="U291" i="3"/>
  <c r="W291" i="3"/>
  <c r="M291" i="3"/>
  <c r="O291" i="3"/>
  <c r="E291" i="3"/>
  <c r="F291" i="3"/>
  <c r="I291" i="3"/>
  <c r="R477" i="3"/>
  <c r="U477" i="3"/>
  <c r="Z477" i="3"/>
  <c r="O477" i="3"/>
  <c r="Y477" i="3"/>
  <c r="T477" i="3"/>
  <c r="I477" i="3"/>
  <c r="M477" i="3"/>
  <c r="F477" i="3"/>
  <c r="S477" i="3"/>
  <c r="G477" i="3"/>
  <c r="Q477" i="3"/>
  <c r="W477" i="3"/>
  <c r="P477" i="3"/>
  <c r="E477" i="3"/>
  <c r="N477" i="3"/>
  <c r="X477" i="3"/>
  <c r="L477" i="3"/>
  <c r="S284" i="3"/>
  <c r="O284" i="3"/>
  <c r="N284" i="3"/>
  <c r="T284" i="3"/>
  <c r="G284" i="3"/>
  <c r="P284" i="3"/>
  <c r="Z284" i="3"/>
  <c r="X284" i="3"/>
  <c r="F284" i="3"/>
  <c r="M284" i="3"/>
  <c r="E284" i="3"/>
  <c r="I284" i="3"/>
  <c r="Q284" i="3"/>
  <c r="Y284" i="3"/>
  <c r="R284" i="3"/>
  <c r="L284" i="3"/>
  <c r="U284" i="3"/>
  <c r="W284" i="3"/>
  <c r="N319" i="3"/>
  <c r="G319" i="3"/>
  <c r="U319" i="3"/>
  <c r="P319" i="3"/>
  <c r="R319" i="3"/>
  <c r="T319" i="3"/>
  <c r="X319" i="3"/>
  <c r="S319" i="3"/>
  <c r="L319" i="3"/>
  <c r="M319" i="3"/>
  <c r="F319" i="3"/>
  <c r="Z319" i="3"/>
  <c r="O319" i="3"/>
  <c r="Q319" i="3"/>
  <c r="E319" i="3"/>
  <c r="I319" i="3"/>
  <c r="Y319" i="3"/>
  <c r="W319" i="3"/>
  <c r="F57" i="3"/>
  <c r="O57" i="3"/>
  <c r="I57" i="3"/>
  <c r="G57" i="3"/>
  <c r="W57" i="3"/>
  <c r="R57" i="3"/>
  <c r="P57" i="3"/>
  <c r="T57" i="3"/>
  <c r="Q57" i="3"/>
  <c r="S57" i="3"/>
  <c r="X57" i="3"/>
  <c r="U57" i="3"/>
  <c r="Y57" i="3"/>
  <c r="Z57" i="3"/>
  <c r="N57" i="3"/>
  <c r="E57" i="3"/>
  <c r="L57" i="3"/>
  <c r="M57" i="3"/>
  <c r="I361" i="3"/>
  <c r="Z361" i="3"/>
  <c r="Q361" i="3"/>
  <c r="X361" i="3"/>
  <c r="G361" i="3"/>
  <c r="W361" i="3"/>
  <c r="F361" i="3"/>
  <c r="P361" i="3"/>
  <c r="T361" i="3"/>
  <c r="R361" i="3"/>
  <c r="N361" i="3"/>
  <c r="Y361" i="3"/>
  <c r="S361" i="3"/>
  <c r="U361" i="3"/>
  <c r="M361" i="3"/>
  <c r="E361" i="3"/>
  <c r="L361" i="3"/>
  <c r="O361" i="3"/>
  <c r="T38" i="3"/>
  <c r="E38" i="3"/>
  <c r="X38" i="3"/>
  <c r="L38" i="3"/>
  <c r="N38" i="3"/>
  <c r="Y38" i="3"/>
  <c r="U38" i="3"/>
  <c r="M38" i="3"/>
  <c r="W38" i="3"/>
  <c r="P38" i="3"/>
  <c r="F38" i="3"/>
  <c r="S38" i="3"/>
  <c r="G38" i="3"/>
  <c r="O38" i="3"/>
  <c r="I38" i="3"/>
  <c r="R38" i="3"/>
  <c r="Q38" i="3"/>
  <c r="Z38" i="3"/>
  <c r="Q184" i="3"/>
  <c r="F184" i="3"/>
  <c r="X184" i="3"/>
  <c r="E184" i="3"/>
  <c r="Z184" i="3"/>
  <c r="T184" i="3"/>
  <c r="Y184" i="3"/>
  <c r="M184" i="3"/>
  <c r="O184" i="3"/>
  <c r="L184" i="3"/>
  <c r="I184" i="3"/>
  <c r="P184" i="3"/>
  <c r="S184" i="3"/>
  <c r="G184" i="3"/>
  <c r="R184" i="3"/>
  <c r="N184" i="3"/>
  <c r="U184" i="3"/>
  <c r="W184" i="3"/>
  <c r="U154" i="3"/>
  <c r="T248" i="3"/>
  <c r="Q431" i="3"/>
  <c r="Z431" i="3"/>
  <c r="W431" i="3"/>
  <c r="E431" i="3"/>
  <c r="X431" i="3"/>
  <c r="T431" i="3"/>
  <c r="N431" i="3"/>
  <c r="S431" i="3"/>
  <c r="I431" i="3"/>
  <c r="U431" i="3"/>
  <c r="M431" i="3"/>
  <c r="F431" i="3"/>
  <c r="P431" i="3"/>
  <c r="R431" i="3"/>
  <c r="L431" i="3"/>
  <c r="O431" i="3"/>
  <c r="Y431" i="3"/>
  <c r="G431" i="3"/>
  <c r="M59" i="3"/>
  <c r="S59" i="3"/>
  <c r="F59" i="3"/>
  <c r="L59" i="3"/>
  <c r="X59" i="3"/>
  <c r="I59" i="3"/>
  <c r="Q59" i="3"/>
  <c r="O59" i="3"/>
  <c r="E59" i="3"/>
  <c r="R59" i="3"/>
  <c r="P59" i="3"/>
  <c r="U59" i="3"/>
  <c r="Z59" i="3"/>
  <c r="T59" i="3"/>
  <c r="Y59" i="3"/>
  <c r="G59" i="3"/>
  <c r="N59" i="3"/>
  <c r="W59" i="3"/>
  <c r="L217" i="3"/>
  <c r="U217" i="3"/>
  <c r="Q217" i="3"/>
  <c r="X217" i="3"/>
  <c r="Z217" i="3"/>
  <c r="O217" i="3"/>
  <c r="M217" i="3"/>
  <c r="W217" i="3"/>
  <c r="N217" i="3"/>
  <c r="I217" i="3"/>
  <c r="Y217" i="3"/>
  <c r="F217" i="3"/>
  <c r="P217" i="3"/>
  <c r="T217" i="3"/>
  <c r="S217" i="3"/>
  <c r="G217" i="3"/>
  <c r="E217" i="3"/>
  <c r="R217" i="3"/>
  <c r="R454" i="3"/>
  <c r="P454" i="3"/>
  <c r="F454" i="3"/>
  <c r="E454" i="3"/>
  <c r="G454" i="3"/>
  <c r="O454" i="3"/>
  <c r="Z454" i="3"/>
  <c r="Y454" i="3"/>
  <c r="I454" i="3"/>
  <c r="M454" i="3"/>
  <c r="W454" i="3"/>
  <c r="L454" i="3"/>
  <c r="T454" i="3"/>
  <c r="U454" i="3"/>
  <c r="N454" i="3"/>
  <c r="Q454" i="3"/>
  <c r="X454" i="3"/>
  <c r="S454" i="3"/>
  <c r="Y278" i="3"/>
  <c r="X278" i="3"/>
  <c r="S278" i="3"/>
  <c r="T278" i="3"/>
  <c r="E278" i="3"/>
  <c r="M278" i="3"/>
  <c r="G278" i="3"/>
  <c r="L278" i="3"/>
  <c r="N278" i="3"/>
  <c r="R278" i="3"/>
  <c r="F278" i="3"/>
  <c r="O278" i="3"/>
  <c r="I278" i="3"/>
  <c r="Q278" i="3"/>
  <c r="U278" i="3"/>
  <c r="Z278" i="3"/>
  <c r="P278" i="3"/>
  <c r="W278" i="3"/>
  <c r="M79" i="3"/>
  <c r="F79" i="3"/>
  <c r="N79" i="3"/>
  <c r="E79" i="3"/>
  <c r="R79" i="3"/>
  <c r="W79" i="3"/>
  <c r="T79" i="3"/>
  <c r="Y79" i="3"/>
  <c r="G79" i="3"/>
  <c r="Q79" i="3"/>
  <c r="I79" i="3"/>
  <c r="Z79" i="3"/>
  <c r="U79" i="3"/>
  <c r="O79" i="3"/>
  <c r="P79" i="3"/>
  <c r="L79" i="3"/>
  <c r="X79" i="3"/>
  <c r="S79" i="3"/>
  <c r="Z244" i="3"/>
  <c r="S244" i="3"/>
  <c r="M244" i="3"/>
  <c r="R244" i="3"/>
  <c r="O244" i="3"/>
  <c r="T244" i="3"/>
  <c r="F244" i="3"/>
  <c r="Q244" i="3"/>
  <c r="E244" i="3"/>
  <c r="U244" i="3"/>
  <c r="L244" i="3"/>
  <c r="W244" i="3"/>
  <c r="P244" i="3"/>
  <c r="N244" i="3"/>
  <c r="Y244" i="3"/>
  <c r="G244" i="3"/>
  <c r="I244" i="3"/>
  <c r="X244" i="3"/>
  <c r="U204" i="3"/>
  <c r="I204" i="3"/>
  <c r="Z204" i="3"/>
  <c r="E204" i="3"/>
  <c r="P204" i="3"/>
  <c r="R204" i="3"/>
  <c r="N204" i="3"/>
  <c r="F204" i="3"/>
  <c r="W204" i="3"/>
  <c r="X204" i="3"/>
  <c r="S204" i="3"/>
  <c r="G204" i="3"/>
  <c r="Q204" i="3"/>
  <c r="O204" i="3"/>
  <c r="M204" i="3"/>
  <c r="L204" i="3"/>
  <c r="T204" i="3"/>
  <c r="O407" i="3"/>
  <c r="S407" i="3"/>
  <c r="N407" i="3"/>
  <c r="Q407" i="3"/>
  <c r="R407" i="3"/>
  <c r="L407" i="3"/>
  <c r="F407" i="3"/>
  <c r="Y407" i="3"/>
  <c r="W407" i="3"/>
  <c r="X407" i="3"/>
  <c r="G407" i="3"/>
  <c r="U407" i="3"/>
  <c r="T407" i="3"/>
  <c r="M407" i="3"/>
  <c r="P407" i="3"/>
  <c r="E407" i="3"/>
  <c r="Z407" i="3"/>
  <c r="I407" i="3"/>
  <c r="R286" i="3"/>
  <c r="G286" i="3"/>
  <c r="X286" i="3"/>
  <c r="W286" i="3"/>
  <c r="E286" i="3"/>
  <c r="F286" i="3"/>
  <c r="Z286" i="3"/>
  <c r="L286" i="3"/>
  <c r="S286" i="3"/>
  <c r="N286" i="3"/>
  <c r="I286" i="3"/>
  <c r="U286" i="3"/>
  <c r="P286" i="3"/>
  <c r="Y286" i="3"/>
  <c r="T286" i="3"/>
  <c r="M286" i="3"/>
  <c r="Q286" i="3"/>
  <c r="O286" i="3"/>
  <c r="R104" i="3"/>
  <c r="Y104" i="3"/>
  <c r="T104" i="3"/>
  <c r="I104" i="3"/>
  <c r="W104" i="3"/>
  <c r="P104" i="3"/>
  <c r="L104" i="3"/>
  <c r="S104" i="3"/>
  <c r="U104" i="3"/>
  <c r="O104" i="3"/>
  <c r="Q104" i="3"/>
  <c r="F104" i="3"/>
  <c r="G104" i="3"/>
  <c r="E104" i="3"/>
  <c r="Z104" i="3"/>
  <c r="M104" i="3"/>
  <c r="X104" i="3"/>
  <c r="N104" i="3"/>
  <c r="M235" i="3"/>
  <c r="G235" i="3"/>
  <c r="O235" i="3"/>
  <c r="E235" i="3"/>
  <c r="R235" i="3"/>
  <c r="Z235" i="3"/>
  <c r="U235" i="3"/>
  <c r="X235" i="3"/>
  <c r="L235" i="3"/>
  <c r="F235" i="3"/>
  <c r="T235" i="3"/>
  <c r="Q235" i="3"/>
  <c r="N235" i="3"/>
  <c r="W235" i="3"/>
  <c r="S235" i="3"/>
  <c r="P235" i="3"/>
  <c r="Y235" i="3"/>
  <c r="I235" i="3"/>
  <c r="G288" i="3"/>
  <c r="F288" i="3"/>
  <c r="Q288" i="3"/>
  <c r="L288" i="3"/>
  <c r="E288" i="3"/>
  <c r="Y288" i="3"/>
  <c r="W288" i="3"/>
  <c r="N288" i="3"/>
  <c r="R288" i="3"/>
  <c r="M288" i="3"/>
  <c r="X288" i="3"/>
  <c r="S288" i="3"/>
  <c r="I288" i="3"/>
  <c r="O288" i="3"/>
  <c r="U288" i="3"/>
  <c r="P288" i="3"/>
  <c r="Z288" i="3"/>
  <c r="T288" i="3"/>
  <c r="S287" i="3"/>
  <c r="N287" i="3"/>
  <c r="R287" i="3"/>
  <c r="X287" i="3"/>
  <c r="G287" i="3"/>
  <c r="O287" i="3"/>
  <c r="F287" i="3"/>
  <c r="M287" i="3"/>
  <c r="W287" i="3"/>
  <c r="I287" i="3"/>
  <c r="U287" i="3"/>
  <c r="P287" i="3"/>
  <c r="L287" i="3"/>
  <c r="Q287" i="3"/>
  <c r="Z287" i="3"/>
  <c r="E287" i="3"/>
  <c r="T287" i="3"/>
  <c r="Y287" i="3"/>
  <c r="L116" i="3"/>
  <c r="F116" i="3"/>
  <c r="M116" i="3"/>
  <c r="Z116" i="3"/>
  <c r="I116" i="3"/>
  <c r="G116" i="3"/>
  <c r="R116" i="3"/>
  <c r="N116" i="3"/>
  <c r="O116" i="3"/>
  <c r="S116" i="3"/>
  <c r="T116" i="3"/>
  <c r="Y116" i="3"/>
  <c r="Q116" i="3"/>
  <c r="P116" i="3"/>
  <c r="X116" i="3"/>
  <c r="E116" i="3"/>
  <c r="U116" i="3"/>
  <c r="W116" i="3"/>
  <c r="U424" i="3"/>
  <c r="T424" i="3"/>
  <c r="X424" i="3"/>
  <c r="I424" i="3"/>
  <c r="E424" i="3"/>
  <c r="W424" i="3"/>
  <c r="R424" i="3"/>
  <c r="L424" i="3"/>
  <c r="N424" i="3"/>
  <c r="O424" i="3"/>
  <c r="M424" i="3"/>
  <c r="G424" i="3"/>
  <c r="Z424" i="3"/>
  <c r="Q424" i="3"/>
  <c r="S424" i="3"/>
  <c r="P424" i="3"/>
  <c r="F424" i="3"/>
  <c r="Y424" i="3"/>
  <c r="W154" i="3"/>
  <c r="G154" i="3"/>
  <c r="I257" i="3"/>
  <c r="X257" i="3"/>
  <c r="P257" i="3"/>
  <c r="E257" i="3"/>
  <c r="Z257" i="3"/>
  <c r="S257" i="3"/>
  <c r="Q257" i="3"/>
  <c r="U257" i="3"/>
  <c r="Y257" i="3"/>
  <c r="W257" i="3"/>
  <c r="R257" i="3"/>
  <c r="L257" i="3"/>
  <c r="G257" i="3"/>
  <c r="T257" i="3"/>
  <c r="M257" i="3"/>
  <c r="N257" i="3"/>
  <c r="F257" i="3"/>
  <c r="O257" i="3"/>
  <c r="E410" i="3"/>
  <c r="R410" i="3"/>
  <c r="U410" i="3"/>
  <c r="I410" i="3"/>
  <c r="M410" i="3"/>
  <c r="T410" i="3"/>
  <c r="O410" i="3"/>
  <c r="F410" i="3"/>
  <c r="Z410" i="3"/>
  <c r="N410" i="3"/>
  <c r="P410" i="3"/>
  <c r="Q410" i="3"/>
  <c r="Y410" i="3"/>
  <c r="L410" i="3"/>
  <c r="G410" i="3"/>
  <c r="W410" i="3"/>
  <c r="S410" i="3"/>
  <c r="X410" i="3"/>
  <c r="E137" i="3"/>
  <c r="N137" i="3"/>
  <c r="P137" i="3"/>
  <c r="I137" i="3"/>
  <c r="F137" i="3"/>
  <c r="S137" i="3"/>
  <c r="O137" i="3"/>
  <c r="L137" i="3"/>
  <c r="T137" i="3"/>
  <c r="X137" i="3"/>
  <c r="Z137" i="3"/>
  <c r="Y137" i="3"/>
  <c r="R137" i="3"/>
  <c r="U137" i="3"/>
  <c r="W137" i="3"/>
  <c r="G137" i="3"/>
  <c r="Q137" i="3"/>
  <c r="M137" i="3"/>
  <c r="I462" i="3"/>
  <c r="O462" i="3"/>
  <c r="G462" i="3"/>
  <c r="P462" i="3"/>
  <c r="Z462" i="3"/>
  <c r="X462" i="3"/>
  <c r="N462" i="3"/>
  <c r="W462" i="3"/>
  <c r="E462" i="3"/>
  <c r="F462" i="3"/>
  <c r="L462" i="3"/>
  <c r="T462" i="3"/>
  <c r="Y462" i="3"/>
  <c r="M462" i="3"/>
  <c r="R462" i="3"/>
  <c r="U462" i="3"/>
  <c r="Q462" i="3"/>
  <c r="S462" i="3"/>
  <c r="N427" i="3"/>
  <c r="R427" i="3"/>
  <c r="Q427" i="3"/>
  <c r="Y427" i="3"/>
  <c r="O427" i="3"/>
  <c r="F427" i="3"/>
  <c r="L427" i="3"/>
  <c r="G427" i="3"/>
  <c r="M427" i="3"/>
  <c r="I427" i="3"/>
  <c r="U427" i="3"/>
  <c r="X427" i="3"/>
  <c r="S427" i="3"/>
  <c r="P427" i="3"/>
  <c r="Z427" i="3"/>
  <c r="T427" i="3"/>
  <c r="W427" i="3"/>
  <c r="E427" i="3"/>
  <c r="M141" i="3"/>
  <c r="Y141" i="3"/>
  <c r="S141" i="3"/>
  <c r="I141" i="3"/>
  <c r="U141" i="3"/>
  <c r="L141" i="3"/>
  <c r="X141" i="3"/>
  <c r="N141" i="3"/>
  <c r="T141" i="3"/>
  <c r="F141" i="3"/>
  <c r="O141" i="3"/>
  <c r="E141" i="3"/>
  <c r="W141" i="3"/>
  <c r="Z141" i="3"/>
  <c r="Q141" i="3"/>
  <c r="P141" i="3"/>
  <c r="G141" i="3"/>
  <c r="R141" i="3"/>
  <c r="M432" i="3"/>
  <c r="N432" i="3"/>
  <c r="E432" i="3"/>
  <c r="S432" i="3"/>
  <c r="Q432" i="3"/>
  <c r="R432" i="3"/>
  <c r="W432" i="3"/>
  <c r="U432" i="3"/>
  <c r="T432" i="3"/>
  <c r="F432" i="3"/>
  <c r="Y432" i="3"/>
  <c r="P432" i="3"/>
  <c r="I432" i="3"/>
  <c r="X432" i="3"/>
  <c r="O432" i="3"/>
  <c r="L432" i="3"/>
  <c r="Z432" i="3"/>
  <c r="G432" i="3"/>
  <c r="I65" i="3"/>
  <c r="T65" i="3"/>
  <c r="R65" i="3"/>
  <c r="G65" i="3"/>
  <c r="N65" i="3"/>
  <c r="O65" i="3"/>
  <c r="F65" i="3"/>
  <c r="P65" i="3"/>
  <c r="M65" i="3"/>
  <c r="Q65" i="3"/>
  <c r="U65" i="3"/>
  <c r="X65" i="3"/>
  <c r="E65" i="3"/>
  <c r="L65" i="3"/>
  <c r="Z65" i="3"/>
  <c r="S65" i="3"/>
  <c r="Y65" i="3"/>
  <c r="W65" i="3"/>
  <c r="M226" i="3"/>
  <c r="F226" i="3"/>
  <c r="R226" i="3"/>
  <c r="S226" i="3"/>
  <c r="L226" i="3"/>
  <c r="Z226" i="3"/>
  <c r="Y226" i="3"/>
  <c r="X226" i="3"/>
  <c r="O226" i="3"/>
  <c r="W226" i="3"/>
  <c r="U226" i="3"/>
  <c r="P226" i="3"/>
  <c r="Q226" i="3"/>
  <c r="E226" i="3"/>
  <c r="N226" i="3"/>
  <c r="I226" i="3"/>
  <c r="T226" i="3"/>
  <c r="G226" i="3"/>
  <c r="P372" i="3"/>
  <c r="O372" i="3"/>
  <c r="W372" i="3"/>
  <c r="X372" i="3"/>
  <c r="N372" i="3"/>
  <c r="T372" i="3"/>
  <c r="Y372" i="3"/>
  <c r="U372" i="3"/>
  <c r="L372" i="3"/>
  <c r="S372" i="3"/>
  <c r="E372" i="3"/>
  <c r="F372" i="3"/>
  <c r="Q372" i="3"/>
  <c r="Z372" i="3"/>
  <c r="G372" i="3"/>
  <c r="I372" i="3"/>
  <c r="R372" i="3"/>
  <c r="M372" i="3"/>
  <c r="Y238" i="3"/>
  <c r="F238" i="3"/>
  <c r="T238" i="3"/>
  <c r="E238" i="3"/>
  <c r="Z238" i="3"/>
  <c r="O238" i="3"/>
  <c r="U238" i="3"/>
  <c r="M238" i="3"/>
  <c r="Q238" i="3"/>
  <c r="I238" i="3"/>
  <c r="G238" i="3"/>
  <c r="X238" i="3"/>
  <c r="S238" i="3"/>
  <c r="P238" i="3"/>
  <c r="N238" i="3"/>
  <c r="L238" i="3"/>
  <c r="R238" i="3"/>
  <c r="W238" i="3"/>
  <c r="I474" i="3"/>
  <c r="N474" i="3"/>
  <c r="P474" i="3"/>
  <c r="M474" i="3"/>
  <c r="U474" i="3"/>
  <c r="Y474" i="3"/>
  <c r="Z474" i="3"/>
  <c r="X474" i="3"/>
  <c r="R474" i="3"/>
  <c r="Q474" i="3"/>
  <c r="E474" i="3"/>
  <c r="T474" i="3"/>
  <c r="W474" i="3"/>
  <c r="S474" i="3"/>
  <c r="O474" i="3"/>
  <c r="F474" i="3"/>
  <c r="L474" i="3"/>
  <c r="G474" i="3"/>
  <c r="L426" i="3"/>
  <c r="S426" i="3"/>
  <c r="X426" i="3"/>
  <c r="U426" i="3"/>
  <c r="R426" i="3"/>
  <c r="N426" i="3"/>
  <c r="G426" i="3"/>
  <c r="W426" i="3"/>
  <c r="O426" i="3"/>
  <c r="F426" i="3"/>
  <c r="M426" i="3"/>
  <c r="Q426" i="3"/>
  <c r="I426" i="3"/>
  <c r="Y426" i="3"/>
  <c r="Z426" i="3"/>
  <c r="P426" i="3"/>
  <c r="T426" i="3"/>
  <c r="E426" i="3"/>
  <c r="I73" i="3"/>
  <c r="Z73" i="3"/>
  <c r="M73" i="3"/>
  <c r="W73" i="3"/>
  <c r="Y73" i="3"/>
  <c r="E73" i="3"/>
  <c r="X73" i="3"/>
  <c r="T73" i="3"/>
  <c r="O73" i="3"/>
  <c r="F73" i="3"/>
  <c r="P73" i="3"/>
  <c r="S73" i="3"/>
  <c r="N73" i="3"/>
  <c r="Q73" i="3"/>
  <c r="U73" i="3"/>
  <c r="L73" i="3"/>
  <c r="R73" i="3"/>
  <c r="G73" i="3"/>
  <c r="U322" i="3"/>
  <c r="E322" i="3"/>
  <c r="P322" i="3"/>
  <c r="F322" i="3"/>
  <c r="R322" i="3"/>
  <c r="L322" i="3"/>
  <c r="Q322" i="3"/>
  <c r="N322" i="3"/>
  <c r="Y322" i="3"/>
  <c r="S322" i="3"/>
  <c r="M322" i="3"/>
  <c r="T322" i="3"/>
  <c r="O322" i="3"/>
  <c r="I322" i="3"/>
  <c r="G322" i="3"/>
  <c r="X322" i="3"/>
  <c r="Z322" i="3"/>
  <c r="W322" i="3"/>
  <c r="X415" i="3"/>
  <c r="Q415" i="3"/>
  <c r="W415" i="3"/>
  <c r="Z415" i="3"/>
  <c r="Y415" i="3"/>
  <c r="F415" i="3"/>
  <c r="S415" i="3"/>
  <c r="R415" i="3"/>
  <c r="E415" i="3"/>
  <c r="P415" i="3"/>
  <c r="M415" i="3"/>
  <c r="U415" i="3"/>
  <c r="I415" i="3"/>
  <c r="G415" i="3"/>
  <c r="T415" i="3"/>
  <c r="L415" i="3"/>
  <c r="N415" i="3"/>
  <c r="O415" i="3"/>
  <c r="Z190" i="3"/>
  <c r="W190" i="3"/>
  <c r="L190" i="3"/>
  <c r="Y190" i="3"/>
  <c r="I190" i="3"/>
  <c r="U190" i="3"/>
  <c r="P190" i="3"/>
  <c r="E190" i="3"/>
  <c r="O190" i="3"/>
  <c r="R190" i="3"/>
  <c r="G190" i="3"/>
  <c r="Q190" i="3"/>
  <c r="S190" i="3"/>
  <c r="X190" i="3"/>
  <c r="F190" i="3"/>
  <c r="T190" i="3"/>
  <c r="N190" i="3"/>
  <c r="M190" i="3"/>
  <c r="E294" i="3"/>
  <c r="F294" i="3"/>
  <c r="I294" i="3"/>
  <c r="N294" i="3"/>
  <c r="P294" i="3"/>
  <c r="Z294" i="3"/>
  <c r="O294" i="3"/>
  <c r="M294" i="3"/>
  <c r="W294" i="3"/>
  <c r="T294" i="3"/>
  <c r="Y294" i="3"/>
  <c r="G294" i="3"/>
  <c r="L294" i="3"/>
  <c r="R294" i="3"/>
  <c r="Q294" i="3"/>
  <c r="X294" i="3"/>
  <c r="U294" i="3"/>
  <c r="S294" i="3"/>
  <c r="M94" i="3"/>
  <c r="I94" i="3"/>
  <c r="U94" i="3"/>
  <c r="R94" i="3"/>
  <c r="E94" i="3"/>
  <c r="Y94" i="3"/>
  <c r="N94" i="3"/>
  <c r="T94" i="3"/>
  <c r="W94" i="3"/>
  <c r="S94" i="3"/>
  <c r="F94" i="3"/>
  <c r="Z94" i="3"/>
  <c r="P94" i="3"/>
  <c r="O94" i="3"/>
  <c r="G94" i="3"/>
  <c r="X94" i="3"/>
  <c r="Q94" i="3"/>
  <c r="L94" i="3"/>
  <c r="W323" i="3"/>
  <c r="G323" i="3"/>
  <c r="X323" i="3"/>
  <c r="M323" i="3"/>
  <c r="Y323" i="3"/>
  <c r="L323" i="3"/>
  <c r="U323" i="3"/>
  <c r="O323" i="3"/>
  <c r="N323" i="3"/>
  <c r="F323" i="3"/>
  <c r="R323" i="3"/>
  <c r="S323" i="3"/>
  <c r="E323" i="3"/>
  <c r="Z323" i="3"/>
  <c r="Q323" i="3"/>
  <c r="P323" i="3"/>
  <c r="T323" i="3"/>
  <c r="I323" i="3"/>
  <c r="M297" i="3"/>
  <c r="F297" i="3"/>
  <c r="G297" i="3"/>
  <c r="N297" i="3"/>
  <c r="Y297" i="3"/>
  <c r="I297" i="3"/>
  <c r="W297" i="3"/>
  <c r="S297" i="3"/>
  <c r="R297" i="3"/>
  <c r="L297" i="3"/>
  <c r="Q297" i="3"/>
  <c r="X297" i="3"/>
  <c r="P297" i="3"/>
  <c r="U297" i="3"/>
  <c r="O297" i="3"/>
  <c r="E297" i="3"/>
  <c r="Z297" i="3"/>
  <c r="T297" i="3"/>
  <c r="I384" i="3"/>
  <c r="Y384" i="3"/>
  <c r="O384" i="3"/>
  <c r="P384" i="3"/>
  <c r="T384" i="3"/>
  <c r="F384" i="3"/>
  <c r="G384" i="3"/>
  <c r="Z384" i="3"/>
  <c r="L384" i="3"/>
  <c r="N384" i="3"/>
  <c r="X384" i="3"/>
  <c r="U384" i="3"/>
  <c r="S384" i="3"/>
  <c r="Q384" i="3"/>
  <c r="M384" i="3"/>
  <c r="W384" i="3"/>
  <c r="E384" i="3"/>
  <c r="R384" i="3"/>
  <c r="Y400" i="3"/>
  <c r="L400" i="3"/>
  <c r="N400" i="3"/>
  <c r="P400" i="3"/>
  <c r="E400" i="3"/>
  <c r="I400" i="3"/>
  <c r="W400" i="3"/>
  <c r="U400" i="3"/>
  <c r="O400" i="3"/>
  <c r="Z400" i="3"/>
  <c r="X400" i="3"/>
  <c r="S400" i="3"/>
  <c r="G400" i="3"/>
  <c r="Q400" i="3"/>
  <c r="F400" i="3"/>
  <c r="T400" i="3"/>
  <c r="M400" i="3"/>
  <c r="R400" i="3"/>
  <c r="O248" i="3"/>
  <c r="U248" i="3"/>
  <c r="M248" i="3"/>
  <c r="S248" i="3"/>
  <c r="P248" i="3"/>
  <c r="Z156" i="3"/>
  <c r="I156" i="3"/>
  <c r="P156" i="3"/>
  <c r="Y156" i="3"/>
  <c r="O156" i="3"/>
  <c r="U156" i="3"/>
  <c r="F156" i="3"/>
  <c r="M156" i="3"/>
  <c r="L156" i="3"/>
  <c r="X156" i="3"/>
  <c r="S156" i="3"/>
  <c r="T156" i="3"/>
  <c r="W156" i="3"/>
  <c r="Q156" i="3"/>
  <c r="G156" i="3"/>
  <c r="R156" i="3"/>
  <c r="E156" i="3"/>
  <c r="N156" i="3"/>
  <c r="N129" i="3"/>
  <c r="F129" i="3"/>
  <c r="E129" i="3"/>
  <c r="L129" i="3"/>
  <c r="P129" i="3"/>
  <c r="R129" i="3"/>
  <c r="Y129" i="3"/>
  <c r="Z129" i="3"/>
  <c r="S129" i="3"/>
  <c r="Q129" i="3"/>
  <c r="T129" i="3"/>
  <c r="W129" i="3"/>
  <c r="G129" i="3"/>
  <c r="X129" i="3"/>
  <c r="I129" i="3"/>
  <c r="U129" i="3"/>
  <c r="O129" i="3"/>
  <c r="M129" i="3"/>
  <c r="Z317" i="3"/>
  <c r="F317" i="3"/>
  <c r="Y317" i="3"/>
  <c r="R317" i="3"/>
  <c r="E317" i="3"/>
  <c r="L317" i="3"/>
  <c r="W317" i="3"/>
  <c r="T317" i="3"/>
  <c r="I317" i="3"/>
  <c r="O317" i="3"/>
  <c r="G317" i="3"/>
  <c r="N317" i="3"/>
  <c r="X317" i="3"/>
  <c r="Q317" i="3"/>
  <c r="S317" i="3"/>
  <c r="M317" i="3"/>
  <c r="U317" i="3"/>
  <c r="P317" i="3"/>
  <c r="Q285" i="3"/>
  <c r="M285" i="3"/>
  <c r="Z285" i="3"/>
  <c r="O285" i="3"/>
  <c r="T285" i="3"/>
  <c r="X285" i="3"/>
  <c r="W285" i="3"/>
  <c r="U285" i="3"/>
  <c r="E285" i="3"/>
  <c r="L285" i="3"/>
  <c r="G285" i="3"/>
  <c r="N285" i="3"/>
  <c r="S285" i="3"/>
  <c r="I285" i="3"/>
  <c r="F285" i="3"/>
  <c r="Y285" i="3"/>
  <c r="R285" i="3"/>
  <c r="P285" i="3"/>
  <c r="S392" i="3"/>
  <c r="Q392" i="3"/>
  <c r="O392" i="3"/>
  <c r="E392" i="3"/>
  <c r="F392" i="3"/>
  <c r="N392" i="3"/>
  <c r="L392" i="3"/>
  <c r="W392" i="3"/>
  <c r="Y392" i="3"/>
  <c r="U392" i="3"/>
  <c r="T392" i="3"/>
  <c r="G392" i="3"/>
  <c r="I392" i="3"/>
  <c r="X392" i="3"/>
  <c r="P392" i="3"/>
  <c r="Z392" i="3"/>
  <c r="R392" i="3"/>
  <c r="M392" i="3"/>
  <c r="P435" i="3"/>
  <c r="N435" i="3"/>
  <c r="S435" i="3"/>
  <c r="G435" i="3"/>
  <c r="Q435" i="3"/>
  <c r="Z435" i="3"/>
  <c r="M435" i="3"/>
  <c r="O435" i="3"/>
  <c r="W435" i="3"/>
  <c r="X435" i="3"/>
  <c r="T435" i="3"/>
  <c r="Y435" i="3"/>
  <c r="R435" i="3"/>
  <c r="U435" i="3"/>
  <c r="E435" i="3"/>
  <c r="F435" i="3"/>
  <c r="L435" i="3"/>
  <c r="I435" i="3"/>
  <c r="W81" i="3"/>
  <c r="T81" i="3"/>
  <c r="E81" i="3"/>
  <c r="R81" i="3"/>
  <c r="Q81" i="3"/>
  <c r="F81" i="3"/>
  <c r="Y81" i="3"/>
  <c r="N81" i="3"/>
  <c r="G81" i="3"/>
  <c r="M81" i="3"/>
  <c r="X81" i="3"/>
  <c r="L81" i="3"/>
  <c r="I81" i="3"/>
  <c r="S81" i="3"/>
  <c r="P81" i="3"/>
  <c r="Z81" i="3"/>
  <c r="T465" i="3"/>
  <c r="W465" i="3"/>
  <c r="X465" i="3"/>
  <c r="G465" i="3"/>
  <c r="U465" i="3"/>
  <c r="S465" i="3"/>
  <c r="F465" i="3"/>
  <c r="N465" i="3"/>
  <c r="M465" i="3"/>
  <c r="Q465" i="3"/>
  <c r="E465" i="3"/>
  <c r="L465" i="3"/>
  <c r="R465" i="3"/>
  <c r="O465" i="3"/>
  <c r="Z465" i="3"/>
  <c r="Y465" i="3"/>
  <c r="I465" i="3"/>
  <c r="P465" i="3"/>
  <c r="U81" i="3"/>
  <c r="E154" i="3"/>
  <c r="F248" i="3"/>
  <c r="Y248" i="3"/>
  <c r="Y245" i="3"/>
  <c r="M245" i="3"/>
  <c r="U245" i="3"/>
  <c r="N245" i="3"/>
  <c r="S245" i="3"/>
  <c r="Q245" i="3"/>
  <c r="I245" i="3"/>
  <c r="X245" i="3"/>
  <c r="R245" i="3"/>
  <c r="F245" i="3"/>
  <c r="G245" i="3"/>
  <c r="E245" i="3"/>
  <c r="L245" i="3"/>
  <c r="W245" i="3"/>
  <c r="P143" i="3"/>
  <c r="W143" i="3"/>
  <c r="M143" i="3"/>
  <c r="G143" i="3"/>
  <c r="R143" i="3"/>
  <c r="N143" i="3"/>
  <c r="U143" i="3"/>
  <c r="E143" i="3"/>
  <c r="X143" i="3"/>
  <c r="I143" i="3"/>
  <c r="Q143" i="3"/>
  <c r="Z143" i="3"/>
  <c r="T143" i="3"/>
  <c r="F143" i="3"/>
  <c r="O143" i="3"/>
  <c r="L143" i="3"/>
  <c r="S143" i="3"/>
  <c r="Y143" i="3"/>
  <c r="Q480" i="3"/>
  <c r="P480" i="3"/>
  <c r="U480" i="3"/>
  <c r="S480" i="3"/>
  <c r="X480" i="3"/>
  <c r="Y480" i="3"/>
  <c r="I480" i="3"/>
  <c r="Z480" i="3"/>
  <c r="T480" i="3"/>
  <c r="G480" i="3"/>
  <c r="E480" i="3"/>
  <c r="L480" i="3"/>
  <c r="W480" i="3"/>
  <c r="R480" i="3"/>
  <c r="F480" i="3"/>
  <c r="O480" i="3"/>
  <c r="N480" i="3"/>
  <c r="M480" i="3"/>
  <c r="I272" i="3"/>
  <c r="F272" i="3"/>
  <c r="G272" i="3"/>
  <c r="Q272" i="3"/>
  <c r="L272" i="3"/>
  <c r="E272" i="3"/>
  <c r="O272" i="3"/>
  <c r="S272" i="3"/>
  <c r="Z272" i="3"/>
  <c r="N272" i="3"/>
  <c r="R272" i="3"/>
  <c r="P272" i="3"/>
  <c r="W272" i="3"/>
  <c r="T272" i="3"/>
  <c r="M272" i="3"/>
  <c r="Y272" i="3"/>
  <c r="X272" i="3"/>
  <c r="U272" i="3"/>
  <c r="W307" i="3"/>
  <c r="F307" i="3"/>
  <c r="Q307" i="3"/>
  <c r="Y307" i="3"/>
  <c r="X307" i="3"/>
  <c r="S307" i="3"/>
  <c r="T307" i="3"/>
  <c r="N307" i="3"/>
  <c r="O307" i="3"/>
  <c r="E307" i="3"/>
  <c r="Z307" i="3"/>
  <c r="I307" i="3"/>
  <c r="R307" i="3"/>
  <c r="P307" i="3"/>
  <c r="M307" i="3"/>
  <c r="G307" i="3"/>
  <c r="U307" i="3"/>
  <c r="L307" i="3"/>
  <c r="T107" i="3"/>
  <c r="G107" i="3"/>
  <c r="X107" i="3"/>
  <c r="I107" i="3"/>
  <c r="R107" i="3"/>
  <c r="U107" i="3"/>
  <c r="L107" i="3"/>
  <c r="F107" i="3"/>
  <c r="M107" i="3"/>
  <c r="O107" i="3"/>
  <c r="P107" i="3"/>
  <c r="Z107" i="3"/>
  <c r="Y107" i="3"/>
  <c r="S107" i="3"/>
  <c r="E107" i="3"/>
  <c r="W107" i="3"/>
  <c r="N107" i="3"/>
  <c r="Q107" i="3"/>
  <c r="N289" i="3"/>
  <c r="I289" i="3"/>
  <c r="O289" i="3"/>
  <c r="G289" i="3"/>
  <c r="Y289" i="3"/>
  <c r="R289" i="3"/>
  <c r="Q289" i="3"/>
  <c r="P289" i="3"/>
  <c r="T289" i="3"/>
  <c r="F289" i="3"/>
  <c r="X289" i="3"/>
  <c r="W289" i="3"/>
  <c r="Z289" i="3"/>
  <c r="S289" i="3"/>
  <c r="U289" i="3"/>
  <c r="M289" i="3"/>
  <c r="E289" i="3"/>
  <c r="L289" i="3"/>
  <c r="Y344" i="3"/>
  <c r="L344" i="3"/>
  <c r="Q344" i="3"/>
  <c r="O344" i="3"/>
  <c r="X344" i="3"/>
  <c r="W344" i="3"/>
  <c r="S344" i="3"/>
  <c r="R344" i="3"/>
  <c r="T344" i="3"/>
  <c r="F344" i="3"/>
  <c r="I344" i="3"/>
  <c r="Z344" i="3"/>
  <c r="U344" i="3"/>
  <c r="E344" i="3"/>
  <c r="G344" i="3"/>
  <c r="M344" i="3"/>
  <c r="P344" i="3"/>
  <c r="N344" i="3"/>
  <c r="I170" i="3"/>
  <c r="E170" i="3"/>
  <c r="U170" i="3"/>
  <c r="G170" i="3"/>
  <c r="X170" i="3"/>
  <c r="Z170" i="3"/>
  <c r="N170" i="3"/>
  <c r="F170" i="3"/>
  <c r="Q170" i="3"/>
  <c r="O170" i="3"/>
  <c r="P170" i="3"/>
  <c r="Y170" i="3"/>
  <c r="W170" i="3"/>
  <c r="R170" i="3"/>
  <c r="T170" i="3"/>
  <c r="S170" i="3"/>
  <c r="L170" i="3"/>
  <c r="M170" i="3"/>
  <c r="Y332" i="3"/>
  <c r="O332" i="3"/>
  <c r="Z332" i="3"/>
  <c r="N332" i="3"/>
  <c r="E332" i="3"/>
  <c r="U332" i="3"/>
  <c r="X332" i="3"/>
  <c r="I332" i="3"/>
  <c r="R332" i="3"/>
  <c r="M332" i="3"/>
  <c r="W332" i="3"/>
  <c r="Q332" i="3"/>
  <c r="P332" i="3"/>
  <c r="G332" i="3"/>
  <c r="F332" i="3"/>
  <c r="L332" i="3"/>
  <c r="S332" i="3"/>
  <c r="T332" i="3"/>
  <c r="T304" i="3"/>
  <c r="E304" i="3"/>
  <c r="I304" i="3"/>
  <c r="Q304" i="3"/>
  <c r="N304" i="3"/>
  <c r="U304" i="3"/>
  <c r="S304" i="3"/>
  <c r="Z304" i="3"/>
  <c r="G304" i="3"/>
  <c r="F304" i="3"/>
  <c r="R304" i="3"/>
  <c r="W304" i="3"/>
  <c r="P304" i="3"/>
  <c r="L304" i="3"/>
  <c r="Y304" i="3"/>
  <c r="O304" i="3"/>
  <c r="X304" i="3"/>
  <c r="M304" i="3"/>
  <c r="Q122" i="3"/>
  <c r="R122" i="3"/>
  <c r="S122" i="3"/>
  <c r="E122" i="3"/>
  <c r="M122" i="3"/>
  <c r="Y122" i="3"/>
  <c r="X122" i="3"/>
  <c r="P122" i="3"/>
  <c r="O122" i="3"/>
  <c r="G122" i="3"/>
  <c r="T122" i="3"/>
  <c r="F122" i="3"/>
  <c r="L122" i="3"/>
  <c r="W122" i="3"/>
  <c r="Z122" i="3"/>
  <c r="U122" i="3"/>
  <c r="I122" i="3"/>
  <c r="N122" i="3"/>
  <c r="I500" i="3"/>
  <c r="S500" i="3"/>
  <c r="W500" i="3"/>
  <c r="Z500" i="3"/>
  <c r="L500" i="3"/>
  <c r="U500" i="3"/>
  <c r="E500" i="3"/>
  <c r="Y500" i="3"/>
  <c r="P500" i="3"/>
  <c r="O500" i="3"/>
  <c r="X500" i="3"/>
  <c r="G500" i="3"/>
  <c r="R500" i="3"/>
  <c r="M500" i="3"/>
  <c r="T500" i="3"/>
  <c r="F500" i="3"/>
  <c r="N500" i="3"/>
  <c r="Q500" i="3"/>
  <c r="M479" i="3"/>
  <c r="Z479" i="3"/>
  <c r="S479" i="3"/>
  <c r="X479" i="3"/>
  <c r="L479" i="3"/>
  <c r="Q479" i="3"/>
  <c r="Y479" i="3"/>
  <c r="O479" i="3"/>
  <c r="W479" i="3"/>
  <c r="E479" i="3"/>
  <c r="P479" i="3"/>
  <c r="I479" i="3"/>
  <c r="G479" i="3"/>
  <c r="U479" i="3"/>
  <c r="N479" i="3"/>
  <c r="R479" i="3"/>
  <c r="F479" i="3"/>
  <c r="T479" i="3"/>
  <c r="M363" i="3"/>
  <c r="O363" i="3"/>
  <c r="S363" i="3"/>
  <c r="I363" i="3"/>
  <c r="U363" i="3"/>
  <c r="F363" i="3"/>
  <c r="P363" i="3"/>
  <c r="Y363" i="3"/>
  <c r="Z363" i="3"/>
  <c r="T363" i="3"/>
  <c r="G363" i="3"/>
  <c r="Q363" i="3"/>
  <c r="R363" i="3"/>
  <c r="W363" i="3"/>
  <c r="E363" i="3"/>
  <c r="N363" i="3"/>
  <c r="X363" i="3"/>
  <c r="L363" i="3"/>
  <c r="I315" i="3"/>
  <c r="F315" i="3"/>
  <c r="Q315" i="3"/>
  <c r="O315" i="3"/>
  <c r="P315" i="3"/>
  <c r="T315" i="3"/>
  <c r="L315" i="3"/>
  <c r="S315" i="3"/>
  <c r="W315" i="3"/>
  <c r="E315" i="3"/>
  <c r="Y315" i="3"/>
  <c r="Z315" i="3"/>
  <c r="R315" i="3"/>
  <c r="M315" i="3"/>
  <c r="N315" i="3"/>
  <c r="U315" i="3"/>
  <c r="X315" i="3"/>
  <c r="G315" i="3"/>
  <c r="Z396" i="3"/>
  <c r="P396" i="3"/>
  <c r="X396" i="3"/>
  <c r="N396" i="3"/>
  <c r="T396" i="3"/>
  <c r="O396" i="3"/>
  <c r="Q396" i="3"/>
  <c r="S396" i="3"/>
  <c r="I396" i="3"/>
  <c r="G396" i="3"/>
  <c r="U396" i="3"/>
  <c r="Y396" i="3"/>
  <c r="M396" i="3"/>
  <c r="R396" i="3"/>
  <c r="E396" i="3"/>
  <c r="W396" i="3"/>
  <c r="L396" i="3"/>
  <c r="F396" i="3"/>
  <c r="T300" i="3"/>
  <c r="L300" i="3"/>
  <c r="I300" i="3"/>
  <c r="X300" i="3"/>
  <c r="Q300" i="3"/>
  <c r="F300" i="3"/>
  <c r="Z300" i="3"/>
  <c r="U300" i="3"/>
  <c r="O300" i="3"/>
  <c r="Y300" i="3"/>
  <c r="E300" i="3"/>
  <c r="R300" i="3"/>
  <c r="M300" i="3"/>
  <c r="S300" i="3"/>
  <c r="P300" i="3"/>
  <c r="W300" i="3"/>
  <c r="G300" i="3"/>
  <c r="N300" i="3"/>
  <c r="M33" i="3"/>
  <c r="Q33" i="3"/>
  <c r="Y33" i="3"/>
  <c r="Z33" i="3"/>
  <c r="P33" i="3"/>
  <c r="T33" i="3"/>
  <c r="G33" i="3"/>
  <c r="W33" i="3"/>
  <c r="U33" i="3"/>
  <c r="N33" i="3"/>
  <c r="L33" i="3"/>
  <c r="E33" i="3"/>
  <c r="X33" i="3"/>
  <c r="R33" i="3"/>
  <c r="F33" i="3"/>
  <c r="S33" i="3"/>
  <c r="I33" i="3"/>
  <c r="O33" i="3"/>
  <c r="G455" i="3"/>
  <c r="T455" i="3"/>
  <c r="M455" i="3"/>
  <c r="R455" i="3"/>
  <c r="S455" i="3"/>
  <c r="F455" i="3"/>
  <c r="O455" i="3"/>
  <c r="N455" i="3"/>
  <c r="U455" i="3"/>
  <c r="Y455" i="3"/>
  <c r="E455" i="3"/>
  <c r="X455" i="3"/>
  <c r="L455" i="3"/>
  <c r="I455" i="3"/>
  <c r="W455" i="3"/>
  <c r="P455" i="3"/>
  <c r="Z455" i="3"/>
  <c r="Q455" i="3"/>
  <c r="W494" i="3"/>
  <c r="O494" i="3"/>
  <c r="M494" i="3"/>
  <c r="N494" i="3"/>
  <c r="Y494" i="3"/>
  <c r="F494" i="3"/>
  <c r="L494" i="3"/>
  <c r="U494" i="3"/>
  <c r="T494" i="3"/>
  <c r="G494" i="3"/>
  <c r="R494" i="3"/>
  <c r="E494" i="3"/>
  <c r="Z494" i="3"/>
  <c r="Q494" i="3"/>
  <c r="S494" i="3"/>
  <c r="I494" i="3"/>
  <c r="X494" i="3"/>
  <c r="P494" i="3"/>
  <c r="Z306" i="3"/>
  <c r="T306" i="3"/>
  <c r="X306" i="3"/>
  <c r="Q306" i="3"/>
  <c r="R306" i="3"/>
  <c r="I306" i="3"/>
  <c r="U306" i="3"/>
  <c r="N306" i="3"/>
  <c r="G306" i="3"/>
  <c r="Y306" i="3"/>
  <c r="E306" i="3"/>
  <c r="P306" i="3"/>
  <c r="S306" i="3"/>
  <c r="L306" i="3"/>
  <c r="M306" i="3"/>
  <c r="O306" i="3"/>
  <c r="W306" i="3"/>
  <c r="F306" i="3"/>
  <c r="O89" i="3"/>
  <c r="N89" i="3"/>
  <c r="E89" i="3"/>
  <c r="F89" i="3"/>
  <c r="P89" i="3"/>
  <c r="U89" i="3"/>
  <c r="Y89" i="3"/>
  <c r="Q89" i="3"/>
  <c r="I89" i="3"/>
  <c r="Z89" i="3"/>
  <c r="X89" i="3"/>
  <c r="G89" i="3"/>
  <c r="W89" i="3"/>
  <c r="R89" i="3"/>
  <c r="S89" i="3"/>
  <c r="T89" i="3"/>
  <c r="L89" i="3"/>
  <c r="M89" i="3"/>
  <c r="F475" i="3"/>
  <c r="S475" i="3"/>
  <c r="M475" i="3"/>
  <c r="R475" i="3"/>
  <c r="U475" i="3"/>
  <c r="X475" i="3"/>
  <c r="Q475" i="3"/>
  <c r="Z475" i="3"/>
  <c r="I475" i="3"/>
  <c r="W475" i="3"/>
  <c r="Y475" i="3"/>
  <c r="T475" i="3"/>
  <c r="P475" i="3"/>
  <c r="G475" i="3"/>
  <c r="N475" i="3"/>
  <c r="O475" i="3"/>
  <c r="L475" i="3"/>
  <c r="E475" i="3"/>
  <c r="S390" i="3"/>
  <c r="F390" i="3"/>
  <c r="G390" i="3"/>
  <c r="W390" i="3"/>
  <c r="Q390" i="3"/>
  <c r="M390" i="3"/>
  <c r="O390" i="3"/>
  <c r="N390" i="3"/>
  <c r="Z390" i="3"/>
  <c r="E390" i="3"/>
  <c r="U390" i="3"/>
  <c r="Y390" i="3"/>
  <c r="I390" i="3"/>
  <c r="P390" i="3"/>
  <c r="L390" i="3"/>
  <c r="T390" i="3"/>
  <c r="X390" i="3"/>
  <c r="R390" i="3"/>
  <c r="O478" i="3"/>
  <c r="E478" i="3"/>
  <c r="Q478" i="3"/>
  <c r="N478" i="3"/>
  <c r="P478" i="3"/>
  <c r="L478" i="3"/>
  <c r="F478" i="3"/>
  <c r="S478" i="3"/>
  <c r="M478" i="3"/>
  <c r="Z478" i="3"/>
  <c r="X478" i="3"/>
  <c r="I478" i="3"/>
  <c r="T478" i="3"/>
  <c r="Y478" i="3"/>
  <c r="R478" i="3"/>
  <c r="W478" i="3"/>
  <c r="U478" i="3"/>
  <c r="G478" i="3"/>
  <c r="F158" i="3"/>
  <c r="L158" i="3"/>
  <c r="P158" i="3"/>
  <c r="T158" i="3"/>
  <c r="E158" i="3"/>
  <c r="M158" i="3"/>
  <c r="N158" i="3"/>
  <c r="G158" i="3"/>
  <c r="X158" i="3"/>
  <c r="S158" i="3"/>
  <c r="Q158" i="3"/>
  <c r="Z158" i="3"/>
  <c r="O158" i="3"/>
  <c r="I158" i="3"/>
  <c r="U158" i="3"/>
  <c r="W158" i="3"/>
  <c r="Y158" i="3"/>
  <c r="R158" i="3"/>
  <c r="Z327" i="3"/>
  <c r="Y327" i="3"/>
  <c r="X327" i="3"/>
  <c r="I327" i="3"/>
  <c r="E327" i="3"/>
  <c r="T327" i="3"/>
  <c r="S327" i="3"/>
  <c r="O327" i="3"/>
  <c r="G327" i="3"/>
  <c r="P327" i="3"/>
  <c r="L327" i="3"/>
  <c r="Q327" i="3"/>
  <c r="W327" i="3"/>
  <c r="U327" i="3"/>
  <c r="R327" i="3"/>
  <c r="M327" i="3"/>
  <c r="F327" i="3"/>
  <c r="N327" i="3"/>
  <c r="Y71" i="3"/>
  <c r="I71" i="3"/>
  <c r="L71" i="3"/>
  <c r="T71" i="3"/>
  <c r="N71" i="3"/>
  <c r="M71" i="3"/>
  <c r="E71" i="3"/>
  <c r="Z71" i="3"/>
  <c r="G71" i="3"/>
  <c r="X71" i="3"/>
  <c r="P71" i="3"/>
  <c r="U71" i="3"/>
  <c r="F71" i="3"/>
  <c r="O71" i="3"/>
  <c r="W71" i="3"/>
  <c r="R71" i="3"/>
  <c r="Q71" i="3"/>
  <c r="S71" i="3"/>
  <c r="Q441" i="3"/>
  <c r="G441" i="3"/>
  <c r="U441" i="3"/>
  <c r="L441" i="3"/>
  <c r="O441" i="3"/>
  <c r="Z441" i="3"/>
  <c r="F441" i="3"/>
  <c r="I441" i="3"/>
  <c r="M441" i="3"/>
  <c r="Y441" i="3"/>
  <c r="R441" i="3"/>
  <c r="S441" i="3"/>
  <c r="P441" i="3"/>
  <c r="X441" i="3"/>
  <c r="W441" i="3"/>
  <c r="N441" i="3"/>
  <c r="E441" i="3"/>
  <c r="T441" i="3"/>
  <c r="Q382" i="3"/>
  <c r="L382" i="3"/>
  <c r="R382" i="3"/>
  <c r="E382" i="3"/>
  <c r="I382" i="3"/>
  <c r="Z382" i="3"/>
  <c r="M382" i="3"/>
  <c r="W382" i="3"/>
  <c r="T382" i="3"/>
  <c r="F382" i="3"/>
  <c r="S382" i="3"/>
  <c r="O382" i="3"/>
  <c r="G382" i="3"/>
  <c r="U382" i="3"/>
  <c r="X382" i="3"/>
  <c r="Y382" i="3"/>
  <c r="N382" i="3"/>
  <c r="P382" i="3"/>
  <c r="T274" i="3"/>
  <c r="R274" i="3"/>
  <c r="O274" i="3"/>
  <c r="S274" i="3"/>
  <c r="F274" i="3"/>
  <c r="P274" i="3"/>
  <c r="G274" i="3"/>
  <c r="X274" i="3"/>
  <c r="E274" i="3"/>
  <c r="Q274" i="3"/>
  <c r="Y274" i="3"/>
  <c r="N274" i="3"/>
  <c r="W274" i="3"/>
  <c r="Z274" i="3"/>
  <c r="L274" i="3"/>
  <c r="U274" i="3"/>
  <c r="I274" i="3"/>
  <c r="M274" i="3"/>
  <c r="I96" i="3"/>
  <c r="F96" i="3"/>
  <c r="L96" i="3"/>
  <c r="Q96" i="3"/>
  <c r="W96" i="3"/>
  <c r="Z96" i="3"/>
  <c r="U96" i="3"/>
  <c r="S96" i="3"/>
  <c r="P96" i="3"/>
  <c r="Y96" i="3"/>
  <c r="O96" i="3"/>
  <c r="N96" i="3"/>
  <c r="T96" i="3"/>
  <c r="X96" i="3"/>
  <c r="M96" i="3"/>
  <c r="G96" i="3"/>
  <c r="E96" i="3"/>
  <c r="R96" i="3"/>
  <c r="N90" i="3"/>
  <c r="X90" i="3"/>
  <c r="Y90" i="3"/>
  <c r="L90" i="3"/>
  <c r="W90" i="3"/>
  <c r="R90" i="3"/>
  <c r="Z90" i="3"/>
  <c r="T90" i="3"/>
  <c r="P90" i="3"/>
  <c r="M90" i="3"/>
  <c r="Q90" i="3"/>
  <c r="I90" i="3"/>
  <c r="S90" i="3"/>
  <c r="G90" i="3"/>
  <c r="E90" i="3"/>
  <c r="O90" i="3"/>
  <c r="U90" i="3"/>
  <c r="F90" i="3"/>
  <c r="O100" i="3"/>
  <c r="Q100" i="3"/>
  <c r="G100" i="3"/>
  <c r="W100" i="3"/>
  <c r="E100" i="3"/>
  <c r="I100" i="3"/>
  <c r="R100" i="3"/>
  <c r="T100" i="3"/>
  <c r="S100" i="3"/>
  <c r="X100" i="3"/>
  <c r="L100" i="3"/>
  <c r="M100" i="3"/>
  <c r="Z100" i="3"/>
  <c r="N100" i="3"/>
  <c r="Y100" i="3"/>
  <c r="U100" i="3"/>
  <c r="F100" i="3"/>
  <c r="P100" i="3"/>
  <c r="S32" i="3"/>
  <c r="W32" i="3"/>
  <c r="Q32" i="3"/>
  <c r="R32" i="3"/>
  <c r="O32" i="3"/>
  <c r="G32" i="3"/>
  <c r="L32" i="3"/>
  <c r="N32" i="3"/>
  <c r="Z32" i="3"/>
  <c r="F32" i="3"/>
  <c r="X32" i="3"/>
  <c r="I32" i="3"/>
  <c r="P32" i="3"/>
  <c r="Y32" i="3"/>
  <c r="M32" i="3"/>
  <c r="U32" i="3"/>
  <c r="T32" i="3"/>
  <c r="E32" i="3"/>
  <c r="R386" i="3"/>
  <c r="Q386" i="3"/>
  <c r="N386" i="3"/>
  <c r="M386" i="3"/>
  <c r="Y386" i="3"/>
  <c r="E386" i="3"/>
  <c r="U386" i="3"/>
  <c r="X386" i="3"/>
  <c r="F386" i="3"/>
  <c r="G386" i="3"/>
  <c r="T386" i="3"/>
  <c r="O386" i="3"/>
  <c r="P386" i="3"/>
  <c r="W386" i="3"/>
  <c r="L386" i="3"/>
  <c r="S386" i="3"/>
  <c r="I386" i="3"/>
  <c r="Z386" i="3"/>
  <c r="I102" i="3"/>
  <c r="X102" i="3"/>
  <c r="O102" i="3"/>
  <c r="E102" i="3"/>
  <c r="W102" i="3"/>
  <c r="Z102" i="3"/>
  <c r="N102" i="3"/>
  <c r="M102" i="3"/>
  <c r="G102" i="3"/>
  <c r="U102" i="3"/>
  <c r="T102" i="3"/>
  <c r="S102" i="3"/>
  <c r="Y102" i="3"/>
  <c r="R102" i="3"/>
  <c r="Q102" i="3"/>
  <c r="P102" i="3"/>
  <c r="F102" i="3"/>
  <c r="L102" i="3"/>
  <c r="M119" i="3"/>
  <c r="P119" i="3"/>
  <c r="X119" i="3"/>
  <c r="L119" i="3"/>
  <c r="F119" i="3"/>
  <c r="Z119" i="3"/>
  <c r="O119" i="3"/>
  <c r="W119" i="3"/>
  <c r="T119" i="3"/>
  <c r="U119" i="3"/>
  <c r="S119" i="3"/>
  <c r="N119" i="3"/>
  <c r="Q119" i="3"/>
  <c r="Y119" i="3"/>
  <c r="E119" i="3"/>
  <c r="G119" i="3"/>
  <c r="I119" i="3"/>
  <c r="R119" i="3"/>
  <c r="L371" i="3"/>
  <c r="I371" i="3"/>
  <c r="W371" i="3"/>
  <c r="S371" i="3"/>
  <c r="T371" i="3"/>
  <c r="P371" i="3"/>
  <c r="E371" i="3"/>
  <c r="M371" i="3"/>
  <c r="Q371" i="3"/>
  <c r="F371" i="3"/>
  <c r="U371" i="3"/>
  <c r="Y371" i="3"/>
  <c r="G371" i="3"/>
  <c r="O371" i="3"/>
  <c r="Z371" i="3"/>
  <c r="R371" i="3"/>
  <c r="N371" i="3"/>
  <c r="X371" i="3"/>
  <c r="O103" i="3"/>
  <c r="X103" i="3"/>
  <c r="M103" i="3"/>
  <c r="E103" i="3"/>
  <c r="W103" i="3"/>
  <c r="T103" i="3"/>
  <c r="Q103" i="3"/>
  <c r="N103" i="3"/>
  <c r="S103" i="3"/>
  <c r="P103" i="3"/>
  <c r="Z103" i="3"/>
  <c r="L103" i="3"/>
  <c r="U103" i="3"/>
  <c r="F103" i="3"/>
  <c r="R103" i="3"/>
  <c r="Y103" i="3"/>
  <c r="I103" i="3"/>
  <c r="G103" i="3"/>
  <c r="R295" i="3"/>
  <c r="Q295" i="3"/>
  <c r="L295" i="3"/>
  <c r="Z295" i="3"/>
  <c r="P295" i="3"/>
  <c r="S295" i="3"/>
  <c r="U295" i="3"/>
  <c r="Y295" i="3"/>
  <c r="F295" i="3"/>
  <c r="O295" i="3"/>
  <c r="X295" i="3"/>
  <c r="T295" i="3"/>
  <c r="M295" i="3"/>
  <c r="G295" i="3"/>
  <c r="N295" i="3"/>
  <c r="E295" i="3"/>
  <c r="I295" i="3"/>
  <c r="W295" i="3"/>
  <c r="F252" i="3"/>
  <c r="P252" i="3"/>
  <c r="T252" i="3"/>
  <c r="Y252" i="3"/>
  <c r="E252" i="3"/>
  <c r="O252" i="3"/>
  <c r="M252" i="3"/>
  <c r="W252" i="3"/>
  <c r="R252" i="3"/>
  <c r="X252" i="3"/>
  <c r="Q252" i="3"/>
  <c r="U252" i="3"/>
  <c r="I252" i="3"/>
  <c r="G252" i="3"/>
  <c r="Z252" i="3"/>
  <c r="N252" i="3"/>
  <c r="L252" i="3"/>
  <c r="S252" i="3"/>
  <c r="P375" i="3"/>
  <c r="O375" i="3"/>
  <c r="Q375" i="3"/>
  <c r="T375" i="3"/>
  <c r="U375" i="3"/>
  <c r="R375" i="3"/>
  <c r="F375" i="3"/>
  <c r="E375" i="3"/>
  <c r="W375" i="3"/>
  <c r="X375" i="3"/>
  <c r="L375" i="3"/>
  <c r="N375" i="3"/>
  <c r="S375" i="3"/>
  <c r="M375" i="3"/>
  <c r="Y375" i="3"/>
  <c r="G375" i="3"/>
  <c r="Z375" i="3"/>
  <c r="I375" i="3"/>
  <c r="I131" i="3"/>
  <c r="M131" i="3"/>
  <c r="S131" i="3"/>
  <c r="L131" i="3"/>
  <c r="Q131" i="3"/>
  <c r="N131" i="3"/>
  <c r="W131" i="3"/>
  <c r="F131" i="3"/>
  <c r="T131" i="3"/>
  <c r="E131" i="3"/>
  <c r="Z131" i="3"/>
  <c r="U131" i="3"/>
  <c r="R131" i="3"/>
  <c r="X131" i="3"/>
  <c r="O131" i="3"/>
  <c r="G131" i="3"/>
  <c r="P131" i="3"/>
  <c r="Y131" i="3"/>
  <c r="I95" i="3"/>
  <c r="O95" i="3"/>
  <c r="U95" i="3"/>
  <c r="M95" i="3"/>
  <c r="Z95" i="3"/>
  <c r="L95" i="3"/>
  <c r="E95" i="3"/>
  <c r="Q95" i="3"/>
  <c r="F95" i="3"/>
  <c r="Y95" i="3"/>
  <c r="S95" i="3"/>
  <c r="N95" i="3"/>
  <c r="X95" i="3"/>
  <c r="P95" i="3"/>
  <c r="G95" i="3"/>
  <c r="T95" i="3"/>
  <c r="R95" i="3"/>
  <c r="W95" i="3"/>
  <c r="R173" i="3"/>
  <c r="I173" i="3"/>
  <c r="O173" i="3"/>
  <c r="U173" i="3"/>
  <c r="F173" i="3"/>
  <c r="X173" i="3"/>
  <c r="E173" i="3"/>
  <c r="W173" i="3"/>
  <c r="G173" i="3"/>
  <c r="N173" i="3"/>
  <c r="T173" i="3"/>
  <c r="M173" i="3"/>
  <c r="S173" i="3"/>
  <c r="Q173" i="3"/>
  <c r="Y173" i="3"/>
  <c r="P173" i="3"/>
  <c r="Z173" i="3"/>
  <c r="L173" i="3"/>
  <c r="G148" i="3"/>
  <c r="X148" i="3"/>
  <c r="R148" i="3"/>
  <c r="O148" i="3"/>
  <c r="W148" i="3"/>
  <c r="E148" i="3"/>
  <c r="N148" i="3"/>
  <c r="S148" i="3"/>
  <c r="Q148" i="3"/>
  <c r="Z148" i="3"/>
  <c r="P148" i="3"/>
  <c r="F148" i="3"/>
  <c r="U148" i="3"/>
  <c r="T148" i="3"/>
  <c r="Y148" i="3"/>
  <c r="M148" i="3"/>
  <c r="I148" i="3"/>
  <c r="L148" i="3"/>
  <c r="U469" i="3"/>
  <c r="W469" i="3"/>
  <c r="E469" i="3"/>
  <c r="R469" i="3"/>
  <c r="N469" i="3"/>
  <c r="T469" i="3"/>
  <c r="I469" i="3"/>
  <c r="O469" i="3"/>
  <c r="G469" i="3"/>
  <c r="S469" i="3"/>
  <c r="F469" i="3"/>
  <c r="Q469" i="3"/>
  <c r="Y469" i="3"/>
  <c r="Z469" i="3"/>
  <c r="M469" i="3"/>
  <c r="X469" i="3"/>
  <c r="L469" i="3"/>
  <c r="P469" i="3"/>
  <c r="X70" i="3"/>
  <c r="U70" i="3"/>
  <c r="S70" i="3"/>
  <c r="Z70" i="3"/>
  <c r="G70" i="3"/>
  <c r="F70" i="3"/>
  <c r="P70" i="3"/>
  <c r="T70" i="3"/>
  <c r="E70" i="3"/>
  <c r="I70" i="3"/>
  <c r="Y70" i="3"/>
  <c r="N70" i="3"/>
  <c r="M70" i="3"/>
  <c r="W70" i="3"/>
  <c r="Q70" i="3"/>
  <c r="O70" i="3"/>
  <c r="R70" i="3"/>
  <c r="L70" i="3"/>
  <c r="Z155" i="3"/>
  <c r="G155" i="3"/>
  <c r="O155" i="3"/>
  <c r="Y155" i="3"/>
  <c r="Q155" i="3"/>
  <c r="U155" i="3"/>
  <c r="R155" i="3"/>
  <c r="T155" i="3"/>
  <c r="P155" i="3"/>
  <c r="M155" i="3"/>
  <c r="L155" i="3"/>
  <c r="I155" i="3"/>
  <c r="F155" i="3"/>
  <c r="E155" i="3"/>
  <c r="N155" i="3"/>
  <c r="S155" i="3"/>
  <c r="X155" i="3"/>
  <c r="W155" i="3"/>
  <c r="X178" i="3"/>
  <c r="N178" i="3"/>
  <c r="M178" i="3"/>
  <c r="Y178" i="3"/>
  <c r="T178" i="3"/>
  <c r="F178" i="3"/>
  <c r="O178" i="3"/>
  <c r="P178" i="3"/>
  <c r="Z178" i="3"/>
  <c r="L178" i="3"/>
  <c r="I178" i="3"/>
  <c r="U178" i="3"/>
  <c r="S178" i="3"/>
  <c r="R178" i="3"/>
  <c r="W178" i="3"/>
  <c r="Q178" i="3"/>
  <c r="E178" i="3"/>
  <c r="G178" i="3"/>
  <c r="W355" i="3"/>
  <c r="P355" i="3"/>
  <c r="Q355" i="3"/>
  <c r="E355" i="3"/>
  <c r="M355" i="3"/>
  <c r="F355" i="3"/>
  <c r="Y355" i="3"/>
  <c r="G355" i="3"/>
  <c r="I355" i="3"/>
  <c r="S355" i="3"/>
  <c r="X355" i="3"/>
  <c r="L355" i="3"/>
  <c r="Z355" i="3"/>
  <c r="T355" i="3"/>
  <c r="R355" i="3"/>
  <c r="N355" i="3"/>
  <c r="O355" i="3"/>
  <c r="U355" i="3"/>
  <c r="P215" i="3"/>
  <c r="E215" i="3"/>
  <c r="Z215" i="3"/>
  <c r="O215" i="3"/>
  <c r="S215" i="3"/>
  <c r="N215" i="3"/>
  <c r="F215" i="3"/>
  <c r="Q215" i="3"/>
  <c r="T215" i="3"/>
  <c r="I215" i="3"/>
  <c r="W215" i="3"/>
  <c r="G215" i="3"/>
  <c r="M215" i="3"/>
  <c r="Y215" i="3"/>
  <c r="U215" i="3"/>
  <c r="L215" i="3"/>
  <c r="X215" i="3"/>
  <c r="R215" i="3"/>
  <c r="R330" i="3"/>
  <c r="W330" i="3"/>
  <c r="Q330" i="3"/>
  <c r="S330" i="3"/>
  <c r="X330" i="3"/>
  <c r="P330" i="3"/>
  <c r="E330" i="3"/>
  <c r="F330" i="3"/>
  <c r="Z330" i="3"/>
  <c r="Y330" i="3"/>
  <c r="N330" i="3"/>
  <c r="T330" i="3"/>
  <c r="U330" i="3"/>
  <c r="G330" i="3"/>
  <c r="I330" i="3"/>
  <c r="M330" i="3"/>
  <c r="O330" i="3"/>
  <c r="L330" i="3"/>
  <c r="O219" i="3"/>
  <c r="X219" i="3"/>
  <c r="U219" i="3"/>
  <c r="T219" i="3"/>
  <c r="S219" i="3"/>
  <c r="Z219" i="3"/>
  <c r="W219" i="3"/>
  <c r="N219" i="3"/>
  <c r="M219" i="3"/>
  <c r="Y219" i="3"/>
  <c r="G219" i="3"/>
  <c r="R219" i="3"/>
  <c r="E219" i="3"/>
  <c r="F219" i="3"/>
  <c r="L219" i="3"/>
  <c r="Q219" i="3"/>
  <c r="P219" i="3"/>
  <c r="I219" i="3"/>
  <c r="L273" i="3"/>
  <c r="N273" i="3"/>
  <c r="O273" i="3"/>
  <c r="G273" i="3"/>
  <c r="T273" i="3"/>
  <c r="I273" i="3"/>
  <c r="Y273" i="3"/>
  <c r="S273" i="3"/>
  <c r="F273" i="3"/>
  <c r="R273" i="3"/>
  <c r="U273" i="3"/>
  <c r="Q273" i="3"/>
  <c r="W273" i="3"/>
  <c r="E273" i="3"/>
  <c r="M273" i="3"/>
  <c r="Z273" i="3"/>
  <c r="P273" i="3"/>
  <c r="X273" i="3"/>
  <c r="I200" i="3"/>
  <c r="Y200" i="3"/>
  <c r="P200" i="3"/>
  <c r="T200" i="3"/>
  <c r="U200" i="3"/>
  <c r="W200" i="3"/>
  <c r="M200" i="3"/>
  <c r="Q200" i="3"/>
  <c r="X200" i="3"/>
  <c r="Z200" i="3"/>
  <c r="G200" i="3"/>
  <c r="N200" i="3"/>
  <c r="E200" i="3"/>
  <c r="O200" i="3"/>
  <c r="S200" i="3"/>
  <c r="L200" i="3"/>
  <c r="R200" i="3"/>
  <c r="F200" i="3"/>
  <c r="W84" i="3"/>
  <c r="U84" i="3"/>
  <c r="R84" i="3"/>
  <c r="I84" i="3"/>
  <c r="F84" i="3"/>
  <c r="G84" i="3"/>
  <c r="X84" i="3"/>
  <c r="E84" i="3"/>
  <c r="T84" i="3"/>
  <c r="N84" i="3"/>
  <c r="M84" i="3"/>
  <c r="S84" i="3"/>
  <c r="L84" i="3"/>
  <c r="O84" i="3"/>
  <c r="P84" i="3"/>
  <c r="Z84" i="3"/>
  <c r="Q84" i="3"/>
  <c r="Y84" i="3"/>
  <c r="Z68" i="3"/>
  <c r="N68" i="3"/>
  <c r="S68" i="3"/>
  <c r="L68" i="3"/>
  <c r="U68" i="3"/>
  <c r="E68" i="3"/>
  <c r="P68" i="3"/>
  <c r="Q68" i="3"/>
  <c r="Y68" i="3"/>
  <c r="I68" i="3"/>
  <c r="W68" i="3"/>
  <c r="G68" i="3"/>
  <c r="M68" i="3"/>
  <c r="F68" i="3"/>
  <c r="X68" i="3"/>
  <c r="R68" i="3"/>
  <c r="O68" i="3"/>
  <c r="T68" i="3"/>
  <c r="I64" i="3"/>
  <c r="T64" i="3"/>
  <c r="M64" i="3"/>
  <c r="L64" i="3"/>
  <c r="U64" i="3"/>
  <c r="R64" i="3"/>
  <c r="N64" i="3"/>
  <c r="Y64" i="3"/>
  <c r="Z64" i="3"/>
  <c r="F64" i="3"/>
  <c r="S64" i="3"/>
  <c r="Q64" i="3"/>
  <c r="P64" i="3"/>
  <c r="E64" i="3"/>
  <c r="G64" i="3"/>
  <c r="O64" i="3"/>
  <c r="X64" i="3"/>
  <c r="W64" i="3"/>
  <c r="T419" i="3"/>
  <c r="O419" i="3"/>
  <c r="M419" i="3"/>
  <c r="X419" i="3"/>
  <c r="G419" i="3"/>
  <c r="U419" i="3"/>
  <c r="S419" i="3"/>
  <c r="W419" i="3"/>
  <c r="L419" i="3"/>
  <c r="E419" i="3"/>
  <c r="R419" i="3"/>
  <c r="P419" i="3"/>
  <c r="N419" i="3"/>
  <c r="Y419" i="3"/>
  <c r="Z419" i="3"/>
  <c r="F419" i="3"/>
  <c r="I419" i="3"/>
  <c r="Q419" i="3"/>
  <c r="R172" i="3"/>
  <c r="S172" i="3"/>
  <c r="T172" i="3"/>
  <c r="L172" i="3"/>
  <c r="G172" i="3"/>
  <c r="U172" i="3"/>
  <c r="W172" i="3"/>
  <c r="O172" i="3"/>
  <c r="F172" i="3"/>
  <c r="E172" i="3"/>
  <c r="Y172" i="3"/>
  <c r="M172" i="3"/>
  <c r="N172" i="3"/>
  <c r="P172" i="3"/>
  <c r="Z172" i="3"/>
  <c r="X172" i="3"/>
  <c r="Q172" i="3"/>
  <c r="I172" i="3"/>
  <c r="U210" i="3"/>
  <c r="G210" i="3"/>
  <c r="I210" i="3"/>
  <c r="N210" i="3"/>
  <c r="Z210" i="3"/>
  <c r="E210" i="3"/>
  <c r="F210" i="3"/>
  <c r="T210" i="3"/>
  <c r="S210" i="3"/>
  <c r="R210" i="3"/>
  <c r="Q210" i="3"/>
  <c r="O210" i="3"/>
  <c r="M210" i="3"/>
  <c r="L210" i="3"/>
  <c r="Y210" i="3"/>
  <c r="X210" i="3"/>
  <c r="P210" i="3"/>
  <c r="W210" i="3"/>
  <c r="G501" i="3"/>
  <c r="E501" i="3"/>
  <c r="T501" i="3"/>
  <c r="N501" i="3"/>
  <c r="M501" i="3"/>
  <c r="I501" i="3"/>
  <c r="L501" i="3"/>
  <c r="W501" i="3"/>
  <c r="U501" i="3"/>
  <c r="X501" i="3"/>
  <c r="R501" i="3"/>
  <c r="S501" i="3"/>
  <c r="F501" i="3"/>
  <c r="P501" i="3"/>
  <c r="O501" i="3"/>
  <c r="Y501" i="3"/>
  <c r="Q501" i="3"/>
  <c r="Z501" i="3"/>
  <c r="T112" i="3"/>
  <c r="Q112" i="3"/>
  <c r="P112" i="3"/>
  <c r="L112" i="3"/>
  <c r="Z112" i="3"/>
  <c r="O112" i="3"/>
  <c r="R112" i="3"/>
  <c r="X112" i="3"/>
  <c r="S112" i="3"/>
  <c r="U112" i="3"/>
  <c r="W112" i="3"/>
  <c r="G112" i="3"/>
  <c r="I112" i="3"/>
  <c r="M112" i="3"/>
  <c r="Y112" i="3"/>
  <c r="N112" i="3"/>
  <c r="F112" i="3"/>
  <c r="E112" i="3"/>
  <c r="W482" i="3"/>
  <c r="M482" i="3"/>
  <c r="I482" i="3"/>
  <c r="Y482" i="3"/>
  <c r="U482" i="3"/>
  <c r="L482" i="3"/>
  <c r="E482" i="3"/>
  <c r="G482" i="3"/>
  <c r="Z482" i="3"/>
  <c r="R482" i="3"/>
  <c r="Q482" i="3"/>
  <c r="F482" i="3"/>
  <c r="X482" i="3"/>
  <c r="N482" i="3"/>
  <c r="T482" i="3"/>
  <c r="P482" i="3"/>
  <c r="O482" i="3"/>
  <c r="S482" i="3"/>
  <c r="E488" i="3"/>
  <c r="F488" i="3"/>
  <c r="I488" i="3"/>
  <c r="L488" i="3"/>
  <c r="Z488" i="3"/>
  <c r="R488" i="3"/>
  <c r="Y488" i="3"/>
  <c r="X488" i="3"/>
  <c r="T488" i="3"/>
  <c r="G488" i="3"/>
  <c r="O488" i="3"/>
  <c r="W488" i="3"/>
  <c r="S488" i="3"/>
  <c r="P488" i="3"/>
  <c r="Q488" i="3"/>
  <c r="M488" i="3"/>
  <c r="N488" i="3"/>
  <c r="U488" i="3"/>
  <c r="U408" i="3"/>
  <c r="P408" i="3"/>
  <c r="T408" i="3"/>
  <c r="W408" i="3"/>
  <c r="G408" i="3"/>
  <c r="Y408" i="3"/>
  <c r="Z408" i="3"/>
  <c r="N408" i="3"/>
  <c r="R408" i="3"/>
  <c r="X408" i="3"/>
  <c r="O408" i="3"/>
  <c r="L408" i="3"/>
  <c r="I408" i="3"/>
  <c r="E408" i="3"/>
  <c r="M408" i="3"/>
  <c r="S408" i="3"/>
  <c r="Q408" i="3"/>
  <c r="F408" i="3"/>
  <c r="F476" i="3"/>
  <c r="N476" i="3"/>
  <c r="U476" i="3"/>
  <c r="Q476" i="3"/>
  <c r="P476" i="3"/>
  <c r="E476" i="3"/>
  <c r="Y476" i="3"/>
  <c r="Z476" i="3"/>
  <c r="G476" i="3"/>
  <c r="L476" i="3"/>
  <c r="X476" i="3"/>
  <c r="T476" i="3"/>
  <c r="S476" i="3"/>
  <c r="I476" i="3"/>
  <c r="W476" i="3"/>
  <c r="O476" i="3"/>
  <c r="R476" i="3"/>
  <c r="M476" i="3"/>
  <c r="X331" i="3"/>
  <c r="R331" i="3"/>
  <c r="G331" i="3"/>
  <c r="T331" i="3"/>
  <c r="N331" i="3"/>
  <c r="Z331" i="3"/>
  <c r="I331" i="3"/>
  <c r="Y331" i="3"/>
  <c r="P331" i="3"/>
  <c r="O331" i="3"/>
  <c r="M331" i="3"/>
  <c r="E331" i="3"/>
  <c r="F331" i="3"/>
  <c r="S331" i="3"/>
  <c r="U331" i="3"/>
  <c r="L331" i="3"/>
  <c r="Q331" i="3"/>
  <c r="W331" i="3"/>
  <c r="M229" i="3"/>
  <c r="P229" i="3"/>
  <c r="I229" i="3"/>
  <c r="Q229" i="3"/>
  <c r="X229" i="3"/>
  <c r="T229" i="3"/>
  <c r="G229" i="3"/>
  <c r="N229" i="3"/>
  <c r="O229" i="3"/>
  <c r="L229" i="3"/>
  <c r="U229" i="3"/>
  <c r="F229" i="3"/>
  <c r="R229" i="3"/>
  <c r="Z229" i="3"/>
  <c r="W229" i="3"/>
  <c r="Y229" i="3"/>
  <c r="S229" i="3"/>
  <c r="E229" i="3"/>
  <c r="N91" i="3"/>
  <c r="E91" i="3"/>
  <c r="G91" i="3"/>
  <c r="X91" i="3"/>
  <c r="L91" i="3"/>
  <c r="T91" i="3"/>
  <c r="W91" i="3"/>
  <c r="O91" i="3"/>
  <c r="F91" i="3"/>
  <c r="M91" i="3"/>
  <c r="I91" i="3"/>
  <c r="R91" i="3"/>
  <c r="S91" i="3"/>
  <c r="Z91" i="3"/>
  <c r="Q91" i="3"/>
  <c r="P91" i="3"/>
  <c r="Y91" i="3"/>
  <c r="U91" i="3"/>
  <c r="I225" i="3"/>
  <c r="Y225" i="3"/>
  <c r="G225" i="3"/>
  <c r="F225" i="3"/>
  <c r="U225" i="3"/>
  <c r="M225" i="3"/>
  <c r="P225" i="3"/>
  <c r="R225" i="3"/>
  <c r="E225" i="3"/>
  <c r="T225" i="3"/>
  <c r="Q225" i="3"/>
  <c r="N225" i="3"/>
  <c r="X225" i="3"/>
  <c r="W225" i="3"/>
  <c r="L225" i="3"/>
  <c r="Z225" i="3"/>
  <c r="S225" i="3"/>
  <c r="O225" i="3"/>
  <c r="I159" i="3"/>
  <c r="N159" i="3"/>
  <c r="Q159" i="3"/>
  <c r="W159" i="3"/>
  <c r="G159" i="3"/>
  <c r="S159" i="3"/>
  <c r="E159" i="3"/>
  <c r="T159" i="3"/>
  <c r="L159" i="3"/>
  <c r="M159" i="3"/>
  <c r="Y159" i="3"/>
  <c r="U159" i="3"/>
  <c r="R159" i="3"/>
  <c r="Z159" i="3"/>
  <c r="O159" i="3"/>
  <c r="P159" i="3"/>
  <c r="F159" i="3"/>
  <c r="X159" i="3"/>
  <c r="M406" i="3"/>
  <c r="X406" i="3"/>
  <c r="I406" i="3"/>
  <c r="R406" i="3"/>
  <c r="N406" i="3"/>
  <c r="Y406" i="3"/>
  <c r="L406" i="3"/>
  <c r="Z406" i="3"/>
  <c r="F406" i="3"/>
  <c r="W406" i="3"/>
  <c r="G406" i="3"/>
  <c r="U406" i="3"/>
  <c r="S406" i="3"/>
  <c r="T406" i="3"/>
  <c r="P406" i="3"/>
  <c r="E406" i="3"/>
  <c r="Q406" i="3"/>
  <c r="O406" i="3"/>
  <c r="U198" i="3"/>
  <c r="W198" i="3"/>
  <c r="L198" i="3"/>
  <c r="F198" i="3"/>
  <c r="I198" i="3"/>
  <c r="M198" i="3"/>
  <c r="Z198" i="3"/>
  <c r="O198" i="3"/>
  <c r="S198" i="3"/>
  <c r="P198" i="3"/>
  <c r="N198" i="3"/>
  <c r="G198" i="3"/>
  <c r="R198" i="3"/>
  <c r="Q198" i="3"/>
  <c r="T198" i="3"/>
  <c r="X198" i="3"/>
  <c r="Y198" i="3"/>
  <c r="E198" i="3"/>
  <c r="M223" i="3"/>
  <c r="R223" i="3"/>
  <c r="G223" i="3"/>
  <c r="X223" i="3"/>
  <c r="N223" i="3"/>
  <c r="U223" i="3"/>
  <c r="P223" i="3"/>
  <c r="L223" i="3"/>
  <c r="W223" i="3"/>
  <c r="Y223" i="3"/>
  <c r="Q223" i="3"/>
  <c r="E223" i="3"/>
  <c r="Z223" i="3"/>
  <c r="S223" i="3"/>
  <c r="T223" i="3"/>
  <c r="O223" i="3"/>
  <c r="I223" i="3"/>
  <c r="F223" i="3"/>
  <c r="O269" i="3"/>
  <c r="S269" i="3"/>
  <c r="I269" i="3"/>
  <c r="Z269" i="3"/>
  <c r="P269" i="3"/>
  <c r="L269" i="3"/>
  <c r="Q269" i="3"/>
  <c r="W269" i="3"/>
  <c r="R269" i="3"/>
  <c r="M269" i="3"/>
  <c r="N269" i="3"/>
  <c r="E269" i="3"/>
  <c r="X269" i="3"/>
  <c r="T269" i="3"/>
  <c r="G269" i="3"/>
  <c r="Y269" i="3"/>
  <c r="F269" i="3"/>
  <c r="U269" i="3"/>
  <c r="Y493" i="3"/>
  <c r="U493" i="3"/>
  <c r="W493" i="3"/>
  <c r="I493" i="3"/>
  <c r="S493" i="3"/>
  <c r="G493" i="3"/>
  <c r="N493" i="3"/>
  <c r="F493" i="3"/>
  <c r="Z493" i="3"/>
  <c r="O493" i="3"/>
  <c r="M493" i="3"/>
  <c r="R493" i="3"/>
  <c r="L493" i="3"/>
  <c r="X493" i="3"/>
  <c r="P493" i="3"/>
  <c r="E493" i="3"/>
  <c r="T493" i="3"/>
  <c r="Q493" i="3"/>
  <c r="N118" i="3"/>
  <c r="R118" i="3"/>
  <c r="Q118" i="3"/>
  <c r="F118" i="3"/>
  <c r="L118" i="3"/>
  <c r="O118" i="3"/>
  <c r="U118" i="3"/>
  <c r="M118" i="3"/>
  <c r="I118" i="3"/>
  <c r="Y118" i="3"/>
  <c r="X118" i="3"/>
  <c r="S118" i="3"/>
  <c r="P118" i="3"/>
  <c r="W118" i="3"/>
  <c r="Z118" i="3"/>
  <c r="E118" i="3"/>
  <c r="T118" i="3"/>
  <c r="G118" i="3"/>
  <c r="S461" i="3"/>
  <c r="P461" i="3"/>
  <c r="I461" i="3"/>
  <c r="W461" i="3"/>
  <c r="L461" i="3"/>
  <c r="U461" i="3"/>
  <c r="R461" i="3"/>
  <c r="N461" i="3"/>
  <c r="Q461" i="3"/>
  <c r="Y461" i="3"/>
  <c r="T461" i="3"/>
  <c r="G461" i="3"/>
  <c r="O461" i="3"/>
  <c r="E461" i="3"/>
  <c r="F461" i="3"/>
  <c r="Z461" i="3"/>
  <c r="X461" i="3"/>
  <c r="M461" i="3"/>
  <c r="G404" i="3"/>
  <c r="L404" i="3"/>
  <c r="Y404" i="3"/>
  <c r="P404" i="3"/>
  <c r="W404" i="3"/>
  <c r="M404" i="3"/>
  <c r="N404" i="3"/>
  <c r="I404" i="3"/>
  <c r="S404" i="3"/>
  <c r="X404" i="3"/>
  <c r="O404" i="3"/>
  <c r="U404" i="3"/>
  <c r="T404" i="3"/>
  <c r="F404" i="3"/>
  <c r="Q404" i="3"/>
  <c r="R404" i="3"/>
  <c r="E404" i="3"/>
  <c r="Z404" i="3"/>
  <c r="Q412" i="3"/>
  <c r="Z412" i="3"/>
  <c r="T412" i="3"/>
  <c r="F412" i="3"/>
  <c r="G412" i="3"/>
  <c r="M412" i="3"/>
  <c r="R412" i="3"/>
  <c r="I412" i="3"/>
  <c r="U412" i="3"/>
  <c r="X412" i="3"/>
  <c r="P412" i="3"/>
  <c r="O412" i="3"/>
  <c r="Y412" i="3"/>
  <c r="E412" i="3"/>
  <c r="W412" i="3"/>
  <c r="S412" i="3"/>
  <c r="N412" i="3"/>
  <c r="L412" i="3"/>
  <c r="Q266" i="3"/>
  <c r="W266" i="3"/>
  <c r="U266" i="3"/>
  <c r="N266" i="3"/>
  <c r="L266" i="3"/>
  <c r="X266" i="3"/>
  <c r="T266" i="3"/>
  <c r="E266" i="3"/>
  <c r="G266" i="3"/>
  <c r="F266" i="3"/>
  <c r="I266" i="3"/>
  <c r="O266" i="3"/>
  <c r="S266" i="3"/>
  <c r="Z266" i="3"/>
  <c r="M266" i="3"/>
  <c r="P266" i="3"/>
  <c r="Y266" i="3"/>
  <c r="R266" i="3"/>
  <c r="M191" i="3"/>
  <c r="Q191" i="3"/>
  <c r="L191" i="3"/>
  <c r="I191" i="3"/>
  <c r="U191" i="3"/>
  <c r="Y191" i="3"/>
  <c r="Z191" i="3"/>
  <c r="R191" i="3"/>
  <c r="T191" i="3"/>
  <c r="S191" i="3"/>
  <c r="N191" i="3"/>
  <c r="E191" i="3"/>
  <c r="G191" i="3"/>
  <c r="F191" i="3"/>
  <c r="W191" i="3"/>
  <c r="P191" i="3"/>
  <c r="X191" i="3"/>
  <c r="O191" i="3"/>
  <c r="P401" i="3"/>
  <c r="F401" i="3"/>
  <c r="L401" i="3"/>
  <c r="E401" i="3"/>
  <c r="M401" i="3"/>
  <c r="R401" i="3"/>
  <c r="Q401" i="3"/>
  <c r="Z401" i="3"/>
  <c r="S401" i="3"/>
  <c r="T401" i="3"/>
  <c r="U401" i="3"/>
  <c r="X401" i="3"/>
  <c r="W401" i="3"/>
  <c r="I401" i="3"/>
  <c r="O401" i="3"/>
  <c r="N401" i="3"/>
  <c r="Y401" i="3"/>
  <c r="G401" i="3"/>
  <c r="X309" i="3"/>
  <c r="P309" i="3"/>
  <c r="G309" i="3"/>
  <c r="E309" i="3"/>
  <c r="U309" i="3"/>
  <c r="Z309" i="3"/>
  <c r="Q309" i="3"/>
  <c r="L309" i="3"/>
  <c r="S309" i="3"/>
  <c r="Y309" i="3"/>
  <c r="W309" i="3"/>
  <c r="O309" i="3"/>
  <c r="T309" i="3"/>
  <c r="M309" i="3"/>
  <c r="I309" i="3"/>
  <c r="F309" i="3"/>
  <c r="N309" i="3"/>
  <c r="R309" i="3"/>
  <c r="Y214" i="3"/>
  <c r="W214" i="3"/>
  <c r="Q214" i="3"/>
  <c r="L214" i="3"/>
  <c r="T214" i="3"/>
  <c r="G214" i="3"/>
  <c r="F214" i="3"/>
  <c r="M214" i="3"/>
  <c r="I214" i="3"/>
  <c r="R214" i="3"/>
  <c r="X214" i="3"/>
  <c r="S214" i="3"/>
  <c r="Z214" i="3"/>
  <c r="N214" i="3"/>
  <c r="P214" i="3"/>
  <c r="U214" i="3"/>
  <c r="E214" i="3"/>
  <c r="O214" i="3"/>
  <c r="Z240" i="3"/>
  <c r="I240" i="3"/>
  <c r="G240" i="3"/>
  <c r="N240" i="3"/>
  <c r="S240" i="3"/>
  <c r="Q240" i="3"/>
  <c r="X240" i="3"/>
  <c r="E240" i="3"/>
  <c r="T240" i="3"/>
  <c r="Y240" i="3"/>
  <c r="O240" i="3"/>
  <c r="U240" i="3"/>
  <c r="M240" i="3"/>
  <c r="W240" i="3"/>
  <c r="P240" i="3"/>
  <c r="F240" i="3"/>
  <c r="L240" i="3"/>
  <c r="R240" i="3"/>
  <c r="O354" i="3"/>
  <c r="G354" i="3"/>
  <c r="W354" i="3"/>
  <c r="T354" i="3"/>
  <c r="M354" i="3"/>
  <c r="U354" i="3"/>
  <c r="R354" i="3"/>
  <c r="F354" i="3"/>
  <c r="Q354" i="3"/>
  <c r="P354" i="3"/>
  <c r="Z354" i="3"/>
  <c r="N354" i="3"/>
  <c r="Y354" i="3"/>
  <c r="L354" i="3"/>
  <c r="S354" i="3"/>
  <c r="I354" i="3"/>
  <c r="E354" i="3"/>
  <c r="X354" i="3"/>
  <c r="W473" i="3"/>
  <c r="U473" i="3"/>
  <c r="S473" i="3"/>
  <c r="F473" i="3"/>
  <c r="G473" i="3"/>
  <c r="P473" i="3"/>
  <c r="E473" i="3"/>
  <c r="Q473" i="3"/>
  <c r="R473" i="3"/>
  <c r="X473" i="3"/>
  <c r="M473" i="3"/>
  <c r="I473" i="3"/>
  <c r="O473" i="3"/>
  <c r="T473" i="3"/>
  <c r="L473" i="3"/>
  <c r="Z473" i="3"/>
  <c r="N473" i="3"/>
  <c r="Y473" i="3"/>
  <c r="T339" i="3"/>
  <c r="Y339" i="3"/>
  <c r="S339" i="3"/>
  <c r="R339" i="3"/>
  <c r="P339" i="3"/>
  <c r="M339" i="3"/>
  <c r="Q339" i="3"/>
  <c r="G339" i="3"/>
  <c r="I339" i="3"/>
  <c r="N339" i="3"/>
  <c r="X339" i="3"/>
  <c r="O339" i="3"/>
  <c r="F339" i="3"/>
  <c r="U339" i="3"/>
  <c r="L339" i="3"/>
  <c r="Z339" i="3"/>
  <c r="E339" i="3"/>
  <c r="W339" i="3"/>
  <c r="Z237" i="3"/>
  <c r="F237" i="3"/>
  <c r="L237" i="3"/>
  <c r="Y237" i="3"/>
  <c r="M237" i="3"/>
  <c r="S237" i="3"/>
  <c r="Q237" i="3"/>
  <c r="G237" i="3"/>
  <c r="E237" i="3"/>
  <c r="N237" i="3"/>
  <c r="I237" i="3"/>
  <c r="W237" i="3"/>
  <c r="X237" i="3"/>
  <c r="R237" i="3"/>
  <c r="T237" i="3"/>
  <c r="O237" i="3"/>
  <c r="P237" i="3"/>
  <c r="U237" i="3"/>
  <c r="L203" i="3"/>
  <c r="F203" i="3"/>
  <c r="Q203" i="3"/>
  <c r="U203" i="3"/>
  <c r="X203" i="3"/>
  <c r="P203" i="3"/>
  <c r="N203" i="3"/>
  <c r="Y203" i="3"/>
  <c r="S203" i="3"/>
  <c r="M203" i="3"/>
  <c r="R203" i="3"/>
  <c r="T203" i="3"/>
  <c r="Z203" i="3"/>
  <c r="I203" i="3"/>
  <c r="O203" i="3"/>
  <c r="E203" i="3"/>
  <c r="W203" i="3"/>
  <c r="G203" i="3"/>
  <c r="M114" i="3"/>
  <c r="E114" i="3"/>
  <c r="I114" i="3"/>
  <c r="F114" i="3"/>
  <c r="P114" i="3"/>
  <c r="U114" i="3"/>
  <c r="Y114" i="3"/>
  <c r="L114" i="3"/>
  <c r="S114" i="3"/>
  <c r="N114" i="3"/>
  <c r="X114" i="3"/>
  <c r="Q114" i="3"/>
  <c r="T114" i="3"/>
  <c r="G114" i="3"/>
  <c r="W114" i="3"/>
  <c r="R114" i="3"/>
  <c r="Z114" i="3"/>
  <c r="O114" i="3"/>
  <c r="W165" i="3"/>
  <c r="U165" i="3"/>
  <c r="P165" i="3"/>
  <c r="Y165" i="3"/>
  <c r="X165" i="3"/>
  <c r="G165" i="3"/>
  <c r="S165" i="3"/>
  <c r="T165" i="3"/>
  <c r="M165" i="3"/>
  <c r="Q165" i="3"/>
  <c r="Z165" i="3"/>
  <c r="E165" i="3"/>
  <c r="F165" i="3"/>
  <c r="I165" i="3"/>
  <c r="R165" i="3"/>
  <c r="L165" i="3"/>
  <c r="N165" i="3"/>
  <c r="O165" i="3"/>
  <c r="P397" i="3"/>
  <c r="Y397" i="3"/>
  <c r="N397" i="3"/>
  <c r="X397" i="3"/>
  <c r="E397" i="3"/>
  <c r="M397" i="3"/>
  <c r="T397" i="3"/>
  <c r="Z397" i="3"/>
  <c r="L397" i="3"/>
  <c r="S397" i="3"/>
  <c r="I397" i="3"/>
  <c r="F397" i="3"/>
  <c r="Q397" i="3"/>
  <c r="U397" i="3"/>
  <c r="G397" i="3"/>
  <c r="W397" i="3"/>
  <c r="R397" i="3"/>
  <c r="O397" i="3"/>
  <c r="Y324" i="3"/>
  <c r="M324" i="3"/>
  <c r="X324" i="3"/>
  <c r="Q324" i="3"/>
  <c r="T324" i="3"/>
  <c r="N324" i="3"/>
  <c r="W324" i="3"/>
  <c r="Z324" i="3"/>
  <c r="E324" i="3"/>
  <c r="P324" i="3"/>
  <c r="O324" i="3"/>
  <c r="F324" i="3"/>
  <c r="S324" i="3"/>
  <c r="U324" i="3"/>
  <c r="G324" i="3"/>
  <c r="R324" i="3"/>
  <c r="L324" i="3"/>
  <c r="I324" i="3"/>
  <c r="X387" i="3"/>
  <c r="T387" i="3"/>
  <c r="R387" i="3"/>
  <c r="W387" i="3"/>
  <c r="N387" i="3"/>
  <c r="Q387" i="3"/>
  <c r="P387" i="3"/>
  <c r="M387" i="3"/>
  <c r="F387" i="3"/>
  <c r="U387" i="3"/>
  <c r="L387" i="3"/>
  <c r="E387" i="3"/>
  <c r="O387" i="3"/>
  <c r="S387" i="3"/>
  <c r="G387" i="3"/>
  <c r="Z387" i="3"/>
  <c r="I387" i="3"/>
  <c r="Y387" i="3"/>
  <c r="U145" i="3"/>
  <c r="L145" i="3"/>
  <c r="W145" i="3"/>
  <c r="X145" i="3"/>
  <c r="I145" i="3"/>
  <c r="G145" i="3"/>
  <c r="Y145" i="3"/>
  <c r="T145" i="3"/>
  <c r="S145" i="3"/>
  <c r="Q145" i="3"/>
  <c r="P145" i="3"/>
  <c r="O145" i="3"/>
  <c r="M145" i="3"/>
  <c r="Z145" i="3"/>
  <c r="F145" i="3"/>
  <c r="E145" i="3"/>
  <c r="R145" i="3"/>
  <c r="N145" i="3"/>
  <c r="Z183" i="3"/>
  <c r="N183" i="3"/>
  <c r="P183" i="3"/>
  <c r="I183" i="3"/>
  <c r="G183" i="3"/>
  <c r="T183" i="3"/>
  <c r="M183" i="3"/>
  <c r="F183" i="3"/>
  <c r="O183" i="3"/>
  <c r="W183" i="3"/>
  <c r="S183" i="3"/>
  <c r="R183" i="3"/>
  <c r="Q183" i="3"/>
  <c r="Y183" i="3"/>
  <c r="E183" i="3"/>
  <c r="X183" i="3"/>
  <c r="U183" i="3"/>
  <c r="L183" i="3"/>
  <c r="E259" i="3"/>
  <c r="Y259" i="3"/>
  <c r="R259" i="3"/>
  <c r="O259" i="3"/>
  <c r="S259" i="3"/>
  <c r="W259" i="3"/>
  <c r="I259" i="3"/>
  <c r="U259" i="3"/>
  <c r="Z259" i="3"/>
  <c r="L259" i="3"/>
  <c r="P259" i="3"/>
  <c r="N259" i="3"/>
  <c r="G259" i="3"/>
  <c r="X259" i="3"/>
  <c r="T259" i="3"/>
  <c r="Q259" i="3"/>
  <c r="F259" i="3"/>
  <c r="M259" i="3"/>
  <c r="Z228" i="3"/>
  <c r="F228" i="3"/>
  <c r="W228" i="3"/>
  <c r="E228" i="3"/>
  <c r="O228" i="3"/>
  <c r="U228" i="3"/>
  <c r="T228" i="3"/>
  <c r="X228" i="3"/>
  <c r="G228" i="3"/>
  <c r="N228" i="3"/>
  <c r="S228" i="3"/>
  <c r="R228" i="3"/>
  <c r="P228" i="3"/>
  <c r="Y228" i="3"/>
  <c r="Q228" i="3"/>
  <c r="L228" i="3"/>
  <c r="I228" i="3"/>
  <c r="M228" i="3"/>
  <c r="T251" i="3"/>
  <c r="W251" i="3"/>
  <c r="F251" i="3"/>
  <c r="E251" i="3"/>
  <c r="N251" i="3"/>
  <c r="R251" i="3"/>
  <c r="Z251" i="3"/>
  <c r="L251" i="3"/>
  <c r="P251" i="3"/>
  <c r="U251" i="3"/>
  <c r="G251" i="3"/>
  <c r="I251" i="3"/>
  <c r="S251" i="3"/>
  <c r="O251" i="3"/>
  <c r="X251" i="3"/>
  <c r="Q251" i="3"/>
  <c r="Y251" i="3"/>
  <c r="M251" i="3"/>
  <c r="T40" i="3"/>
  <c r="W40" i="3"/>
  <c r="F40" i="3"/>
  <c r="U40" i="3"/>
  <c r="L40" i="3"/>
  <c r="S40" i="3"/>
  <c r="O40" i="3"/>
  <c r="M40" i="3"/>
  <c r="E40" i="3"/>
  <c r="N40" i="3"/>
  <c r="X40" i="3"/>
  <c r="G40" i="3"/>
  <c r="Y40" i="3"/>
  <c r="R40" i="3"/>
  <c r="P40" i="3"/>
  <c r="Q40" i="3"/>
  <c r="I40" i="3"/>
  <c r="Z40" i="3"/>
  <c r="E388" i="3"/>
  <c r="F388" i="3"/>
  <c r="P388" i="3"/>
  <c r="Y388" i="3"/>
  <c r="I388" i="3"/>
  <c r="M388" i="3"/>
  <c r="Z388" i="3"/>
  <c r="L388" i="3"/>
  <c r="T388" i="3"/>
  <c r="W388" i="3"/>
  <c r="O388" i="3"/>
  <c r="G388" i="3"/>
  <c r="S388" i="3"/>
  <c r="Q388" i="3"/>
  <c r="X388" i="3"/>
  <c r="R388" i="3"/>
  <c r="U388" i="3"/>
  <c r="N388" i="3"/>
  <c r="T169" i="3"/>
  <c r="O169" i="3"/>
  <c r="Q169" i="3"/>
  <c r="G169" i="3"/>
  <c r="F169" i="3"/>
  <c r="L169" i="3"/>
  <c r="E169" i="3"/>
  <c r="Y169" i="3"/>
  <c r="P169" i="3"/>
  <c r="S169" i="3"/>
  <c r="W169" i="3"/>
  <c r="I169" i="3"/>
  <c r="X169" i="3"/>
  <c r="N169" i="3"/>
  <c r="R169" i="3"/>
  <c r="M169" i="3"/>
  <c r="U169" i="3"/>
  <c r="Z169" i="3"/>
  <c r="Z34" i="3"/>
  <c r="Q34" i="3"/>
  <c r="O34" i="3"/>
  <c r="F34" i="3"/>
  <c r="U34" i="3"/>
  <c r="G34" i="3"/>
  <c r="N34" i="3"/>
  <c r="Y34" i="3"/>
  <c r="P34" i="3"/>
  <c r="W34" i="3"/>
  <c r="T34" i="3"/>
  <c r="R34" i="3"/>
  <c r="L34" i="3"/>
  <c r="X34" i="3"/>
  <c r="E34" i="3"/>
  <c r="M34" i="3"/>
  <c r="S34" i="3"/>
  <c r="I34" i="3"/>
  <c r="U233" i="3"/>
  <c r="I233" i="3"/>
  <c r="G233" i="3"/>
  <c r="S233" i="3"/>
  <c r="O233" i="3"/>
  <c r="L233" i="3"/>
  <c r="Y233" i="3"/>
  <c r="E233" i="3"/>
  <c r="T233" i="3"/>
  <c r="W233" i="3"/>
  <c r="R233" i="3"/>
  <c r="P233" i="3"/>
  <c r="Q233" i="3"/>
  <c r="X233" i="3"/>
  <c r="M233" i="3"/>
  <c r="Z233" i="3"/>
  <c r="N233" i="3"/>
  <c r="F233" i="3"/>
  <c r="E362" i="3"/>
  <c r="Z362" i="3"/>
  <c r="Q362" i="3"/>
  <c r="N362" i="3"/>
  <c r="L362" i="3"/>
  <c r="R362" i="3"/>
  <c r="M362" i="3"/>
  <c r="T362" i="3"/>
  <c r="G362" i="3"/>
  <c r="I362" i="3"/>
  <c r="S362" i="3"/>
  <c r="O362" i="3"/>
  <c r="P362" i="3"/>
  <c r="F362" i="3"/>
  <c r="U362" i="3"/>
  <c r="Y362" i="3"/>
  <c r="X362" i="3"/>
  <c r="W362" i="3"/>
  <c r="P370" i="3"/>
  <c r="S370" i="3"/>
  <c r="Z370" i="3"/>
  <c r="F370" i="3"/>
  <c r="R370" i="3"/>
  <c r="N370" i="3"/>
  <c r="G370" i="3"/>
  <c r="O370" i="3"/>
  <c r="M370" i="3"/>
  <c r="X370" i="3"/>
  <c r="L370" i="3"/>
  <c r="T370" i="3"/>
  <c r="E370" i="3"/>
  <c r="W370" i="3"/>
  <c r="Q370" i="3"/>
  <c r="U370" i="3"/>
  <c r="Y370" i="3"/>
  <c r="I370" i="3"/>
  <c r="M438" i="3"/>
  <c r="Z438" i="3"/>
  <c r="L438" i="3"/>
  <c r="U438" i="3"/>
  <c r="F438" i="3"/>
  <c r="R438" i="3"/>
  <c r="S438" i="3"/>
  <c r="Q438" i="3"/>
  <c r="E438" i="3"/>
  <c r="G438" i="3"/>
  <c r="O438" i="3"/>
  <c r="I438" i="3"/>
  <c r="T438" i="3"/>
  <c r="N438" i="3"/>
  <c r="Y438" i="3"/>
  <c r="X438" i="3"/>
  <c r="W438" i="3"/>
  <c r="P438" i="3"/>
  <c r="Z9" i="3"/>
  <c r="Y9" i="3"/>
  <c r="L9" i="3"/>
  <c r="F9" i="3"/>
  <c r="P9" i="3"/>
  <c r="I9" i="3"/>
  <c r="N9" i="3"/>
  <c r="O9" i="3"/>
  <c r="X9" i="3"/>
  <c r="E9" i="3"/>
  <c r="M9" i="3"/>
  <c r="W9" i="3"/>
  <c r="O460" i="3"/>
  <c r="Y460" i="3"/>
  <c r="X460" i="3"/>
  <c r="I460" i="3"/>
  <c r="P460" i="3"/>
  <c r="M460" i="3"/>
  <c r="T460" i="3"/>
  <c r="E460" i="3"/>
  <c r="Q460" i="3"/>
  <c r="U460" i="3"/>
  <c r="W460" i="3"/>
  <c r="S460" i="3"/>
  <c r="R460" i="3"/>
  <c r="G460" i="3"/>
  <c r="F460" i="3"/>
  <c r="L460" i="3"/>
  <c r="Z460" i="3"/>
  <c r="N460" i="3"/>
  <c r="P466" i="3"/>
  <c r="R466" i="3"/>
  <c r="Z466" i="3"/>
  <c r="M466" i="3"/>
  <c r="T466" i="3"/>
  <c r="G466" i="3"/>
  <c r="Q466" i="3"/>
  <c r="U466" i="3"/>
  <c r="L466" i="3"/>
  <c r="E466" i="3"/>
  <c r="N466" i="3"/>
  <c r="Y466" i="3"/>
  <c r="I466" i="3"/>
  <c r="F466" i="3"/>
  <c r="O466" i="3"/>
  <c r="W466" i="3"/>
  <c r="X466" i="3"/>
  <c r="S466" i="3"/>
  <c r="R320" i="3"/>
  <c r="M320" i="3"/>
  <c r="N320" i="3"/>
  <c r="Z320" i="3"/>
  <c r="L320" i="3"/>
  <c r="P320" i="3"/>
  <c r="S320" i="3"/>
  <c r="G320" i="3"/>
  <c r="Q320" i="3"/>
  <c r="Y320" i="3"/>
  <c r="T320" i="3"/>
  <c r="O320" i="3"/>
  <c r="W320" i="3"/>
  <c r="U320" i="3"/>
  <c r="X320" i="3"/>
  <c r="I320" i="3"/>
  <c r="E320" i="3"/>
  <c r="F320" i="3"/>
  <c r="M180" i="3"/>
  <c r="N180" i="3"/>
  <c r="P180" i="3"/>
  <c r="W180" i="3"/>
  <c r="U180" i="3"/>
  <c r="X180" i="3"/>
  <c r="T180" i="3"/>
  <c r="L180" i="3"/>
  <c r="E180" i="3"/>
  <c r="G180" i="3"/>
  <c r="S180" i="3"/>
  <c r="O180" i="3"/>
  <c r="Z180" i="3"/>
  <c r="Q180" i="3"/>
  <c r="R180" i="3"/>
  <c r="Y180" i="3"/>
  <c r="F180" i="3"/>
  <c r="I180" i="3"/>
  <c r="T182" i="3"/>
  <c r="N182" i="3"/>
  <c r="E182" i="3"/>
  <c r="S182" i="3"/>
  <c r="W182" i="3"/>
  <c r="P182" i="3"/>
  <c r="L182" i="3"/>
  <c r="O182" i="3"/>
  <c r="Y182" i="3"/>
  <c r="R182" i="3"/>
  <c r="G182" i="3"/>
  <c r="U182" i="3"/>
  <c r="X182" i="3"/>
  <c r="Q182" i="3"/>
  <c r="Z182" i="3"/>
  <c r="I182" i="3"/>
  <c r="F182" i="3"/>
  <c r="M182" i="3"/>
  <c r="W142" i="3"/>
  <c r="S142" i="3"/>
  <c r="P142" i="3"/>
  <c r="U142" i="3"/>
  <c r="T142" i="3"/>
  <c r="M142" i="3"/>
  <c r="R142" i="3"/>
  <c r="X142" i="3"/>
  <c r="E142" i="3"/>
  <c r="G142" i="3"/>
  <c r="F142" i="3"/>
  <c r="Q142" i="3"/>
  <c r="I142" i="3"/>
  <c r="O142" i="3"/>
  <c r="Y142" i="3"/>
  <c r="Z142" i="3"/>
  <c r="L142" i="3"/>
  <c r="N142" i="3"/>
  <c r="U101" i="3"/>
  <c r="Z101" i="3"/>
  <c r="G101" i="3"/>
  <c r="W101" i="3"/>
  <c r="S101" i="3"/>
  <c r="N101" i="3"/>
  <c r="Y101" i="3"/>
  <c r="R101" i="3"/>
  <c r="L101" i="3"/>
  <c r="O101" i="3"/>
  <c r="E101" i="3"/>
  <c r="T101" i="3"/>
  <c r="I101" i="3"/>
  <c r="M101" i="3"/>
  <c r="Q101" i="3"/>
  <c r="P101" i="3"/>
  <c r="F101" i="3"/>
  <c r="X101" i="3"/>
  <c r="P485" i="3"/>
  <c r="Y485" i="3"/>
  <c r="F485" i="3"/>
  <c r="L485" i="3"/>
  <c r="I485" i="3"/>
  <c r="N485" i="3"/>
  <c r="R485" i="3"/>
  <c r="X485" i="3"/>
  <c r="S485" i="3"/>
  <c r="Z485" i="3"/>
  <c r="Q485" i="3"/>
  <c r="T485" i="3"/>
  <c r="M485" i="3"/>
  <c r="O485" i="3"/>
  <c r="G485" i="3"/>
  <c r="E485" i="3"/>
  <c r="W485" i="3"/>
  <c r="U485" i="3"/>
  <c r="Q264" i="3"/>
  <c r="U264" i="3"/>
  <c r="E264" i="3"/>
  <c r="O264" i="3"/>
  <c r="Z264" i="3"/>
  <c r="P264" i="3"/>
  <c r="W264" i="3"/>
  <c r="I264" i="3"/>
  <c r="S264" i="3"/>
  <c r="R264" i="3"/>
  <c r="L264" i="3"/>
  <c r="G264" i="3"/>
  <c r="N264" i="3"/>
  <c r="F264" i="3"/>
  <c r="M264" i="3"/>
  <c r="Y264" i="3"/>
  <c r="T264" i="3"/>
  <c r="X264" i="3"/>
  <c r="Q316" i="3"/>
  <c r="Y316" i="3"/>
  <c r="I316" i="3"/>
  <c r="M316" i="3"/>
  <c r="X316" i="3"/>
  <c r="P316" i="3"/>
  <c r="O316" i="3"/>
  <c r="L316" i="3"/>
  <c r="F316" i="3"/>
  <c r="S316" i="3"/>
  <c r="Z316" i="3"/>
  <c r="N316" i="3"/>
  <c r="E316" i="3"/>
  <c r="R316" i="3"/>
  <c r="U316" i="3"/>
  <c r="T316" i="3"/>
  <c r="G316" i="3"/>
  <c r="W316" i="3"/>
  <c r="X336" i="3"/>
  <c r="N336" i="3"/>
  <c r="Z336" i="3"/>
  <c r="P336" i="3"/>
  <c r="I336" i="3"/>
  <c r="Q336" i="3"/>
  <c r="R336" i="3"/>
  <c r="E336" i="3"/>
  <c r="M336" i="3"/>
  <c r="U336" i="3"/>
  <c r="F336" i="3"/>
  <c r="O336" i="3"/>
  <c r="S336" i="3"/>
  <c r="Y336" i="3"/>
  <c r="L336" i="3"/>
  <c r="G336" i="3"/>
  <c r="W336" i="3"/>
  <c r="T336" i="3"/>
  <c r="W328" i="3"/>
  <c r="I328" i="3"/>
  <c r="X328" i="3"/>
  <c r="N328" i="3"/>
  <c r="U328" i="3"/>
  <c r="T328" i="3"/>
  <c r="E328" i="3"/>
  <c r="L328" i="3"/>
  <c r="O328" i="3"/>
  <c r="Z328" i="3"/>
  <c r="Y328" i="3"/>
  <c r="S328" i="3"/>
  <c r="F328" i="3"/>
  <c r="R328" i="3"/>
  <c r="P328" i="3"/>
  <c r="M328" i="3"/>
  <c r="G328" i="3"/>
  <c r="Q328" i="3"/>
  <c r="E342" i="3"/>
  <c r="O342" i="3"/>
  <c r="R342" i="3"/>
  <c r="F342" i="3"/>
  <c r="Y342" i="3"/>
  <c r="W342" i="3"/>
  <c r="S342" i="3"/>
  <c r="Z342" i="3"/>
  <c r="L342" i="3"/>
  <c r="U342" i="3"/>
  <c r="G342" i="3"/>
  <c r="M342" i="3"/>
  <c r="Q342" i="3"/>
  <c r="N342" i="3"/>
  <c r="P342" i="3"/>
  <c r="T342" i="3"/>
  <c r="X342" i="3"/>
  <c r="I342" i="3"/>
  <c r="Q263" i="3"/>
  <c r="Y263" i="3"/>
  <c r="I263" i="3"/>
  <c r="R263" i="3"/>
  <c r="S263" i="3"/>
  <c r="F263" i="3"/>
  <c r="P263" i="3"/>
  <c r="G263" i="3"/>
  <c r="N263" i="3"/>
  <c r="Z263" i="3"/>
  <c r="M263" i="3"/>
  <c r="U263" i="3"/>
  <c r="O263" i="3"/>
  <c r="W263" i="3"/>
  <c r="L263" i="3"/>
  <c r="T263" i="3"/>
  <c r="E263" i="3"/>
  <c r="X263" i="3"/>
  <c r="M301" i="3"/>
  <c r="I301" i="3"/>
  <c r="P301" i="3"/>
  <c r="F301" i="3"/>
  <c r="N301" i="3"/>
  <c r="E301" i="3"/>
  <c r="Z301" i="3"/>
  <c r="T301" i="3"/>
  <c r="L301" i="3"/>
  <c r="G301" i="3"/>
  <c r="R301" i="3"/>
  <c r="X301" i="3"/>
  <c r="O301" i="3"/>
  <c r="U301" i="3"/>
  <c r="Q301" i="3"/>
  <c r="W301" i="3"/>
  <c r="Y301" i="3"/>
  <c r="S301" i="3"/>
  <c r="E187" i="3"/>
  <c r="X187" i="3"/>
  <c r="M187" i="3"/>
  <c r="R187" i="3"/>
  <c r="U187" i="3"/>
  <c r="N187" i="3"/>
  <c r="O187" i="3"/>
  <c r="P187" i="3"/>
  <c r="W187" i="3"/>
  <c r="L187" i="3"/>
  <c r="Y187" i="3"/>
  <c r="G187" i="3"/>
  <c r="S187" i="3"/>
  <c r="T187" i="3"/>
  <c r="F187" i="3"/>
  <c r="Q187" i="3"/>
  <c r="I187" i="3"/>
  <c r="Z187" i="3"/>
  <c r="F367" i="3"/>
  <c r="E367" i="3"/>
  <c r="U367" i="3"/>
  <c r="S367" i="3"/>
  <c r="Z367" i="3"/>
  <c r="I367" i="3"/>
  <c r="M367" i="3"/>
  <c r="Y367" i="3"/>
  <c r="Q367" i="3"/>
  <c r="L367" i="3"/>
  <c r="W367" i="3"/>
  <c r="T367" i="3"/>
  <c r="G367" i="3"/>
  <c r="R367" i="3"/>
  <c r="N367" i="3"/>
  <c r="P367" i="3"/>
  <c r="X367" i="3"/>
  <c r="O367" i="3"/>
  <c r="X147" i="3"/>
  <c r="O147" i="3"/>
  <c r="T147" i="3"/>
  <c r="R147" i="3"/>
  <c r="I147" i="3"/>
  <c r="G147" i="3"/>
  <c r="S147" i="3"/>
  <c r="U147" i="3"/>
  <c r="W147" i="3"/>
  <c r="E147" i="3"/>
  <c r="Z147" i="3"/>
  <c r="P147" i="3"/>
  <c r="M147" i="3"/>
  <c r="N147" i="3"/>
  <c r="F147" i="3"/>
  <c r="L147" i="3"/>
  <c r="Y147" i="3"/>
  <c r="Q147" i="3"/>
  <c r="L326" i="3"/>
  <c r="P326" i="3"/>
  <c r="W326" i="3"/>
  <c r="O326" i="3"/>
  <c r="G326" i="3"/>
  <c r="M326" i="3"/>
  <c r="U326" i="3"/>
  <c r="T326" i="3"/>
  <c r="I326" i="3"/>
  <c r="Q326" i="3"/>
  <c r="Y326" i="3"/>
  <c r="N326" i="3"/>
  <c r="S326" i="3"/>
  <c r="F326" i="3"/>
  <c r="Z326" i="3"/>
  <c r="X326" i="3"/>
  <c r="R326" i="3"/>
  <c r="E326" i="3"/>
  <c r="O299" i="3"/>
  <c r="W299" i="3"/>
  <c r="Z299" i="3"/>
  <c r="T299" i="3"/>
  <c r="X299" i="3"/>
  <c r="Q299" i="3"/>
  <c r="F299" i="3"/>
  <c r="U299" i="3"/>
  <c r="P299" i="3"/>
  <c r="L299" i="3"/>
  <c r="E299" i="3"/>
  <c r="I299" i="3"/>
  <c r="M299" i="3"/>
  <c r="R299" i="3"/>
  <c r="N299" i="3"/>
  <c r="Y299" i="3"/>
  <c r="G299" i="3"/>
  <c r="S299" i="3"/>
  <c r="N495" i="3"/>
  <c r="Z495" i="3"/>
  <c r="I495" i="3"/>
  <c r="M495" i="3"/>
  <c r="L495" i="3"/>
  <c r="O495" i="3"/>
  <c r="W495" i="3"/>
  <c r="F495" i="3"/>
  <c r="X495" i="3"/>
  <c r="T495" i="3"/>
  <c r="S495" i="3"/>
  <c r="Q495" i="3"/>
  <c r="G495" i="3"/>
  <c r="R495" i="3"/>
  <c r="E495" i="3"/>
  <c r="P495" i="3"/>
  <c r="U495" i="3"/>
  <c r="Y495" i="3"/>
  <c r="G298" i="3"/>
  <c r="X298" i="3"/>
  <c r="Y298" i="3"/>
  <c r="T298" i="3"/>
  <c r="S298" i="3"/>
  <c r="E298" i="3"/>
  <c r="W298" i="3"/>
  <c r="O298" i="3"/>
  <c r="L298" i="3"/>
  <c r="N298" i="3"/>
  <c r="F298" i="3"/>
  <c r="U298" i="3"/>
  <c r="Z298" i="3"/>
  <c r="P298" i="3"/>
  <c r="I298" i="3"/>
  <c r="Q298" i="3"/>
  <c r="M298" i="3"/>
  <c r="R298" i="3"/>
  <c r="P8" i="3"/>
  <c r="Y8" i="3"/>
  <c r="F8" i="3"/>
  <c r="L8" i="3"/>
  <c r="N8" i="3"/>
  <c r="Z8" i="3"/>
  <c r="X8" i="3"/>
  <c r="O8" i="3"/>
  <c r="I8" i="3"/>
  <c r="M8" i="3"/>
  <c r="E8" i="3"/>
  <c r="W8" i="3"/>
  <c r="W449" i="3"/>
  <c r="X449" i="3"/>
  <c r="Z449" i="3"/>
  <c r="U449" i="3"/>
  <c r="E449" i="3"/>
  <c r="L449" i="3"/>
  <c r="Y449" i="3"/>
  <c r="N449" i="3"/>
  <c r="G449" i="3"/>
  <c r="Q449" i="3"/>
  <c r="T449" i="3"/>
  <c r="P449" i="3"/>
  <c r="S449" i="3"/>
  <c r="F449" i="3"/>
  <c r="O449" i="3"/>
  <c r="R449" i="3"/>
  <c r="I449" i="3"/>
  <c r="M449" i="3"/>
  <c r="M333" i="3"/>
  <c r="N333" i="3"/>
  <c r="F333" i="3"/>
  <c r="P333" i="3"/>
  <c r="U333" i="3"/>
  <c r="I333" i="3"/>
  <c r="L333" i="3"/>
  <c r="Q333" i="3"/>
  <c r="T333" i="3"/>
  <c r="R333" i="3"/>
  <c r="O333" i="3"/>
  <c r="W333" i="3"/>
  <c r="Z333" i="3"/>
  <c r="S333" i="3"/>
  <c r="X333" i="3"/>
  <c r="G333" i="3"/>
  <c r="E333" i="3"/>
  <c r="Y333" i="3"/>
  <c r="W260" i="3"/>
  <c r="I260" i="3"/>
  <c r="Z260" i="3"/>
  <c r="X260" i="3"/>
  <c r="G260" i="3"/>
  <c r="M260" i="3"/>
  <c r="O260" i="3"/>
  <c r="F260" i="3"/>
  <c r="R260" i="3"/>
  <c r="N260" i="3"/>
  <c r="L260" i="3"/>
  <c r="Y260" i="3"/>
  <c r="T260" i="3"/>
  <c r="S260" i="3"/>
  <c r="E260" i="3"/>
  <c r="Q260" i="3"/>
  <c r="P260" i="3"/>
  <c r="U260" i="3"/>
  <c r="E451" i="3"/>
  <c r="G451" i="3"/>
  <c r="M451" i="3"/>
  <c r="Q451" i="3"/>
  <c r="W451" i="3"/>
  <c r="Z451" i="3"/>
  <c r="L451" i="3"/>
  <c r="Y451" i="3"/>
  <c r="S451" i="3"/>
  <c r="O451" i="3"/>
  <c r="U451" i="3"/>
  <c r="P451" i="3"/>
  <c r="R451" i="3"/>
  <c r="I451" i="3"/>
  <c r="F451" i="3"/>
  <c r="X451" i="3"/>
  <c r="T451" i="3"/>
  <c r="N451" i="3"/>
  <c r="Y246" i="3"/>
  <c r="W246" i="3"/>
  <c r="Q246" i="3"/>
  <c r="I246" i="3"/>
  <c r="S246" i="3"/>
  <c r="M246" i="3"/>
  <c r="E246" i="3"/>
  <c r="N246" i="3"/>
  <c r="U246" i="3"/>
  <c r="F246" i="3"/>
  <c r="X246" i="3"/>
  <c r="T246" i="3"/>
  <c r="R246" i="3"/>
  <c r="O246" i="3"/>
  <c r="Z246" i="3"/>
  <c r="G246" i="3"/>
  <c r="P246" i="3"/>
  <c r="L246" i="3"/>
  <c r="W105" i="3"/>
  <c r="X105" i="3"/>
  <c r="Y105" i="3"/>
  <c r="E105" i="3"/>
  <c r="M105" i="3"/>
  <c r="O105" i="3"/>
  <c r="U105" i="3"/>
  <c r="G105" i="3"/>
  <c r="L105" i="3"/>
  <c r="Z105" i="3"/>
  <c r="N105" i="3"/>
  <c r="T105" i="3"/>
  <c r="R105" i="3"/>
  <c r="I105" i="3"/>
  <c r="P105" i="3"/>
  <c r="F105" i="3"/>
  <c r="S105" i="3"/>
  <c r="Q105" i="3"/>
  <c r="I106" i="3"/>
  <c r="R106" i="3"/>
  <c r="Q106" i="3"/>
  <c r="M106" i="3"/>
  <c r="E106" i="3"/>
  <c r="X106" i="3"/>
  <c r="O106" i="3"/>
  <c r="U106" i="3"/>
  <c r="S106" i="3"/>
  <c r="T106" i="3"/>
  <c r="Y106" i="3"/>
  <c r="L106" i="3"/>
  <c r="Z106" i="3"/>
  <c r="G106" i="3"/>
  <c r="N106" i="3"/>
  <c r="F106" i="3"/>
  <c r="W106" i="3"/>
  <c r="P106" i="3"/>
  <c r="L443" i="3"/>
  <c r="W443" i="3"/>
  <c r="Y443" i="3"/>
  <c r="S443" i="3"/>
  <c r="U443" i="3"/>
  <c r="O443" i="3"/>
  <c r="G443" i="3"/>
  <c r="N443" i="3"/>
  <c r="T443" i="3"/>
  <c r="I443" i="3"/>
  <c r="R443" i="3"/>
  <c r="E443" i="3"/>
  <c r="M443" i="3"/>
  <c r="F443" i="3"/>
  <c r="Q443" i="3"/>
  <c r="X443" i="3"/>
  <c r="Z443" i="3"/>
  <c r="P443" i="3"/>
  <c r="P276" i="3"/>
  <c r="X276" i="3"/>
  <c r="T276" i="3"/>
  <c r="Z276" i="3"/>
  <c r="L276" i="3"/>
  <c r="U276" i="3"/>
  <c r="W276" i="3"/>
  <c r="S276" i="3"/>
  <c r="E276" i="3"/>
  <c r="N276" i="3"/>
  <c r="O276" i="3"/>
  <c r="Q276" i="3"/>
  <c r="I276" i="3"/>
  <c r="G276" i="3"/>
  <c r="R276" i="3"/>
  <c r="F276" i="3"/>
  <c r="Y276" i="3"/>
  <c r="M276" i="3"/>
  <c r="W437" i="3"/>
  <c r="F437" i="3"/>
  <c r="S437" i="3"/>
  <c r="P437" i="3"/>
  <c r="U437" i="3"/>
  <c r="N437" i="3"/>
  <c r="O437" i="3"/>
  <c r="T437" i="3"/>
  <c r="R437" i="3"/>
  <c r="G437" i="3"/>
  <c r="I437" i="3"/>
  <c r="M437" i="3"/>
  <c r="E437" i="3"/>
  <c r="L437" i="3"/>
  <c r="X437" i="3"/>
  <c r="Q437" i="3"/>
  <c r="Y437" i="3"/>
  <c r="Z437" i="3"/>
  <c r="Y249" i="3"/>
  <c r="P249" i="3"/>
  <c r="L249" i="3"/>
  <c r="Q249" i="3"/>
  <c r="X249" i="3"/>
  <c r="T249" i="3"/>
  <c r="U249" i="3"/>
  <c r="G249" i="3"/>
  <c r="W249" i="3"/>
  <c r="R249" i="3"/>
  <c r="N249" i="3"/>
  <c r="M249" i="3"/>
  <c r="E249" i="3"/>
  <c r="Z249" i="3"/>
  <c r="S249" i="3"/>
  <c r="I249" i="3"/>
  <c r="O249" i="3"/>
  <c r="F249" i="3"/>
  <c r="E171" i="3"/>
  <c r="G171" i="3"/>
  <c r="S171" i="3"/>
  <c r="L171" i="3"/>
  <c r="Y171" i="3"/>
  <c r="R171" i="3"/>
  <c r="I171" i="3"/>
  <c r="O171" i="3"/>
  <c r="X171" i="3"/>
  <c r="P171" i="3"/>
  <c r="F171" i="3"/>
  <c r="U171" i="3"/>
  <c r="Q171" i="3"/>
  <c r="W171" i="3"/>
  <c r="Z171" i="3"/>
  <c r="T171" i="3"/>
  <c r="M171" i="3"/>
  <c r="N171" i="3"/>
  <c r="P117" i="3"/>
  <c r="M117" i="3"/>
  <c r="T117" i="3"/>
  <c r="W117" i="3"/>
  <c r="F117" i="3"/>
  <c r="X117" i="3"/>
  <c r="Y117" i="3"/>
  <c r="N117" i="3"/>
  <c r="Q117" i="3"/>
  <c r="L117" i="3"/>
  <c r="S117" i="3"/>
  <c r="E117" i="3"/>
  <c r="U117" i="3"/>
  <c r="Z117" i="3"/>
  <c r="I117" i="3"/>
  <c r="R117" i="3"/>
  <c r="G117" i="3"/>
  <c r="O117" i="3"/>
  <c r="Z10" i="3" l="1"/>
  <c r="X7" i="3"/>
  <c r="Y7" i="3"/>
  <c r="P7" i="3"/>
  <c r="M10" i="3"/>
  <c r="I7" i="3"/>
  <c r="J11" i="3"/>
  <c r="F11" i="3"/>
  <c r="L10" i="3"/>
  <c r="E7" i="3"/>
  <c r="M7" i="3"/>
  <c r="O7" i="3"/>
  <c r="L7" i="3"/>
  <c r="Z7" i="3"/>
  <c r="N7" i="3"/>
  <c r="I10" i="3"/>
  <c r="W7" i="3"/>
  <c r="X11" i="3"/>
  <c r="O11" i="3"/>
  <c r="P10" i="3"/>
  <c r="X10" i="3"/>
  <c r="F7" i="3"/>
  <c r="E11" i="3"/>
  <c r="Y11" i="3"/>
  <c r="X12" i="3"/>
  <c r="M14" i="3"/>
  <c r="Z11" i="3"/>
  <c r="L11" i="3"/>
  <c r="P11" i="3"/>
  <c r="W10" i="3"/>
  <c r="N11" i="3"/>
  <c r="M11" i="3"/>
  <c r="F10" i="3"/>
  <c r="Y12" i="3"/>
  <c r="J18" i="3"/>
  <c r="J7" i="3"/>
  <c r="L18" i="3"/>
  <c r="Z18" i="3"/>
  <c r="P12" i="3"/>
  <c r="O12" i="3"/>
  <c r="I17" i="3"/>
  <c r="M17" i="3"/>
  <c r="Z15" i="3"/>
  <c r="N15" i="3"/>
  <c r="W18" i="3"/>
  <c r="J8" i="3"/>
  <c r="O18" i="3"/>
  <c r="L14" i="3"/>
  <c r="F18" i="3"/>
  <c r="I14" i="3"/>
  <c r="W17" i="3"/>
  <c r="Y18" i="3"/>
  <c r="H18" i="3" s="1"/>
  <c r="X14" i="3"/>
  <c r="X13" i="3"/>
  <c r="J13" i="3"/>
  <c r="J17" i="3"/>
  <c r="N14" i="3"/>
  <c r="J15" i="3"/>
  <c r="E12" i="3"/>
  <c r="N16" i="3"/>
  <c r="T16" i="3" s="1"/>
  <c r="F12" i="3"/>
  <c r="X17" i="3"/>
  <c r="W12" i="3"/>
  <c r="W11" i="3"/>
  <c r="L17" i="3"/>
  <c r="L12" i="3"/>
  <c r="O13" i="3"/>
  <c r="I16" i="3"/>
  <c r="O17" i="3"/>
  <c r="Y14" i="3"/>
  <c r="I13" i="3"/>
  <c r="N10" i="3"/>
  <c r="F17" i="3"/>
  <c r="Z12" i="3"/>
  <c r="E14" i="3"/>
  <c r="E13" i="3"/>
  <c r="X15" i="3"/>
  <c r="J12" i="3"/>
  <c r="J10" i="3"/>
  <c r="P17" i="3"/>
  <c r="O14" i="3"/>
  <c r="W13" i="3"/>
  <c r="E16" i="3"/>
  <c r="Y10" i="3"/>
  <c r="H10" i="3" s="1"/>
  <c r="E17" i="3"/>
  <c r="M12" i="3"/>
  <c r="F14" i="3"/>
  <c r="Z13" i="3"/>
  <c r="E15" i="3"/>
  <c r="P16" i="3"/>
  <c r="N13" i="3"/>
  <c r="Y17" i="3"/>
  <c r="Z17" i="3"/>
  <c r="I12" i="3"/>
  <c r="Z14" i="3"/>
  <c r="H14" i="3" s="1"/>
  <c r="I11" i="3"/>
  <c r="W14" i="3"/>
  <c r="E10" i="3"/>
  <c r="O10" i="3"/>
  <c r="N17" i="3"/>
  <c r="N12" i="3"/>
  <c r="P14" i="3"/>
  <c r="F15" i="3"/>
  <c r="I18" i="3"/>
  <c r="P15" i="3"/>
  <c r="T15" i="3" s="1"/>
  <c r="M18" i="3"/>
  <c r="Y13" i="3"/>
  <c r="W15" i="3"/>
  <c r="G15" i="3" s="1"/>
  <c r="Y15" i="3"/>
  <c r="H15" i="3" s="1"/>
  <c r="E18" i="3"/>
  <c r="F13" i="3"/>
  <c r="L15" i="3"/>
  <c r="F16" i="3"/>
  <c r="T8" i="3"/>
  <c r="N18" i="3"/>
  <c r="M13" i="3"/>
  <c r="O15" i="3"/>
  <c r="M16" i="3"/>
  <c r="J16" i="3"/>
  <c r="O16" i="3"/>
  <c r="W16" i="3"/>
  <c r="X18" i="3"/>
  <c r="L13" i="3"/>
  <c r="I15" i="3"/>
  <c r="L16" i="3"/>
  <c r="Z16" i="3"/>
  <c r="P18" i="3"/>
  <c r="P13" i="3"/>
  <c r="M15" i="3"/>
  <c r="X16" i="3"/>
  <c r="J14" i="3"/>
  <c r="H8" i="3"/>
  <c r="G8" i="3"/>
  <c r="Y16" i="3"/>
  <c r="H6" i="3"/>
  <c r="G6" i="3"/>
  <c r="T22" i="3"/>
  <c r="T6" i="3"/>
  <c r="M19" i="3"/>
  <c r="J19" i="3"/>
  <c r="J26" i="3"/>
  <c r="Z21" i="3"/>
  <c r="J21" i="3"/>
  <c r="E25" i="3"/>
  <c r="J25" i="3"/>
  <c r="J24" i="3"/>
  <c r="L20" i="3"/>
  <c r="J20" i="3"/>
  <c r="T5" i="3"/>
  <c r="G5" i="3"/>
  <c r="H5" i="3"/>
  <c r="F19" i="3"/>
  <c r="E19" i="3"/>
  <c r="P19" i="3"/>
  <c r="T9" i="3"/>
  <c r="W19" i="3"/>
  <c r="W21" i="3"/>
  <c r="O21" i="3"/>
  <c r="Z19" i="3"/>
  <c r="N19" i="3"/>
  <c r="F20" i="3"/>
  <c r="I20" i="3"/>
  <c r="I19" i="3"/>
  <c r="L19" i="3"/>
  <c r="O19" i="3"/>
  <c r="Y20" i="3"/>
  <c r="Y19" i="3"/>
  <c r="F25" i="3"/>
  <c r="Z25" i="3"/>
  <c r="P25" i="3"/>
  <c r="M25" i="3"/>
  <c r="N20" i="3"/>
  <c r="Y25" i="3"/>
  <c r="O25" i="3"/>
  <c r="M20" i="3"/>
  <c r="X19" i="3"/>
  <c r="X21" i="3"/>
  <c r="W25" i="3"/>
  <c r="I21" i="3"/>
  <c r="P21" i="3"/>
  <c r="N21" i="3"/>
  <c r="X25" i="3"/>
  <c r="Y21" i="3"/>
  <c r="F21" i="3"/>
  <c r="N25" i="3"/>
  <c r="M21" i="3"/>
  <c r="L25" i="3"/>
  <c r="E21" i="3"/>
  <c r="L21" i="3"/>
  <c r="I25" i="3"/>
  <c r="X20" i="3"/>
  <c r="W20" i="3"/>
  <c r="E20" i="3"/>
  <c r="O20" i="3"/>
  <c r="P20" i="3"/>
  <c r="Z20" i="3"/>
  <c r="I26" i="3"/>
  <c r="Z26" i="3"/>
  <c r="Y26" i="3"/>
  <c r="E26" i="3"/>
  <c r="X26" i="3"/>
  <c r="M26" i="3"/>
  <c r="P26" i="3"/>
  <c r="N26" i="3"/>
  <c r="W26" i="3"/>
  <c r="F26" i="3"/>
  <c r="L26" i="3"/>
  <c r="O26" i="3"/>
  <c r="M24" i="3"/>
  <c r="F24" i="3"/>
  <c r="L24" i="3"/>
  <c r="P24" i="3"/>
  <c r="W24" i="3"/>
  <c r="N24" i="3"/>
  <c r="E24" i="3"/>
  <c r="X24" i="3"/>
  <c r="O24" i="3"/>
  <c r="Z24" i="3"/>
  <c r="I24" i="3"/>
  <c r="Y24" i="3"/>
  <c r="E4" i="5"/>
  <c r="G4" i="5" s="1"/>
  <c r="B5" i="5"/>
  <c r="G9" i="3"/>
  <c r="H9" i="3"/>
  <c r="G4" i="3"/>
  <c r="T4" i="3"/>
  <c r="H4" i="3"/>
  <c r="G7" i="3" l="1"/>
  <c r="G13" i="3"/>
  <c r="H13" i="3"/>
  <c r="H7" i="3"/>
  <c r="G10" i="3"/>
  <c r="T7" i="3"/>
  <c r="G11" i="3"/>
  <c r="T10" i="3"/>
  <c r="T11" i="3"/>
  <c r="G16" i="3"/>
  <c r="H11" i="3"/>
  <c r="G14" i="3"/>
  <c r="T14" i="3"/>
  <c r="H12" i="3"/>
  <c r="T17" i="3"/>
  <c r="G18" i="3"/>
  <c r="H16" i="3"/>
  <c r="G17" i="3"/>
  <c r="T12" i="3"/>
  <c r="T18" i="3"/>
  <c r="H17" i="3"/>
  <c r="G12" i="3"/>
  <c r="T13" i="3"/>
  <c r="H21" i="3"/>
  <c r="H26" i="3"/>
  <c r="G19" i="3"/>
  <c r="G21" i="3"/>
  <c r="T19" i="3"/>
  <c r="H25" i="3"/>
  <c r="T20" i="3"/>
  <c r="H19" i="3"/>
  <c r="H20" i="3"/>
  <c r="T25" i="3"/>
  <c r="G26" i="3"/>
  <c r="G20" i="3"/>
  <c r="H24" i="3"/>
  <c r="T21" i="3"/>
  <c r="G25" i="3"/>
  <c r="G24" i="3"/>
  <c r="T26" i="3"/>
  <c r="T24" i="3"/>
  <c r="E5" i="5"/>
  <c r="G5" i="5" s="1"/>
  <c r="B6" i="5"/>
  <c r="E6" i="5" l="1"/>
  <c r="G6" i="5" s="1"/>
  <c r="B7" i="5"/>
  <c r="E7" i="5" s="1"/>
  <c r="G7" i="5" s="1"/>
  <c r="B8" i="5" l="1"/>
  <c r="E8" i="5" s="1"/>
  <c r="G8" i="5" s="1"/>
  <c r="B9" i="5" l="1"/>
  <c r="E9" i="5" s="1"/>
  <c r="G9" i="5" s="1"/>
  <c r="B10" i="5" l="1"/>
  <c r="B11" i="5" s="1"/>
  <c r="E11" i="5" s="1"/>
  <c r="G11" i="5" s="1"/>
  <c r="E10" i="5" l="1"/>
  <c r="G10" i="5" s="1"/>
  <c r="B12" i="5"/>
  <c r="E12" i="5" l="1"/>
  <c r="G12" i="5" s="1"/>
  <c r="B13" i="5"/>
  <c r="E13" i="5" l="1"/>
  <c r="G13" i="5" s="1"/>
  <c r="B14" i="5"/>
  <c r="E14" i="5" l="1"/>
  <c r="G14" i="5" s="1"/>
  <c r="B15" i="5"/>
  <c r="E15" i="5" l="1"/>
  <c r="G15" i="5" s="1"/>
  <c r="B16" i="5"/>
  <c r="E16" i="5" l="1"/>
  <c r="G16" i="5" s="1"/>
  <c r="B17" i="5"/>
  <c r="E17" i="5" l="1"/>
  <c r="G17" i="5" s="1"/>
  <c r="B18" i="5"/>
  <c r="E18" i="5" l="1"/>
  <c r="G18" i="5" s="1"/>
  <c r="B19" i="5"/>
  <c r="E19" i="5" l="1"/>
  <c r="B20" i="5"/>
  <c r="G19" i="5" l="1"/>
  <c r="E20" i="5"/>
  <c r="B21" i="5"/>
  <c r="G20" i="5" l="1"/>
  <c r="E21" i="5"/>
  <c r="B22" i="5"/>
  <c r="G21" i="5" l="1"/>
  <c r="R19" i="3"/>
  <c r="E22" i="5"/>
  <c r="G22" i="5" s="1"/>
  <c r="B23" i="5"/>
  <c r="U19" i="3" l="1"/>
  <c r="S19" i="3"/>
  <c r="Q19" i="3" s="1"/>
  <c r="E23" i="5"/>
  <c r="R4" i="3" s="1"/>
  <c r="B24" i="5"/>
  <c r="S4" i="3" l="1"/>
  <c r="Q4" i="3" s="1"/>
  <c r="G23" i="5"/>
  <c r="U4" i="3" s="1"/>
  <c r="E24" i="5"/>
  <c r="R15" i="3" s="1"/>
  <c r="B25" i="5"/>
  <c r="R18" i="3" l="1"/>
  <c r="R22" i="3"/>
  <c r="G24" i="5"/>
  <c r="U15" i="3" s="1"/>
  <c r="R11" i="3"/>
  <c r="R6" i="3"/>
  <c r="R26" i="3"/>
  <c r="S15" i="3"/>
  <c r="Q15" i="3" s="1"/>
  <c r="E25" i="5"/>
  <c r="G25" i="5" s="1"/>
  <c r="B26" i="5"/>
  <c r="U22" i="3" l="1"/>
  <c r="S22" i="3"/>
  <c r="Q22" i="3" s="1"/>
  <c r="U18" i="3"/>
  <c r="S18" i="3"/>
  <c r="Q18" i="3" s="1"/>
  <c r="U26" i="3"/>
  <c r="S26" i="3"/>
  <c r="Q26" i="3" s="1"/>
  <c r="U6" i="3"/>
  <c r="S6" i="3"/>
  <c r="Q6" i="3" s="1"/>
  <c r="S11" i="3"/>
  <c r="Q11" i="3" s="1"/>
  <c r="U11" i="3"/>
  <c r="E26" i="5"/>
  <c r="B27" i="5"/>
  <c r="G26" i="5" l="1"/>
  <c r="R14" i="3"/>
  <c r="E27" i="5"/>
  <c r="B28" i="5"/>
  <c r="U14" i="3" l="1"/>
  <c r="S14" i="3"/>
  <c r="Q14" i="3" s="1"/>
  <c r="R7" i="3"/>
  <c r="U7" i="3" s="1"/>
  <c r="R5" i="3"/>
  <c r="R9" i="3"/>
  <c r="S9" i="3" s="1"/>
  <c r="Q9" i="3" s="1"/>
  <c r="G27" i="5"/>
  <c r="R10" i="3"/>
  <c r="E28" i="5"/>
  <c r="G28" i="5" s="1"/>
  <c r="B29" i="5"/>
  <c r="S7" i="3" l="1"/>
  <c r="Q7" i="3" s="1"/>
  <c r="U5" i="3"/>
  <c r="S5" i="3"/>
  <c r="Q5" i="3" s="1"/>
  <c r="U9" i="3"/>
  <c r="S10" i="3"/>
  <c r="Q10" i="3" s="1"/>
  <c r="U10" i="3"/>
  <c r="E29" i="5"/>
  <c r="R13" i="3" s="1"/>
  <c r="B30" i="5"/>
  <c r="E30" i="5" s="1"/>
  <c r="R12" i="3" l="1"/>
  <c r="S12" i="3" s="1"/>
  <c r="Q12" i="3" s="1"/>
  <c r="R8" i="3"/>
  <c r="S13" i="3"/>
  <c r="Q13" i="3" s="1"/>
  <c r="R21" i="3"/>
  <c r="S21" i="3" s="1"/>
  <c r="Q21" i="3" s="1"/>
  <c r="R17" i="3"/>
  <c r="R20" i="3"/>
  <c r="R16" i="3"/>
  <c r="S20" i="3"/>
  <c r="Q20" i="3" s="1"/>
  <c r="G30" i="5"/>
  <c r="U20" i="3" s="1"/>
  <c r="R24" i="3"/>
  <c r="G29" i="5"/>
  <c r="R25" i="3"/>
  <c r="U21" i="3" l="1"/>
  <c r="S8" i="3"/>
  <c r="Q8" i="3" s="1"/>
  <c r="U8" i="3"/>
  <c r="U13" i="3"/>
  <c r="U12" i="3"/>
  <c r="U16" i="3"/>
  <c r="S16" i="3"/>
  <c r="Q16" i="3" s="1"/>
  <c r="S17" i="3"/>
  <c r="Q17" i="3" s="1"/>
  <c r="U17" i="3"/>
  <c r="U25" i="3"/>
  <c r="S25" i="3"/>
  <c r="Q25" i="3" s="1"/>
  <c r="U24" i="3"/>
  <c r="S24" i="3"/>
  <c r="Q24" i="3" s="1"/>
  <c r="E29" i="1" l="1"/>
</calcChain>
</file>

<file path=xl/sharedStrings.xml><?xml version="1.0" encoding="utf-8"?>
<sst xmlns="http://schemas.openxmlformats.org/spreadsheetml/2006/main" count="505" uniqueCount="363">
  <si>
    <t>申込責任者</t>
    <rPh sb="0" eb="2">
      <t>モウシコミ</t>
    </rPh>
    <rPh sb="2" eb="5">
      <t>セキニンシャ</t>
    </rPh>
    <phoneticPr fontId="1"/>
  </si>
  <si>
    <t>氏名</t>
    <rPh sb="0" eb="2">
      <t>シメイ</t>
    </rPh>
    <phoneticPr fontId="1"/>
  </si>
  <si>
    <t>引率者</t>
    <rPh sb="0" eb="3">
      <t>インソツシャ</t>
    </rPh>
    <phoneticPr fontId="1"/>
  </si>
  <si>
    <t>氏名１</t>
    <rPh sb="0" eb="2">
      <t>シメイ</t>
    </rPh>
    <phoneticPr fontId="1"/>
  </si>
  <si>
    <t>氏名２</t>
    <rPh sb="0" eb="2">
      <t>シメイ</t>
    </rPh>
    <phoneticPr fontId="1"/>
  </si>
  <si>
    <t>氏名３</t>
    <rPh sb="0" eb="2">
      <t>シメイ</t>
    </rPh>
    <phoneticPr fontId="1"/>
  </si>
  <si>
    <t>性別</t>
    <rPh sb="0" eb="2">
      <t>セイベツ</t>
    </rPh>
    <phoneticPr fontId="1"/>
  </si>
  <si>
    <t>No.</t>
    <phoneticPr fontId="1"/>
  </si>
  <si>
    <t>カナ名</t>
    <rPh sb="2" eb="3">
      <t>メイ</t>
    </rPh>
    <phoneticPr fontId="1"/>
  </si>
  <si>
    <t>学年</t>
    <rPh sb="0" eb="2">
      <t>ガクネン</t>
    </rPh>
    <phoneticPr fontId="1"/>
  </si>
  <si>
    <t>名</t>
    <rPh sb="0" eb="1">
      <t>メイ</t>
    </rPh>
    <phoneticPr fontId="1"/>
  </si>
  <si>
    <t>正式名称</t>
    <rPh sb="0" eb="2">
      <t>セイシキ</t>
    </rPh>
    <rPh sb="2" eb="4">
      <t>メイショウ</t>
    </rPh>
    <phoneticPr fontId="1"/>
  </si>
  <si>
    <t>所属</t>
    <rPh sb="0" eb="2">
      <t>ショゾク</t>
    </rPh>
    <phoneticPr fontId="1"/>
  </si>
  <si>
    <t>登録番号</t>
    <rPh sb="0" eb="2">
      <t>トウロク</t>
    </rPh>
    <rPh sb="2" eb="4">
      <t>バンゴウ</t>
    </rPh>
    <phoneticPr fontId="1"/>
  </si>
  <si>
    <t>出場種目(3)</t>
    <rPh sb="0" eb="2">
      <t>シュツジョウ</t>
    </rPh>
    <rPh sb="2" eb="4">
      <t>シュモク</t>
    </rPh>
    <phoneticPr fontId="1"/>
  </si>
  <si>
    <t>参考記録(3)</t>
    <rPh sb="0" eb="2">
      <t>サンコウ</t>
    </rPh>
    <rPh sb="2" eb="4">
      <t>キロク</t>
    </rPh>
    <phoneticPr fontId="1"/>
  </si>
  <si>
    <t>エントリー備考(3)</t>
    <rPh sb="5" eb="7">
      <t>ビコウ</t>
    </rPh>
    <phoneticPr fontId="1"/>
  </si>
  <si>
    <t>出場種目(4)</t>
    <rPh sb="0" eb="2">
      <t>シュツジョウ</t>
    </rPh>
    <rPh sb="2" eb="4">
      <t>シュモク</t>
    </rPh>
    <phoneticPr fontId="1"/>
  </si>
  <si>
    <t>参考記録(4)</t>
    <rPh sb="0" eb="2">
      <t>サンコウ</t>
    </rPh>
    <rPh sb="2" eb="4">
      <t>キロク</t>
    </rPh>
    <phoneticPr fontId="1"/>
  </si>
  <si>
    <t>エントリー備考(4)</t>
    <rPh sb="5" eb="7">
      <t>ビコウ</t>
    </rPh>
    <phoneticPr fontId="1"/>
  </si>
  <si>
    <t>出場種目(5)</t>
    <rPh sb="0" eb="2">
      <t>シュツジョウ</t>
    </rPh>
    <rPh sb="2" eb="4">
      <t>シュモク</t>
    </rPh>
    <phoneticPr fontId="1"/>
  </si>
  <si>
    <t>参考記録(5)</t>
    <rPh sb="0" eb="2">
      <t>サンコウ</t>
    </rPh>
    <rPh sb="2" eb="4">
      <t>キロク</t>
    </rPh>
    <phoneticPr fontId="1"/>
  </si>
  <si>
    <t>エントリー備考(5)</t>
    <rPh sb="5" eb="7">
      <t>ビコウ</t>
    </rPh>
    <phoneticPr fontId="1"/>
  </si>
  <si>
    <t>姓</t>
    <rPh sb="0" eb="1">
      <t>セイ</t>
    </rPh>
    <phoneticPr fontId="1"/>
  </si>
  <si>
    <t>カナ姓</t>
    <rPh sb="2" eb="3">
      <t>セイ</t>
    </rPh>
    <phoneticPr fontId="1"/>
  </si>
  <si>
    <t>エントリー種目数</t>
    <rPh sb="5" eb="7">
      <t>シュモク</t>
    </rPh>
    <rPh sb="7" eb="8">
      <t>スウ</t>
    </rPh>
    <phoneticPr fontId="1"/>
  </si>
  <si>
    <t>申込日</t>
    <rPh sb="0" eb="3">
      <t>モウシコミビ</t>
    </rPh>
    <phoneticPr fontId="1"/>
  </si>
  <si>
    <t>連絡先（代表連絡先）</t>
    <rPh sb="0" eb="3">
      <t>レンラクサキ</t>
    </rPh>
    <rPh sb="4" eb="6">
      <t>ダイヒョウ</t>
    </rPh>
    <rPh sb="6" eb="9">
      <t>レンラクサキ</t>
    </rPh>
    <phoneticPr fontId="1"/>
  </si>
  <si>
    <t>本大会で登録した選手の個人情報並びに、選手を撮影した映像や画像等を本大会の要項記載の通り取り扱うことを承諾のうえ申し込みいたします。</t>
    <rPh sb="0" eb="3">
      <t>ホンタイカイ</t>
    </rPh>
    <rPh sb="4" eb="6">
      <t>トウロク</t>
    </rPh>
    <rPh sb="8" eb="10">
      <t>センシュ</t>
    </rPh>
    <rPh sb="11" eb="13">
      <t>コジン</t>
    </rPh>
    <rPh sb="13" eb="15">
      <t>ジョウホウ</t>
    </rPh>
    <rPh sb="15" eb="16">
      <t>ナラ</t>
    </rPh>
    <rPh sb="19" eb="21">
      <t>センシュ</t>
    </rPh>
    <rPh sb="22" eb="24">
      <t>サツエイ</t>
    </rPh>
    <rPh sb="26" eb="28">
      <t>エイゾウ</t>
    </rPh>
    <rPh sb="29" eb="31">
      <t>ガゾウ</t>
    </rPh>
    <rPh sb="31" eb="32">
      <t>トウ</t>
    </rPh>
    <rPh sb="33" eb="36">
      <t>ホンタイカイ</t>
    </rPh>
    <rPh sb="37" eb="39">
      <t>ヨウコウ</t>
    </rPh>
    <rPh sb="39" eb="41">
      <t>キサイ</t>
    </rPh>
    <rPh sb="42" eb="43">
      <t>トオ</t>
    </rPh>
    <rPh sb="44" eb="45">
      <t>ト</t>
    </rPh>
    <rPh sb="46" eb="47">
      <t>アツカ</t>
    </rPh>
    <rPh sb="51" eb="53">
      <t>ショウダク</t>
    </rPh>
    <rPh sb="56" eb="57">
      <t>モウ</t>
    </rPh>
    <rPh sb="58" eb="59">
      <t>コ</t>
    </rPh>
    <phoneticPr fontId="1"/>
  </si>
  <si>
    <t>種目</t>
    <rPh sb="0" eb="2">
      <t>シュモク</t>
    </rPh>
    <phoneticPr fontId="1"/>
  </si>
  <si>
    <t>★</t>
    <phoneticPr fontId="1"/>
  </si>
  <si>
    <t>競技者名</t>
    <rPh sb="0" eb="2">
      <t>キョウギ</t>
    </rPh>
    <rPh sb="2" eb="3">
      <t>シャ</t>
    </rPh>
    <rPh sb="3" eb="4">
      <t>メイ</t>
    </rPh>
    <phoneticPr fontId="1"/>
  </si>
  <si>
    <t>競技者カナ名</t>
    <rPh sb="0" eb="3">
      <t>キョウギシャ</t>
    </rPh>
    <rPh sb="5" eb="6">
      <t>メイ</t>
    </rPh>
    <phoneticPr fontId="1"/>
  </si>
  <si>
    <t>出場種目</t>
    <rPh sb="0" eb="2">
      <t>シュツジョウ</t>
    </rPh>
    <rPh sb="2" eb="4">
      <t>シュモク</t>
    </rPh>
    <phoneticPr fontId="1"/>
  </si>
  <si>
    <t>参考記録</t>
    <rPh sb="0" eb="2">
      <t>サンコウ</t>
    </rPh>
    <rPh sb="2" eb="4">
      <t>キロク</t>
    </rPh>
    <phoneticPr fontId="1"/>
  </si>
  <si>
    <t>エントリー備考</t>
    <rPh sb="5" eb="7">
      <t>ビコウ</t>
    </rPh>
    <phoneticPr fontId="1"/>
  </si>
  <si>
    <t>参加申込書</t>
    <rPh sb="0" eb="2">
      <t>サンカ</t>
    </rPh>
    <rPh sb="2" eb="5">
      <t>モウシコミショ</t>
    </rPh>
    <phoneticPr fontId="1"/>
  </si>
  <si>
    <t>【申込について】</t>
    <rPh sb="1" eb="3">
      <t>モウシコミ</t>
    </rPh>
    <phoneticPr fontId="1"/>
  </si>
  <si>
    <t>・ このファイルをそのままメールにて送付すること。</t>
    <rPh sb="18" eb="20">
      <t>ソウフ</t>
    </rPh>
    <phoneticPr fontId="1"/>
  </si>
  <si>
    <t>・ 参加選手については「(2)出場選手」シートに記載すること。</t>
    <rPh sb="2" eb="4">
      <t>サンカ</t>
    </rPh>
    <rPh sb="4" eb="6">
      <t>センシュ</t>
    </rPh>
    <rPh sb="15" eb="17">
      <t>シュツジョウ</t>
    </rPh>
    <rPh sb="17" eb="19">
      <t>センシュ</t>
    </rPh>
    <rPh sb="24" eb="26">
      <t>キサイ</t>
    </rPh>
    <phoneticPr fontId="1"/>
  </si>
  <si>
    <t>名簿No.</t>
    <rPh sb="0" eb="2">
      <t>メイボ</t>
    </rPh>
    <phoneticPr fontId="1"/>
  </si>
  <si>
    <t>*</t>
    <phoneticPr fontId="1"/>
  </si>
  <si>
    <t>▲▲▲▲ 表に収まりきらない場合は、これより上の行をコピーして複製すること。▲▲▲▲</t>
    <rPh sb="5" eb="6">
      <t>ヒョウ</t>
    </rPh>
    <rPh sb="7" eb="8">
      <t>オサ</t>
    </rPh>
    <rPh sb="14" eb="16">
      <t>バアイ</t>
    </rPh>
    <rPh sb="22" eb="23">
      <t>ウエ</t>
    </rPh>
    <rPh sb="24" eb="25">
      <t>ギョウ</t>
    </rPh>
    <rPh sb="31" eb="33">
      <t>フクセイ</t>
    </rPh>
    <phoneticPr fontId="1"/>
  </si>
  <si>
    <t>（競技会名）</t>
    <rPh sb="1" eb="4">
      <t>キョウギカイ</t>
    </rPh>
    <rPh sb="4" eb="5">
      <t>メイ</t>
    </rPh>
    <phoneticPr fontId="1"/>
  </si>
  <si>
    <t>登録陸協</t>
    <rPh sb="0" eb="2">
      <t>トウロク</t>
    </rPh>
    <rPh sb="2" eb="4">
      <t>リクキョウ</t>
    </rPh>
    <phoneticPr fontId="1"/>
  </si>
  <si>
    <t>都道府県</t>
    <rPh sb="0" eb="4">
      <t>トドウフケン</t>
    </rPh>
    <phoneticPr fontId="1"/>
  </si>
  <si>
    <t>広島県</t>
    <rPh sb="0" eb="1">
      <t>ヒロ</t>
    </rPh>
    <rPh sb="1" eb="2">
      <t>シマ</t>
    </rPh>
    <rPh sb="2" eb="3">
      <t>ケン</t>
    </rPh>
    <phoneticPr fontId="2"/>
  </si>
  <si>
    <t>鳥取県</t>
    <rPh sb="0" eb="1">
      <t>トリ</t>
    </rPh>
    <rPh sb="1" eb="2">
      <t>トリ</t>
    </rPh>
    <rPh sb="2" eb="3">
      <t>ケン</t>
    </rPh>
    <phoneticPr fontId="2"/>
  </si>
  <si>
    <t>島根県</t>
    <rPh sb="0" eb="1">
      <t>シマ</t>
    </rPh>
    <rPh sb="1" eb="2">
      <t>ネ</t>
    </rPh>
    <rPh sb="2" eb="3">
      <t>ケン</t>
    </rPh>
    <phoneticPr fontId="2"/>
  </si>
  <si>
    <t>岡山県</t>
    <rPh sb="0" eb="1">
      <t>オカ</t>
    </rPh>
    <rPh sb="1" eb="2">
      <t>ヤマ</t>
    </rPh>
    <rPh sb="2" eb="3">
      <t>ケン</t>
    </rPh>
    <phoneticPr fontId="2"/>
  </si>
  <si>
    <t>山口県</t>
    <rPh sb="0" eb="1">
      <t>ヤマ</t>
    </rPh>
    <rPh sb="1" eb="2">
      <t>クチ</t>
    </rPh>
    <rPh sb="2" eb="3">
      <t>ケン</t>
    </rPh>
    <phoneticPr fontId="2"/>
  </si>
  <si>
    <t>学連</t>
    <rPh sb="0" eb="1">
      <t>ガク</t>
    </rPh>
    <rPh sb="1" eb="2">
      <t>レン</t>
    </rPh>
    <phoneticPr fontId="2"/>
  </si>
  <si>
    <t>北海道</t>
    <rPh sb="0" eb="3">
      <t>ホッカイドウ</t>
    </rPh>
    <phoneticPr fontId="2"/>
  </si>
  <si>
    <t>青森県</t>
    <rPh sb="0" eb="2">
      <t>アオモリ</t>
    </rPh>
    <rPh sb="2" eb="3">
      <t>ケン</t>
    </rPh>
    <phoneticPr fontId="2"/>
  </si>
  <si>
    <t>岩手県</t>
    <rPh sb="0" eb="2">
      <t>イワテ</t>
    </rPh>
    <rPh sb="2" eb="3">
      <t>ケン</t>
    </rPh>
    <phoneticPr fontId="2"/>
  </si>
  <si>
    <t>宮城県</t>
    <rPh sb="0" eb="2">
      <t>ミヤギ</t>
    </rPh>
    <rPh sb="2" eb="3">
      <t>ケン</t>
    </rPh>
    <phoneticPr fontId="2"/>
  </si>
  <si>
    <t>秋田県</t>
    <rPh sb="0" eb="2">
      <t>アキタ</t>
    </rPh>
    <rPh sb="2" eb="3">
      <t>ケン</t>
    </rPh>
    <phoneticPr fontId="2"/>
  </si>
  <si>
    <t>福島県</t>
    <rPh sb="0" eb="2">
      <t>フクシマ</t>
    </rPh>
    <rPh sb="2" eb="3">
      <t>ケン</t>
    </rPh>
    <phoneticPr fontId="2"/>
  </si>
  <si>
    <t>茨城県</t>
    <rPh sb="0" eb="2">
      <t>イバラキ</t>
    </rPh>
    <rPh sb="2" eb="3">
      <t>ケン</t>
    </rPh>
    <phoneticPr fontId="2"/>
  </si>
  <si>
    <t>栃木県</t>
    <rPh sb="0" eb="2">
      <t>トチギ</t>
    </rPh>
    <rPh sb="2" eb="3">
      <t>ケン</t>
    </rPh>
    <phoneticPr fontId="2"/>
  </si>
  <si>
    <t>群馬県</t>
    <rPh sb="0" eb="2">
      <t>グンマ</t>
    </rPh>
    <rPh sb="2" eb="3">
      <t>ケン</t>
    </rPh>
    <phoneticPr fontId="2"/>
  </si>
  <si>
    <t>埼玉県</t>
    <rPh sb="0" eb="2">
      <t>サイタマ</t>
    </rPh>
    <rPh sb="2" eb="3">
      <t>ケン</t>
    </rPh>
    <phoneticPr fontId="2"/>
  </si>
  <si>
    <t>千葉県</t>
    <rPh sb="0" eb="2">
      <t>チバ</t>
    </rPh>
    <rPh sb="2" eb="3">
      <t>ケン</t>
    </rPh>
    <phoneticPr fontId="2"/>
  </si>
  <si>
    <t>東京都</t>
    <rPh sb="0" eb="3">
      <t>トウキョウト</t>
    </rPh>
    <phoneticPr fontId="2"/>
  </si>
  <si>
    <t>神奈川県</t>
    <rPh sb="0" eb="4">
      <t>カナガワケン</t>
    </rPh>
    <phoneticPr fontId="2"/>
  </si>
  <si>
    <t>山梨県</t>
    <rPh sb="0" eb="3">
      <t>ヤマナシケン</t>
    </rPh>
    <phoneticPr fontId="2"/>
  </si>
  <si>
    <t>新潟県</t>
    <rPh sb="0" eb="3">
      <t>ニイガタケン</t>
    </rPh>
    <phoneticPr fontId="2"/>
  </si>
  <si>
    <t>長野県</t>
    <rPh sb="0" eb="3">
      <t>ナガノケン</t>
    </rPh>
    <phoneticPr fontId="2"/>
  </si>
  <si>
    <t>石川県</t>
    <rPh sb="0" eb="3">
      <t>イシカワケン</t>
    </rPh>
    <phoneticPr fontId="2"/>
  </si>
  <si>
    <t>福井県</t>
    <rPh sb="0" eb="3">
      <t>フクイケン</t>
    </rPh>
    <phoneticPr fontId="2"/>
  </si>
  <si>
    <t>静岡県</t>
    <rPh sb="0" eb="3">
      <t>シズオカケン</t>
    </rPh>
    <phoneticPr fontId="2"/>
  </si>
  <si>
    <t>愛知県</t>
    <rPh sb="0" eb="3">
      <t>アイチケン</t>
    </rPh>
    <phoneticPr fontId="2"/>
  </si>
  <si>
    <t>三重県</t>
    <rPh sb="0" eb="3">
      <t>ミエケン</t>
    </rPh>
    <phoneticPr fontId="2"/>
  </si>
  <si>
    <t>岐阜県</t>
    <rPh sb="0" eb="3">
      <t>ギフケン</t>
    </rPh>
    <phoneticPr fontId="2"/>
  </si>
  <si>
    <t>滋賀県</t>
    <rPh sb="0" eb="3">
      <t>シガケン</t>
    </rPh>
    <phoneticPr fontId="2"/>
  </si>
  <si>
    <t>京都府</t>
    <rPh sb="0" eb="3">
      <t>キョウトフ</t>
    </rPh>
    <phoneticPr fontId="2"/>
  </si>
  <si>
    <t>大阪府</t>
    <rPh sb="0" eb="3">
      <t>オオサカフ</t>
    </rPh>
    <phoneticPr fontId="2"/>
  </si>
  <si>
    <t>兵庫県</t>
    <rPh sb="0" eb="3">
      <t>ヒョウゴケン</t>
    </rPh>
    <phoneticPr fontId="2"/>
  </si>
  <si>
    <t>奈良県</t>
    <rPh sb="0" eb="3">
      <t>ナラケン</t>
    </rPh>
    <phoneticPr fontId="2"/>
  </si>
  <si>
    <t>和歌山県</t>
    <rPh sb="0" eb="4">
      <t>ワカヤマケン</t>
    </rPh>
    <phoneticPr fontId="2"/>
  </si>
  <si>
    <t>香川県</t>
    <rPh sb="0" eb="3">
      <t>カガワケン</t>
    </rPh>
    <phoneticPr fontId="2"/>
  </si>
  <si>
    <t>徳島県</t>
    <rPh sb="0" eb="3">
      <t>トクシマケン</t>
    </rPh>
    <phoneticPr fontId="2"/>
  </si>
  <si>
    <t>愛媛県</t>
    <rPh sb="0" eb="3">
      <t>エヒメケン</t>
    </rPh>
    <phoneticPr fontId="2"/>
  </si>
  <si>
    <t>高知県</t>
    <rPh sb="0" eb="3">
      <t>コウチケン</t>
    </rPh>
    <phoneticPr fontId="2"/>
  </si>
  <si>
    <t>福岡県</t>
    <rPh sb="0" eb="3">
      <t>フクオカケン</t>
    </rPh>
    <phoneticPr fontId="2"/>
  </si>
  <si>
    <t>佐賀県</t>
    <rPh sb="0" eb="3">
      <t>サガケン</t>
    </rPh>
    <phoneticPr fontId="2"/>
  </si>
  <si>
    <t>長崎県</t>
    <rPh sb="0" eb="3">
      <t>ナガサキケン</t>
    </rPh>
    <phoneticPr fontId="2"/>
  </si>
  <si>
    <t>熊本県</t>
    <rPh sb="0" eb="3">
      <t>クマモトケン</t>
    </rPh>
    <phoneticPr fontId="2"/>
  </si>
  <si>
    <t>大分県</t>
    <rPh sb="0" eb="3">
      <t>オオイタケン</t>
    </rPh>
    <phoneticPr fontId="2"/>
  </si>
  <si>
    <t>鹿児島県</t>
    <rPh sb="0" eb="4">
      <t>カゴシマケン</t>
    </rPh>
    <phoneticPr fontId="2"/>
  </si>
  <si>
    <t>沖縄県</t>
    <rPh sb="0" eb="3">
      <t>オキナワケン</t>
    </rPh>
    <phoneticPr fontId="2"/>
  </si>
  <si>
    <t>山形県</t>
    <rPh sb="0" eb="2">
      <t>ヤマガタ</t>
    </rPh>
    <rPh sb="2" eb="3">
      <t>ケン</t>
    </rPh>
    <phoneticPr fontId="1"/>
  </si>
  <si>
    <t>富山県</t>
    <rPh sb="0" eb="3">
      <t>トヤマケン</t>
    </rPh>
    <phoneticPr fontId="1"/>
  </si>
  <si>
    <t>宮崎県</t>
    <rPh sb="0" eb="3">
      <t>ミヤザキケン</t>
    </rPh>
    <phoneticPr fontId="1"/>
  </si>
  <si>
    <t>所在地（住所）</t>
    <rPh sb="0" eb="3">
      <t>ショザイチ</t>
    </rPh>
    <rPh sb="4" eb="6">
      <t>ジュウショ</t>
    </rPh>
    <phoneticPr fontId="1"/>
  </si>
  <si>
    <t>派遣審判員（審判員資格は右に付記すること）</t>
    <rPh sb="0" eb="2">
      <t>ハケン</t>
    </rPh>
    <rPh sb="2" eb="5">
      <t>シンパンイン</t>
    </rPh>
    <rPh sb="6" eb="9">
      <t>シンパンイン</t>
    </rPh>
    <rPh sb="9" eb="11">
      <t>シカク</t>
    </rPh>
    <rPh sb="12" eb="13">
      <t>ミギ</t>
    </rPh>
    <rPh sb="14" eb="16">
      <t>フキ</t>
    </rPh>
    <phoneticPr fontId="1"/>
  </si>
  <si>
    <t>出場種目(1)</t>
    <rPh sb="0" eb="2">
      <t>シュツジョウ</t>
    </rPh>
    <rPh sb="2" eb="4">
      <t>シュモク</t>
    </rPh>
    <phoneticPr fontId="1"/>
  </si>
  <si>
    <t>参考記録(1)</t>
    <rPh sb="0" eb="2">
      <t>サンコウ</t>
    </rPh>
    <rPh sb="2" eb="4">
      <t>キロク</t>
    </rPh>
    <phoneticPr fontId="1"/>
  </si>
  <si>
    <t>エントリー備考(1)</t>
    <rPh sb="5" eb="7">
      <t>ビコウ</t>
    </rPh>
    <phoneticPr fontId="1"/>
  </si>
  <si>
    <t>出場種目(2)</t>
    <rPh sb="0" eb="2">
      <t>シュツジョウ</t>
    </rPh>
    <rPh sb="2" eb="4">
      <t>シュモク</t>
    </rPh>
    <phoneticPr fontId="1"/>
  </si>
  <si>
    <t>参考記録(2)</t>
    <rPh sb="0" eb="2">
      <t>サンコウ</t>
    </rPh>
    <rPh sb="2" eb="4">
      <t>キロク</t>
    </rPh>
    <phoneticPr fontId="1"/>
  </si>
  <si>
    <t>エントリー備考(2)</t>
    <rPh sb="5" eb="7">
      <t>ビコウ</t>
    </rPh>
    <phoneticPr fontId="1"/>
  </si>
  <si>
    <t>クラス</t>
    <phoneticPr fontId="1"/>
  </si>
  <si>
    <t>エントリー料</t>
    <rPh sb="5" eb="6">
      <t>リョウ</t>
    </rPh>
    <phoneticPr fontId="1"/>
  </si>
  <si>
    <t>リレー</t>
    <phoneticPr fontId="1"/>
  </si>
  <si>
    <t>100m</t>
    <phoneticPr fontId="1"/>
  </si>
  <si>
    <t>200m</t>
    <phoneticPr fontId="1"/>
  </si>
  <si>
    <t>種目ID</t>
    <rPh sb="0" eb="2">
      <t>シュモク</t>
    </rPh>
    <phoneticPr fontId="1"/>
  </si>
  <si>
    <t>重複</t>
    <rPh sb="0" eb="2">
      <t>チョウフク</t>
    </rPh>
    <phoneticPr fontId="1"/>
  </si>
  <si>
    <t>50m</t>
    <phoneticPr fontId="1"/>
  </si>
  <si>
    <t>60m</t>
    <phoneticPr fontId="1"/>
  </si>
  <si>
    <t>80m</t>
    <phoneticPr fontId="1"/>
  </si>
  <si>
    <t>150m</t>
    <phoneticPr fontId="1"/>
  </si>
  <si>
    <t>145m</t>
    <phoneticPr fontId="1"/>
  </si>
  <si>
    <t>300m</t>
    <phoneticPr fontId="1"/>
  </si>
  <si>
    <t>400m</t>
    <phoneticPr fontId="1"/>
  </si>
  <si>
    <t>800m</t>
    <phoneticPr fontId="1"/>
  </si>
  <si>
    <t>1500m</t>
    <phoneticPr fontId="1"/>
  </si>
  <si>
    <t>2000m</t>
    <phoneticPr fontId="1"/>
  </si>
  <si>
    <t>3000m</t>
    <phoneticPr fontId="1"/>
  </si>
  <si>
    <t>5000m</t>
    <phoneticPr fontId="1"/>
  </si>
  <si>
    <t>10000m</t>
    <phoneticPr fontId="1"/>
  </si>
  <si>
    <t>60mH</t>
    <phoneticPr fontId="1"/>
  </si>
  <si>
    <t>80mH</t>
    <phoneticPr fontId="1"/>
  </si>
  <si>
    <t>100mH</t>
    <phoneticPr fontId="1"/>
  </si>
  <si>
    <t>110mH</t>
    <phoneticPr fontId="1"/>
  </si>
  <si>
    <t>300mH</t>
    <phoneticPr fontId="1"/>
  </si>
  <si>
    <t>400mH</t>
    <phoneticPr fontId="1"/>
  </si>
  <si>
    <t>1500mSC</t>
    <phoneticPr fontId="1"/>
  </si>
  <si>
    <t>2000mSC</t>
    <phoneticPr fontId="1"/>
  </si>
  <si>
    <t>3000mSC</t>
    <phoneticPr fontId="1"/>
  </si>
  <si>
    <t>3000mW</t>
    <phoneticPr fontId="1"/>
  </si>
  <si>
    <t>5000mW</t>
    <phoneticPr fontId="1"/>
  </si>
  <si>
    <t>10000mW</t>
    <phoneticPr fontId="1"/>
  </si>
  <si>
    <t>20000mW</t>
    <phoneticPr fontId="1"/>
  </si>
  <si>
    <t>35000mW</t>
    <phoneticPr fontId="1"/>
  </si>
  <si>
    <t>4×100mR</t>
    <phoneticPr fontId="1"/>
  </si>
  <si>
    <t>4×200mR</t>
    <phoneticPr fontId="1"/>
  </si>
  <si>
    <t>100m+200m+300m+400mR</t>
    <phoneticPr fontId="1"/>
  </si>
  <si>
    <t>4×400mR</t>
    <phoneticPr fontId="1"/>
  </si>
  <si>
    <t>4×800mR</t>
    <phoneticPr fontId="1"/>
  </si>
  <si>
    <t>4×1500mR</t>
    <phoneticPr fontId="1"/>
  </si>
  <si>
    <t>1200m+400m+800m+1600mR</t>
    <phoneticPr fontId="1"/>
  </si>
  <si>
    <t>走高跳</t>
    <rPh sb="0" eb="3">
      <t>ハシリタカトビ</t>
    </rPh>
    <phoneticPr fontId="1"/>
  </si>
  <si>
    <t>棒高跳</t>
    <rPh sb="0" eb="3">
      <t>ボウタカト</t>
    </rPh>
    <phoneticPr fontId="1"/>
  </si>
  <si>
    <t>走幅跳</t>
    <rPh sb="0" eb="1">
      <t>ハシ</t>
    </rPh>
    <rPh sb="1" eb="3">
      <t>ハバト</t>
    </rPh>
    <phoneticPr fontId="1"/>
  </si>
  <si>
    <t>三段跳</t>
    <rPh sb="0" eb="3">
      <t>サンダント</t>
    </rPh>
    <phoneticPr fontId="1"/>
  </si>
  <si>
    <t>砲丸投</t>
    <rPh sb="0" eb="3">
      <t>ホウガンナ</t>
    </rPh>
    <phoneticPr fontId="1"/>
  </si>
  <si>
    <t>円盤投</t>
    <rPh sb="0" eb="3">
      <t>エンバンナゲ</t>
    </rPh>
    <phoneticPr fontId="1"/>
  </si>
  <si>
    <t>やり投</t>
    <rPh sb="2" eb="3">
      <t>ナ</t>
    </rPh>
    <phoneticPr fontId="1"/>
  </si>
  <si>
    <t>ジャベリックスロー</t>
    <phoneticPr fontId="1"/>
  </si>
  <si>
    <t>ジャベリックボール投</t>
    <rPh sb="9" eb="10">
      <t>ナ</t>
    </rPh>
    <phoneticPr fontId="1"/>
  </si>
  <si>
    <t>重錘投</t>
    <rPh sb="0" eb="2">
      <t>ジュウスイ</t>
    </rPh>
    <rPh sb="2" eb="3">
      <t>ナ</t>
    </rPh>
    <phoneticPr fontId="1"/>
  </si>
  <si>
    <t>こん棒投</t>
    <rPh sb="2" eb="3">
      <t>ボウ</t>
    </rPh>
    <rPh sb="3" eb="4">
      <t>ナ</t>
    </rPh>
    <phoneticPr fontId="1"/>
  </si>
  <si>
    <t>四種競技</t>
    <rPh sb="0" eb="2">
      <t>ヨンシュ</t>
    </rPh>
    <rPh sb="2" eb="4">
      <t>キョウギ</t>
    </rPh>
    <phoneticPr fontId="1"/>
  </si>
  <si>
    <t>五種競技</t>
    <rPh sb="0" eb="2">
      <t>ゴシュ</t>
    </rPh>
    <rPh sb="2" eb="4">
      <t>キョウギ</t>
    </rPh>
    <phoneticPr fontId="1"/>
  </si>
  <si>
    <t>七種競技</t>
    <rPh sb="0" eb="2">
      <t>ナナシュ</t>
    </rPh>
    <rPh sb="2" eb="4">
      <t>キョウギ</t>
    </rPh>
    <phoneticPr fontId="1"/>
  </si>
  <si>
    <t>八種競技</t>
    <rPh sb="0" eb="2">
      <t>ハッシュ</t>
    </rPh>
    <rPh sb="2" eb="4">
      <t>キョウギ</t>
    </rPh>
    <phoneticPr fontId="1"/>
  </si>
  <si>
    <t>十種競技</t>
    <rPh sb="0" eb="2">
      <t>ジュッシュ</t>
    </rPh>
    <rPh sb="2" eb="4">
      <t>キョウギ</t>
    </rPh>
    <phoneticPr fontId="1"/>
  </si>
  <si>
    <t>十四種競技</t>
    <rPh sb="0" eb="3">
      <t>ジュウヨンシュ</t>
    </rPh>
    <rPh sb="3" eb="5">
      <t>キョウギ</t>
    </rPh>
    <phoneticPr fontId="1"/>
  </si>
  <si>
    <t>二十種競技</t>
    <rPh sb="0" eb="1">
      <t>ニ</t>
    </rPh>
    <rPh sb="1" eb="3">
      <t>ジッシュ</t>
    </rPh>
    <rPh sb="3" eb="5">
      <t>キョウギ</t>
    </rPh>
    <phoneticPr fontId="1"/>
  </si>
  <si>
    <t>2km</t>
    <phoneticPr fontId="1"/>
  </si>
  <si>
    <t>3km</t>
    <phoneticPr fontId="1"/>
  </si>
  <si>
    <t>5km</t>
    <phoneticPr fontId="1"/>
  </si>
  <si>
    <t>10km</t>
    <phoneticPr fontId="1"/>
  </si>
  <si>
    <t>20km</t>
    <phoneticPr fontId="1"/>
  </si>
  <si>
    <t>ハーフマラソン</t>
    <phoneticPr fontId="1"/>
  </si>
  <si>
    <t>マラソン</t>
    <phoneticPr fontId="1"/>
  </si>
  <si>
    <t>100km</t>
    <phoneticPr fontId="1"/>
  </si>
  <si>
    <t>5kmW</t>
    <phoneticPr fontId="1"/>
  </si>
  <si>
    <t>10kmW</t>
    <phoneticPr fontId="1"/>
  </si>
  <si>
    <t>20kmW</t>
    <phoneticPr fontId="1"/>
  </si>
  <si>
    <t>35kmW</t>
    <phoneticPr fontId="1"/>
  </si>
  <si>
    <t>50kmW</t>
    <phoneticPr fontId="1"/>
  </si>
  <si>
    <t>種別</t>
    <rPh sb="0" eb="2">
      <t>シュベツ</t>
    </rPh>
    <phoneticPr fontId="1"/>
  </si>
  <si>
    <t>トラック</t>
    <phoneticPr fontId="1"/>
  </si>
  <si>
    <t>フィールド</t>
    <phoneticPr fontId="1"/>
  </si>
  <si>
    <t>混成</t>
    <rPh sb="0" eb="2">
      <t>コンセイ</t>
    </rPh>
    <phoneticPr fontId="1"/>
  </si>
  <si>
    <t>道路</t>
    <rPh sb="0" eb="2">
      <t>ドウロ</t>
    </rPh>
    <phoneticPr fontId="1"/>
  </si>
  <si>
    <t>エントリー形式</t>
    <rPh sb="5" eb="7">
      <t>ケイシキ</t>
    </rPh>
    <phoneticPr fontId="1"/>
  </si>
  <si>
    <t>20000m</t>
    <phoneticPr fontId="1"/>
  </si>
  <si>
    <t>コンバインドＡ</t>
    <phoneticPr fontId="1"/>
  </si>
  <si>
    <t>コンバインドB</t>
    <phoneticPr fontId="1"/>
  </si>
  <si>
    <t>参考記録（数値）</t>
    <rPh sb="0" eb="2">
      <t>サンコウ</t>
    </rPh>
    <rPh sb="2" eb="4">
      <t>キロク</t>
    </rPh>
    <rPh sb="5" eb="7">
      <t>スウチ</t>
    </rPh>
    <phoneticPr fontId="1"/>
  </si>
  <si>
    <t>種目種別</t>
    <rPh sb="0" eb="2">
      <t>シュモク</t>
    </rPh>
    <rPh sb="2" eb="4">
      <t>シュベツ</t>
    </rPh>
    <phoneticPr fontId="1"/>
  </si>
  <si>
    <t>エントリー情報</t>
    <rPh sb="5" eb="7">
      <t>ジョウホウ</t>
    </rPh>
    <phoneticPr fontId="1"/>
  </si>
  <si>
    <t>審判員資格</t>
    <rPh sb="0" eb="3">
      <t>シンパンイン</t>
    </rPh>
    <rPh sb="3" eb="5">
      <t>シカク</t>
    </rPh>
    <phoneticPr fontId="1"/>
  </si>
  <si>
    <t>エントリー料金（数式による自動計算）</t>
    <rPh sb="5" eb="6">
      <t>リョウ</t>
    </rPh>
    <rPh sb="6" eb="7">
      <t>キン</t>
    </rPh>
    <rPh sb="8" eb="10">
      <t>スウシキ</t>
    </rPh>
    <rPh sb="13" eb="15">
      <t>ジドウ</t>
    </rPh>
    <rPh sb="15" eb="17">
      <t>ケイサン</t>
    </rPh>
    <phoneticPr fontId="1"/>
  </si>
  <si>
    <t>▲▲▲　</t>
    <phoneticPr fontId="1"/>
  </si>
  <si>
    <r>
      <rPr>
        <b/>
        <sz val="9"/>
        <color indexed="10"/>
        <rFont val="ＭＳ Ｐゴシック"/>
        <family val="3"/>
        <charset val="128"/>
      </rPr>
      <t>*</t>
    </r>
    <r>
      <rPr>
        <sz val="9"/>
        <color indexed="8"/>
        <rFont val="ＭＳ Ｐゴシック"/>
        <family val="3"/>
        <charset val="128"/>
      </rPr>
      <t xml:space="preserve"> は必ず記入すること。</t>
    </r>
    <rPh sb="3" eb="4">
      <t>カナラ</t>
    </rPh>
    <rPh sb="5" eb="7">
      <t>キニュウ</t>
    </rPh>
    <phoneticPr fontId="1"/>
  </si>
  <si>
    <t>略称
（10文字以内 例:十日市小、みよしAC）</t>
    <rPh sb="0" eb="2">
      <t>リャクショウ</t>
    </rPh>
    <rPh sb="6" eb="8">
      <t>モジ</t>
    </rPh>
    <rPh sb="8" eb="10">
      <t>イナイ</t>
    </rPh>
    <rPh sb="11" eb="12">
      <t>レイ</t>
    </rPh>
    <rPh sb="13" eb="16">
      <t>トオカイチ</t>
    </rPh>
    <rPh sb="16" eb="17">
      <t>ショウ</t>
    </rPh>
    <phoneticPr fontId="1"/>
  </si>
  <si>
    <t>登録陸協
（大学は学連とすること）</t>
    <rPh sb="0" eb="2">
      <t>トウロク</t>
    </rPh>
    <rPh sb="2" eb="4">
      <t>リクキョウ</t>
    </rPh>
    <rPh sb="6" eb="8">
      <t>ダイガク</t>
    </rPh>
    <rPh sb="9" eb="11">
      <t>ガクレン</t>
    </rPh>
    <phoneticPr fontId="1"/>
  </si>
  <si>
    <t>緊急連絡先
（当日連絡が取れる番号）</t>
    <rPh sb="0" eb="2">
      <t>キンキュウ</t>
    </rPh>
    <rPh sb="2" eb="5">
      <t>レンラクサキ</t>
    </rPh>
    <rPh sb="7" eb="9">
      <t>トウジツ</t>
    </rPh>
    <rPh sb="9" eb="11">
      <t>レンラク</t>
    </rPh>
    <rPh sb="12" eb="13">
      <t>ト</t>
    </rPh>
    <rPh sb="15" eb="17">
      <t>バンゴウ</t>
    </rPh>
    <phoneticPr fontId="1"/>
  </si>
  <si>
    <t>生年月日</t>
    <rPh sb="0" eb="2">
      <t>セイネン</t>
    </rPh>
    <rPh sb="2" eb="4">
      <t>ガッピ</t>
    </rPh>
    <phoneticPr fontId="1"/>
  </si>
  <si>
    <t>エントリー人数（数式による自動計算）</t>
    <rPh sb="5" eb="7">
      <t>ニンズウ</t>
    </rPh>
    <rPh sb="8" eb="10">
      <t>スウシキ</t>
    </rPh>
    <rPh sb="13" eb="15">
      <t>ジドウ</t>
    </rPh>
    <rPh sb="15" eb="17">
      <t>ケイサン</t>
    </rPh>
    <phoneticPr fontId="1"/>
  </si>
  <si>
    <t>男子</t>
    <rPh sb="0" eb="2">
      <t>ダンシ</t>
    </rPh>
    <phoneticPr fontId="1"/>
  </si>
  <si>
    <t>女子</t>
    <rPh sb="0" eb="2">
      <t>ジョシ</t>
    </rPh>
    <phoneticPr fontId="1"/>
  </si>
  <si>
    <t>競技種別</t>
    <rPh sb="0" eb="2">
      <t>キョウギ</t>
    </rPh>
    <rPh sb="2" eb="4">
      <t>シュベツ</t>
    </rPh>
    <phoneticPr fontId="1"/>
  </si>
  <si>
    <t>種目名</t>
    <rPh sb="0" eb="3">
      <t>シュモクメイ</t>
    </rPh>
    <phoneticPr fontId="1"/>
  </si>
  <si>
    <t>性別チェック
要否</t>
    <rPh sb="0" eb="2">
      <t>セイベツ</t>
    </rPh>
    <rPh sb="7" eb="9">
      <t>ヨウヒ</t>
    </rPh>
    <phoneticPr fontId="1"/>
  </si>
  <si>
    <t>競技種別
コード</t>
    <rPh sb="0" eb="4">
      <t>キョウギシュベツ</t>
    </rPh>
    <phoneticPr fontId="1"/>
  </si>
  <si>
    <t>性別チェック
有無</t>
    <rPh sb="0" eb="2">
      <t>セイベツ</t>
    </rPh>
    <rPh sb="7" eb="9">
      <t>ウム</t>
    </rPh>
    <phoneticPr fontId="1"/>
  </si>
  <si>
    <t>・ 申込控えとして本ファイルは申込者で保管すること。</t>
    <rPh sb="15" eb="18">
      <t>モウシコミシャ</t>
    </rPh>
    <phoneticPr fontId="1"/>
  </si>
  <si>
    <t>申込団体</t>
    <rPh sb="0" eb="1">
      <t>モウ</t>
    </rPh>
    <rPh sb="1" eb="2">
      <t>コ</t>
    </rPh>
    <rPh sb="2" eb="4">
      <t>ダンタイ</t>
    </rPh>
    <phoneticPr fontId="1"/>
  </si>
  <si>
    <t>メールアドレス</t>
    <phoneticPr fontId="1"/>
  </si>
  <si>
    <t>氏名（代表者等）</t>
    <rPh sb="0" eb="2">
      <t>シメイ</t>
    </rPh>
    <rPh sb="3" eb="6">
      <t>ダイヒョウシャ</t>
    </rPh>
    <rPh sb="6" eb="7">
      <t>ナド</t>
    </rPh>
    <phoneticPr fontId="1"/>
  </si>
  <si>
    <t>団体連絡欄（学校・クラブ共通）</t>
    <rPh sb="0" eb="2">
      <t>ダンタイ</t>
    </rPh>
    <rPh sb="2" eb="4">
      <t>レンラク</t>
    </rPh>
    <rPh sb="4" eb="5">
      <t>ラン</t>
    </rPh>
    <rPh sb="6" eb="8">
      <t>ガッコウ</t>
    </rPh>
    <rPh sb="12" eb="14">
      <t>キョウツウ</t>
    </rPh>
    <phoneticPr fontId="1"/>
  </si>
  <si>
    <t>【重要】</t>
  </si>
  <si>
    <t>このシートは「申込書テンプレートのカスタマイズ用マニュアル」です。</t>
  </si>
  <si>
    <t>参加団体へ申込書として配布する前に、必ず本シートを削除してください。</t>
  </si>
  <si>
    <t>────────────────────────────────</t>
  </si>
  <si>
    <t>■ この申込書テンプレートについて</t>
  </si>
  <si>
    <t>本申込書は、記録情報処理担当者が</t>
  </si>
  <si>
    <t>・申込を安全に回収し</t>
  </si>
  <si>
    <t>「便利さ」よりも「事故を起こさないこと」を最優先しています。</t>
  </si>
  <si>
    <t>■ このシートの目的</t>
  </si>
  <si>
    <t>本シートは、</t>
  </si>
  <si>
    <t>・記録情報処理担当者が大会ごとに設定すべき箇所</t>
  </si>
  <si>
    <t>・編集してよい箇所／してはいけない箇所</t>
  </si>
  <si>
    <t>・運用上の注意点</t>
  </si>
  <si>
    <t>を共有するための内部マニュアルです。</t>
  </si>
  <si>
    <t>申込者（学校・クラブ・大学・個人）が読むことは想定していません。</t>
  </si>
  <si>
    <t>■ 編集してよい箇所（主催者・処理担当者のみ）</t>
  </si>
  <si>
    <t>以下は、大会ごとに必ず確認・設定してください。</t>
  </si>
  <si>
    <t>【1】大会名・開催日</t>
  </si>
  <si>
    <t>・表紙および鑑シートの表示項目を大会に合わせて変更する</t>
  </si>
  <si>
    <t>【2】種目リスト（主催者設定シート）</t>
  </si>
  <si>
    <t>・実施する種目の設定</t>
  </si>
  <si>
    <t>・エントリー形式の設定</t>
  </si>
  <si>
    <t>・エントリー料金の設定</t>
  </si>
  <si>
    <t>・エントリー可能種目数の設定</t>
  </si>
  <si>
    <t>※ 種目数を変更すると、出場選手シートの入力欄が</t>
  </si>
  <si>
    <t>　自動的に有効／無効（グレーアウト）されます。</t>
  </si>
  <si>
    <t>【3】注意文言・案内文</t>
  </si>
  <si>
    <t>・大会要項と整合する範囲で文言を変更してよい</t>
  </si>
  <si>
    <t>・申込方法、注意事項の追加は可</t>
  </si>
  <si>
    <t>■ 編集してはいけない箇所（重要）</t>
  </si>
  <si>
    <t>以下の操作は禁止です。</t>
  </si>
  <si>
    <t>・数式セルの編集</t>
  </si>
  <si>
    <t>・列や行の削除・追加</t>
  </si>
  <si>
    <t>・（自動）エントリー名簿シートの編集</t>
  </si>
  <si>
    <t>・セルの並び替え</t>
  </si>
  <si>
    <t>・マクロの追加</t>
  </si>
  <si>
    <t>これらを行うと、番組編成時に重大な不具合が発生します。</t>
  </si>
  <si>
    <t>■ グレーアウトされたセルについて</t>
  </si>
  <si>
    <t>背景色がグレーのセルは、入力されても</t>
  </si>
  <si>
    <t>番組編成用のエントリー名簿には反映されません。</t>
  </si>
  <si>
    <t>これは、</t>
  </si>
  <si>
    <t>・エントリー可能種目数を超えた入力</t>
  </si>
  <si>
    <t>・主催者が読み取らない項目</t>
  </si>
  <si>
    <t>を明確にするための仕様です。</t>
  </si>
  <si>
    <t>優先順位指定の意味はありません。</t>
  </si>
  <si>
    <t>■ 種目数超過時の扱い（重要）</t>
  </si>
  <si>
    <t>エントリー可能数を超えた種目は、</t>
  </si>
  <si>
    <t>自動的にエントリー名簿から除外されます。</t>
  </si>
  <si>
    <t>この場合、</t>
  </si>
  <si>
    <t>・どの種目を優先するかの判断は行いません</t>
  </si>
  <si>
    <t>・申込者の責任として扱います</t>
  </si>
  <si>
    <t>・個別救済は行いません</t>
  </si>
  <si>
    <t>■ 参考記録・備考欄の扱い</t>
  </si>
  <si>
    <t>・参考記録は「参考情報」です</t>
  </si>
  <si>
    <t>・記録会では目標タイムの記載を許容します</t>
  </si>
  <si>
    <t>記録の妥当性判断は、番組編成工程で行います。</t>
  </si>
  <si>
    <t>■ 番組編成時の基本方針</t>
  </si>
  <si>
    <t>・申込書テンプレート上では並び替えを行いません</t>
  </si>
  <si>
    <t>・申込書本体は「触らない」ことが原則です</t>
  </si>
  <si>
    <t>■ Google Forms（個人申込）を併用する場合</t>
  </si>
  <si>
    <t>・Excel申込と同じ意味の項目を持たせてください</t>
  </si>
  <si>
    <t>・所属未記載の非登録競技者は「所属なし」で扱います</t>
  </si>
  <si>
    <t>・個人申込も団体申込と同列に番組編成へ組み込みます</t>
  </si>
  <si>
    <t>■ 最後に</t>
  </si>
  <si>
    <t>困ったときは、</t>
  </si>
  <si>
    <t>・テンプレートを改修する前に</t>
  </si>
  <si>
    <t>・運用で吸収できないか</t>
  </si>
  <si>
    <t>を必ず検討してください。</t>
  </si>
  <si>
    <t>・番組編成（スタートリスト作成）までを行うために設計されたテンプレートです。</t>
    <phoneticPr fontId="1"/>
  </si>
  <si>
    <t>・資格記録が必要な大会では、備考欄に競技会名・日付等を記載させてください</t>
    <phoneticPr fontId="1"/>
  </si>
  <si>
    <t>・（自動）エントリー名簿を別ブックに値コピーして番組編成を行ってください</t>
    <phoneticPr fontId="1"/>
  </si>
  <si>
    <t>■ 配布前の処理（最重要：必ず実施）</t>
  </si>
  <si>
    <t>（内部向け資料のため、申込者に見せない）</t>
  </si>
  <si>
    <t>このシートを削除すると、申込書全体の数式参照が壊れ、番組編成に支障が出ます。</t>
  </si>
  <si>
    <t>配布時は以下のいずれか（または両方）で改ざん対策を行ってください。</t>
  </si>
  <si>
    <t>・主催者設定シートを「非表示」にして申込者に見えないようにする</t>
  </si>
  <si>
    <t>・主催者設定シート（必要に応じてブック全体）に「保護」をかけ、改ざんできないようにする</t>
  </si>
  <si>
    <t>※主催者設定シートの改ざんが疑われる申込書は、受領せず再提出を求めてください。</t>
  </si>
  <si>
    <r>
      <t>【必須1】</t>
    </r>
    <r>
      <rPr>
        <b/>
        <sz val="11"/>
        <color indexed="8"/>
        <rFont val="Meiryo UI"/>
        <family val="3"/>
        <charset val="128"/>
      </rPr>
      <t>本「カスタマイズマニュアル」シートは、申込書として配布する前に必ず削除してください。</t>
    </r>
    <phoneticPr fontId="1"/>
  </si>
  <si>
    <r>
      <t>【必須2】</t>
    </r>
    <r>
      <rPr>
        <b/>
        <sz val="11"/>
        <color indexed="8"/>
        <rFont val="Meiryo UI"/>
        <family val="3"/>
        <charset val="128"/>
      </rPr>
      <t>主催者設定シート（種目リスト等）は「削除禁止」です。</t>
    </r>
    <phoneticPr fontId="1"/>
  </si>
  <si>
    <t>この申込書テンプレートは、「自動化」ではなく「安全な運用」を目的としています。</t>
    <phoneticPr fontId="1"/>
  </si>
  <si>
    <t>申込書の正当性が担保できなくなってしまいます。</t>
    <rPh sb="0" eb="3">
      <t>モウシコミショ</t>
    </rPh>
    <rPh sb="4" eb="7">
      <t>セイトウセイ</t>
    </rPh>
    <rPh sb="8" eb="10">
      <t>タンポ</t>
    </rPh>
    <phoneticPr fontId="1"/>
  </si>
  <si>
    <t>本シートが残ったまま配布された申込書は、改ざんが発生する恐れがあるため、</t>
    <rPh sb="20" eb="21">
      <t>カイ</t>
    </rPh>
    <rPh sb="24" eb="26">
      <t>ハッセイ</t>
    </rPh>
    <rPh sb="28" eb="29">
      <t>オソ</t>
    </rPh>
    <phoneticPr fontId="1"/>
  </si>
  <si>
    <t>チーム略称 / フリガナ
（例:　トオカイチショウ、ミヨシエーシー）</t>
    <rPh sb="3" eb="5">
      <t>リャクショウ</t>
    </rPh>
    <rPh sb="14" eb="15">
      <t>レイ</t>
    </rPh>
    <phoneticPr fontId="1"/>
  </si>
  <si>
    <t>カナ所属</t>
    <rPh sb="2" eb="4">
      <t>ショゾク</t>
    </rPh>
    <phoneticPr fontId="1"/>
  </si>
  <si>
    <t>所属カナ</t>
    <rPh sb="0" eb="2">
      <t>ショゾク</t>
    </rPh>
    <phoneticPr fontId="1"/>
  </si>
  <si>
    <t>Orcheria</t>
    <phoneticPr fontId="1"/>
  </si>
  <si>
    <t>オルケリア</t>
    <phoneticPr fontId="1"/>
  </si>
  <si>
    <t>長崎県長崎市XX町XX　X-XX-XXX</t>
    <rPh sb="0" eb="3">
      <t>ナガサキケン</t>
    </rPh>
    <rPh sb="3" eb="6">
      <t>ナガサキシ</t>
    </rPh>
    <rPh sb="8" eb="9">
      <t>マチ</t>
    </rPh>
    <phoneticPr fontId="1"/>
  </si>
  <si>
    <t>空野　誠志郎</t>
    <rPh sb="0" eb="2">
      <t>ソラノ</t>
    </rPh>
    <rPh sb="3" eb="6">
      <t>セイシロウ</t>
    </rPh>
    <phoneticPr fontId="1"/>
  </si>
  <si>
    <t>0953-XX-XXXX</t>
    <phoneticPr fontId="1"/>
  </si>
  <si>
    <t>空野　洋子</t>
    <rPh sb="0" eb="2">
      <t>ソラノ</t>
    </rPh>
    <rPh sb="3" eb="5">
      <t>ヨウコ</t>
    </rPh>
    <phoneticPr fontId="1"/>
  </si>
  <si>
    <t>0X0-XXXX-XXXX</t>
    <phoneticPr fontId="1"/>
  </si>
  <si>
    <t>Ｂ</t>
  </si>
  <si>
    <t>はい</t>
  </si>
  <si>
    <t>office.orcheria@example.com</t>
    <phoneticPr fontId="1"/>
  </si>
  <si>
    <t>男子</t>
  </si>
  <si>
    <t>女子</t>
  </si>
  <si>
    <t>女子</t>
    <phoneticPr fontId="1"/>
  </si>
  <si>
    <t>100m</t>
  </si>
  <si>
    <t>200m</t>
  </si>
  <si>
    <t>400m</t>
  </si>
  <si>
    <t>800m</t>
  </si>
  <si>
    <t>3000m</t>
  </si>
  <si>
    <t>110mH</t>
  </si>
  <si>
    <t>300mH</t>
  </si>
  <si>
    <t>4×100mR</t>
  </si>
  <si>
    <t>1500m</t>
  </si>
  <si>
    <t>8101</t>
    <phoneticPr fontId="1"/>
  </si>
  <si>
    <t>8102</t>
    <phoneticPr fontId="1"/>
  </si>
  <si>
    <t>8103</t>
    <phoneticPr fontId="1"/>
  </si>
  <si>
    <t>8104</t>
    <phoneticPr fontId="1"/>
  </si>
  <si>
    <t>8121</t>
    <phoneticPr fontId="1"/>
  </si>
  <si>
    <t>空野</t>
    <rPh sb="0" eb="2">
      <t>ソラノ</t>
    </rPh>
    <phoneticPr fontId="1"/>
  </si>
  <si>
    <t>みなも</t>
    <phoneticPr fontId="1"/>
  </si>
  <si>
    <t>ソラノ</t>
    <phoneticPr fontId="1"/>
  </si>
  <si>
    <t>ミナモ</t>
    <phoneticPr fontId="1"/>
  </si>
  <si>
    <t>中1</t>
    <rPh sb="0" eb="1">
      <t>チュウ</t>
    </rPh>
    <phoneticPr fontId="1"/>
  </si>
  <si>
    <t>女子200m</t>
  </si>
  <si>
    <t>女子300mH</t>
  </si>
  <si>
    <t>51.84</t>
    <phoneticPr fontId="1"/>
  </si>
  <si>
    <t>女子走幅跳</t>
  </si>
  <si>
    <t>5m18</t>
    <phoneticPr fontId="1"/>
  </si>
  <si>
    <t>識辺　久菜</t>
    <rPh sb="0" eb="1">
      <t>シキ</t>
    </rPh>
    <rPh sb="1" eb="2">
      <t>ベ</t>
    </rPh>
    <rPh sb="3" eb="4">
      <t>ヒサ</t>
    </rPh>
    <rPh sb="4" eb="5">
      <t>ナ</t>
    </rPh>
    <phoneticPr fontId="1"/>
  </si>
  <si>
    <t>識辺</t>
    <rPh sb="0" eb="1">
      <t>シキ</t>
    </rPh>
    <rPh sb="1" eb="2">
      <t>ベ</t>
    </rPh>
    <phoneticPr fontId="1"/>
  </si>
  <si>
    <t>佳賀里</t>
    <rPh sb="0" eb="3">
      <t>カガリ</t>
    </rPh>
    <phoneticPr fontId="1"/>
  </si>
  <si>
    <t>シルベ</t>
    <phoneticPr fontId="1"/>
  </si>
  <si>
    <t>カガリ</t>
    <phoneticPr fontId="1"/>
  </si>
  <si>
    <t>中2</t>
    <rPh sb="0" eb="1">
      <t>チュウ</t>
    </rPh>
    <phoneticPr fontId="1"/>
  </si>
  <si>
    <t>女子100m</t>
  </si>
  <si>
    <t>26.82</t>
    <phoneticPr fontId="1"/>
  </si>
  <si>
    <t>女子400m</t>
  </si>
  <si>
    <t>1:00.76</t>
    <phoneticPr fontId="1"/>
  </si>
  <si>
    <t>一条</t>
    <rPh sb="0" eb="2">
      <t>イチジョウ</t>
    </rPh>
    <phoneticPr fontId="1"/>
  </si>
  <si>
    <t>流星</t>
    <rPh sb="0" eb="2">
      <t>リュウセイ</t>
    </rPh>
    <phoneticPr fontId="1"/>
  </si>
  <si>
    <t>イチジョウ</t>
    <phoneticPr fontId="1"/>
  </si>
  <si>
    <t>ナガセ</t>
    <phoneticPr fontId="1"/>
  </si>
  <si>
    <t>女子800m</t>
  </si>
  <si>
    <t>2:19.26</t>
    <phoneticPr fontId="1"/>
  </si>
  <si>
    <t>女子1500m</t>
  </si>
  <si>
    <t>4:35.13</t>
    <phoneticPr fontId="1"/>
  </si>
  <si>
    <t>風花</t>
    <rPh sb="0" eb="2">
      <t>カザハナ</t>
    </rPh>
    <phoneticPr fontId="1"/>
  </si>
  <si>
    <t>菫</t>
    <rPh sb="0" eb="1">
      <t>スミレ</t>
    </rPh>
    <phoneticPr fontId="1"/>
  </si>
  <si>
    <t>カザハナ</t>
  </si>
  <si>
    <t>スミレ</t>
  </si>
  <si>
    <t>陽ノ下</t>
    <rPh sb="0" eb="1">
      <t>ヒ</t>
    </rPh>
    <rPh sb="2" eb="3">
      <t>シタ</t>
    </rPh>
    <phoneticPr fontId="1"/>
  </si>
  <si>
    <t>菜津</t>
    <rPh sb="0" eb="2">
      <t>ナツ</t>
    </rPh>
    <phoneticPr fontId="1"/>
  </si>
  <si>
    <t>ヒノシタ</t>
    <phoneticPr fontId="1"/>
  </si>
  <si>
    <t>ナツ</t>
    <phoneticPr fontId="1"/>
  </si>
  <si>
    <t>13.27</t>
    <phoneticPr fontId="1"/>
  </si>
  <si>
    <t>女子棒高跳</t>
  </si>
  <si>
    <t>2m90</t>
    <phoneticPr fontId="1"/>
  </si>
  <si>
    <t>57.97</t>
    <phoneticPr fontId="1"/>
  </si>
  <si>
    <t>4:37.22</t>
    <phoneticPr fontId="1"/>
  </si>
  <si>
    <t>中3</t>
    <rPh sb="0" eb="1">
      <t>チュウ</t>
    </rPh>
    <phoneticPr fontId="1"/>
  </si>
  <si>
    <t>Orcheria Athlete Club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</si>
</sst>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2" formatCode="_ &quot;¥&quot;* #,##0_ ;_ &quot;¥&quot;* \-#,##0_ ;_ &quot;¥&quot;* &quot;-&quot;_ ;_ @_ "/>
    <numFmt numFmtId="176" formatCode="[$-F800]dddd\,\ mmmm\ dd\,\ yyyy"/>
    <numFmt numFmtId="177" formatCode="yyyy/m/d;@"/>
  </numFmts>
  <fonts count="15" x14ac:knownFonts="1">
    <font>
      <sz val="11"/>
      <color theme="1"/>
      <name val="ＭＳ 明朝"/>
      <family val="1"/>
      <charset val="128"/>
    </font>
    <font>
      <sz val="6"/>
      <name val="ＭＳ 明朝"/>
      <family val="1"/>
      <charset val="128"/>
    </font>
    <font>
      <sz val="11"/>
      <color indexed="10"/>
      <name val="ＭＳ 明朝"/>
      <family val="1"/>
      <charset val="128"/>
    </font>
    <font>
      <sz val="9"/>
      <color indexed="8"/>
      <name val="ＭＳ Ｐゴシック"/>
      <family val="3"/>
      <charset val="128"/>
    </font>
    <font>
      <b/>
      <sz val="9"/>
      <color indexed="10"/>
      <name val="ＭＳ Ｐゴシック"/>
      <family val="3"/>
      <charset val="128"/>
    </font>
    <font>
      <b/>
      <sz val="11"/>
      <color indexed="8"/>
      <name val="Meiryo UI"/>
      <family val="3"/>
      <charset val="128"/>
    </font>
    <font>
      <u/>
      <sz val="11"/>
      <color theme="10"/>
      <name val="ＭＳ 明朝"/>
      <family val="1"/>
      <charset val="128"/>
    </font>
    <font>
      <sz val="11"/>
      <color theme="1"/>
      <name val="ＭＳ Ｐゴシック"/>
      <family val="3"/>
      <charset val="128"/>
    </font>
    <font>
      <b/>
      <sz val="11"/>
      <color rgb="FFFF0000"/>
      <name val="ＭＳ Ｐゴシック"/>
      <family val="3"/>
      <charset val="128"/>
    </font>
    <font>
      <sz val="9"/>
      <color theme="1"/>
      <name val="ＭＳ Ｐゴシック"/>
      <family val="3"/>
      <charset val="128"/>
    </font>
    <font>
      <sz val="18"/>
      <color theme="1"/>
      <name val="ＭＳ Ｐゴシック"/>
      <family val="3"/>
      <charset val="128"/>
    </font>
    <font>
      <b/>
      <sz val="11"/>
      <color theme="1"/>
      <name val="ＭＳ Ｐゴシック"/>
      <family val="3"/>
      <charset val="128"/>
    </font>
    <font>
      <sz val="11"/>
      <color theme="1"/>
      <name val="Meiryo UI"/>
      <family val="3"/>
      <charset val="128"/>
    </font>
    <font>
      <b/>
      <sz val="18"/>
      <color theme="1"/>
      <name val="ＭＳ Ｐゴシック"/>
      <family val="3"/>
      <charset val="128"/>
    </font>
    <font>
      <b/>
      <sz val="11"/>
      <color rgb="FFFF0000"/>
      <name val="Meiryo UI"/>
      <family val="3"/>
      <charset val="128"/>
    </font>
  </fonts>
  <fills count="7">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s>
  <borders count="32">
    <border>
      <left/>
      <right/>
      <top/>
      <bottom/>
      <diagonal/>
    </border>
    <border>
      <left style="thick">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ck">
        <color indexed="64"/>
      </right>
      <top style="thin">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hair">
        <color indexed="64"/>
      </right>
      <top style="thick">
        <color indexed="64"/>
      </top>
      <bottom style="double">
        <color indexed="64"/>
      </bottom>
      <diagonal/>
    </border>
    <border>
      <left style="hair">
        <color indexed="64"/>
      </left>
      <right style="thin">
        <color indexed="64"/>
      </right>
      <top style="thick">
        <color indexed="64"/>
      </top>
      <bottom style="double">
        <color indexed="64"/>
      </bottom>
      <diagonal/>
    </border>
    <border>
      <left style="thin">
        <color indexed="64"/>
      </left>
      <right/>
      <top style="thick">
        <color indexed="64"/>
      </top>
      <bottom style="double">
        <color indexed="64"/>
      </bottom>
      <diagonal/>
    </border>
    <border>
      <left style="hair">
        <color indexed="64"/>
      </left>
      <right style="hair">
        <color indexed="64"/>
      </right>
      <top style="thick">
        <color indexed="64"/>
      </top>
      <bottom style="double">
        <color indexed="64"/>
      </bottom>
      <diagonal/>
    </border>
    <border>
      <left style="hair">
        <color indexed="64"/>
      </left>
      <right style="thick">
        <color indexed="64"/>
      </right>
      <top style="thick">
        <color indexed="64"/>
      </top>
      <bottom style="double">
        <color indexed="64"/>
      </bottom>
      <diagonal/>
    </border>
    <border>
      <left/>
      <right/>
      <top/>
      <bottom style="hair">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80">
    <xf numFmtId="0" fontId="0" fillId="0" borderId="0" xfId="0">
      <alignment vertical="center"/>
    </xf>
    <xf numFmtId="0" fontId="7" fillId="0" borderId="0" xfId="0" applyFont="1">
      <alignment vertical="center"/>
    </xf>
    <xf numFmtId="0" fontId="7" fillId="2" borderId="1" xfId="0" applyFont="1" applyFill="1" applyBorder="1">
      <alignment vertical="center"/>
    </xf>
    <xf numFmtId="0" fontId="7" fillId="3" borderId="2" xfId="0" applyFont="1" applyFill="1" applyBorder="1">
      <alignment vertical="center"/>
    </xf>
    <xf numFmtId="0" fontId="7" fillId="3" borderId="3" xfId="0" applyFont="1" applyFill="1" applyBorder="1">
      <alignment vertical="center"/>
    </xf>
    <xf numFmtId="0" fontId="7" fillId="3" borderId="4" xfId="0" applyFont="1" applyFill="1" applyBorder="1">
      <alignment vertical="center"/>
    </xf>
    <xf numFmtId="0" fontId="7" fillId="0" borderId="3"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2" borderId="6" xfId="0" applyFont="1" applyFill="1" applyBorder="1">
      <alignment vertical="center"/>
    </xf>
    <xf numFmtId="0" fontId="7" fillId="3" borderId="7" xfId="0" applyFont="1" applyFill="1" applyBorder="1">
      <alignment vertical="center"/>
    </xf>
    <xf numFmtId="0" fontId="7" fillId="3" borderId="8" xfId="0" applyFont="1" applyFill="1" applyBorder="1">
      <alignment vertical="center"/>
    </xf>
    <xf numFmtId="0" fontId="7" fillId="3" borderId="9" xfId="0" applyFont="1" applyFill="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176" fontId="7" fillId="0" borderId="0" xfId="0" applyNumberFormat="1" applyFont="1" applyAlignment="1">
      <alignment horizontal="left" vertical="center"/>
    </xf>
    <xf numFmtId="0" fontId="7" fillId="2" borderId="0" xfId="0" applyFont="1" applyFill="1">
      <alignment vertical="center"/>
    </xf>
    <xf numFmtId="49" fontId="7" fillId="0" borderId="11" xfId="0" applyNumberFormat="1" applyFont="1" applyBorder="1">
      <alignment vertical="center"/>
    </xf>
    <xf numFmtId="49" fontId="7" fillId="0" borderId="12" xfId="0" applyNumberFormat="1" applyFont="1" applyBorder="1">
      <alignment vertical="center"/>
    </xf>
    <xf numFmtId="49" fontId="7" fillId="0" borderId="0" xfId="0" applyNumberFormat="1" applyFont="1">
      <alignment vertical="center"/>
    </xf>
    <xf numFmtId="0" fontId="7" fillId="4" borderId="13" xfId="0" applyFont="1" applyFill="1" applyBorder="1">
      <alignment vertical="center"/>
    </xf>
    <xf numFmtId="0" fontId="7" fillId="4" borderId="14" xfId="0" applyFont="1" applyFill="1" applyBorder="1">
      <alignment vertical="center"/>
    </xf>
    <xf numFmtId="0" fontId="7" fillId="4" borderId="15" xfId="0" applyFont="1" applyFill="1" applyBorder="1">
      <alignment vertical="center"/>
    </xf>
    <xf numFmtId="0" fontId="6" fillId="0" borderId="0" xfId="1">
      <alignment vertical="center"/>
    </xf>
    <xf numFmtId="0" fontId="7" fillId="4" borderId="0" xfId="0" applyFont="1" applyFill="1">
      <alignment vertical="center"/>
    </xf>
    <xf numFmtId="0" fontId="7" fillId="2" borderId="7" xfId="0" applyFont="1" applyFill="1" applyBorder="1">
      <alignment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8" fillId="0" borderId="0" xfId="0" applyFont="1" applyAlignment="1">
      <alignment horizontal="right" vertical="center"/>
    </xf>
    <xf numFmtId="0" fontId="8" fillId="0" borderId="0" xfId="0" applyFont="1" applyAlignment="1">
      <alignment horizontal="right" vertical="top" wrapText="1"/>
    </xf>
    <xf numFmtId="49" fontId="7" fillId="0" borderId="2" xfId="0" applyNumberFormat="1" applyFont="1" applyBorder="1">
      <alignment vertical="center"/>
    </xf>
    <xf numFmtId="49" fontId="7" fillId="0" borderId="7" xfId="0" applyNumberFormat="1" applyFont="1" applyBorder="1">
      <alignment vertical="center"/>
    </xf>
    <xf numFmtId="49" fontId="7" fillId="0" borderId="23" xfId="0" applyNumberFormat="1" applyFont="1" applyBorder="1">
      <alignment vertical="center"/>
    </xf>
    <xf numFmtId="0" fontId="7" fillId="0" borderId="24" xfId="0" applyFont="1" applyBorder="1">
      <alignment vertical="center"/>
    </xf>
    <xf numFmtId="0" fontId="7" fillId="0" borderId="25" xfId="0" applyFont="1" applyBorder="1">
      <alignment vertical="center"/>
    </xf>
    <xf numFmtId="0" fontId="7" fillId="0" borderId="7" xfId="0" applyFont="1" applyBorder="1">
      <alignment vertical="center"/>
    </xf>
    <xf numFmtId="5" fontId="7" fillId="3" borderId="7" xfId="0" applyNumberFormat="1" applyFont="1" applyFill="1" applyBorder="1">
      <alignment vertical="center"/>
    </xf>
    <xf numFmtId="5" fontId="7" fillId="2" borderId="7" xfId="0" applyNumberFormat="1" applyFont="1" applyFill="1" applyBorder="1">
      <alignment vertical="center"/>
    </xf>
    <xf numFmtId="49" fontId="7" fillId="0" borderId="26" xfId="0" applyNumberFormat="1" applyFont="1" applyBorder="1">
      <alignment vertical="center"/>
    </xf>
    <xf numFmtId="49" fontId="7" fillId="0" borderId="27" xfId="0" applyNumberFormat="1" applyFont="1" applyBorder="1">
      <alignment vertical="center"/>
    </xf>
    <xf numFmtId="0" fontId="9" fillId="0" borderId="0" xfId="0" applyFont="1" applyAlignment="1"/>
    <xf numFmtId="0" fontId="9" fillId="0" borderId="0" xfId="0" applyFont="1" applyAlignment="1">
      <alignment horizontal="center"/>
    </xf>
    <xf numFmtId="49" fontId="7" fillId="0" borderId="23"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2" xfId="0" applyNumberFormat="1" applyFont="1" applyBorder="1" applyAlignment="1">
      <alignment horizontal="center" vertical="center"/>
    </xf>
    <xf numFmtId="0" fontId="7" fillId="4" borderId="25" xfId="0" applyFont="1" applyFill="1" applyBorder="1">
      <alignment vertical="center"/>
    </xf>
    <xf numFmtId="0" fontId="7" fillId="4" borderId="28" xfId="0" applyFont="1" applyFill="1" applyBorder="1">
      <alignment vertical="center"/>
    </xf>
    <xf numFmtId="0" fontId="7" fillId="4" borderId="29" xfId="0" applyFont="1" applyFill="1" applyBorder="1">
      <alignment vertical="center"/>
    </xf>
    <xf numFmtId="42" fontId="10" fillId="2" borderId="30" xfId="0" applyNumberFormat="1" applyFont="1" applyFill="1" applyBorder="1">
      <alignment vertical="center"/>
    </xf>
    <xf numFmtId="0" fontId="9" fillId="0" borderId="0" xfId="0" applyFont="1">
      <alignment vertical="center"/>
    </xf>
    <xf numFmtId="0" fontId="9" fillId="0" borderId="0" xfId="0" applyFont="1" applyAlignment="1">
      <alignment vertical="center" wrapText="1"/>
    </xf>
    <xf numFmtId="177" fontId="7" fillId="2" borderId="7" xfId="0" applyNumberFormat="1" applyFont="1" applyFill="1" applyBorder="1">
      <alignment vertical="center"/>
    </xf>
    <xf numFmtId="177" fontId="7" fillId="0" borderId="24" xfId="0" applyNumberFormat="1" applyFont="1" applyBorder="1">
      <alignment vertical="center"/>
    </xf>
    <xf numFmtId="177" fontId="7" fillId="0" borderId="25" xfId="0" applyNumberFormat="1" applyFont="1" applyBorder="1">
      <alignment vertical="center"/>
    </xf>
    <xf numFmtId="0" fontId="11" fillId="5" borderId="7" xfId="0" applyFont="1" applyFill="1" applyBorder="1" applyAlignment="1">
      <alignment horizontal="center" vertical="center"/>
    </xf>
    <xf numFmtId="5" fontId="11" fillId="5" borderId="7" xfId="0" applyNumberFormat="1" applyFont="1" applyFill="1" applyBorder="1" applyAlignment="1">
      <alignment horizontal="center" vertical="center"/>
    </xf>
    <xf numFmtId="0" fontId="9" fillId="0" borderId="0" xfId="0" applyFont="1" applyAlignment="1">
      <alignment vertical="top"/>
    </xf>
    <xf numFmtId="0" fontId="10" fillId="6" borderId="23" xfId="0" applyFont="1" applyFill="1" applyBorder="1">
      <alignment vertical="center"/>
    </xf>
    <xf numFmtId="0" fontId="10" fillId="6" borderId="12" xfId="0" applyFont="1" applyFill="1" applyBorder="1">
      <alignment vertical="center"/>
    </xf>
    <xf numFmtId="0" fontId="9" fillId="0" borderId="0" xfId="0" applyFont="1" applyAlignment="1">
      <alignment horizontal="right" vertical="center"/>
    </xf>
    <xf numFmtId="0" fontId="7" fillId="4" borderId="7" xfId="0" applyFont="1" applyFill="1" applyBorder="1" applyAlignment="1">
      <alignment horizontal="center" vertical="top"/>
    </xf>
    <xf numFmtId="0" fontId="7" fillId="4" borderId="7" xfId="0" applyFont="1" applyFill="1" applyBorder="1" applyAlignment="1">
      <alignment horizontal="center" vertical="top" wrapText="1"/>
    </xf>
    <xf numFmtId="49" fontId="7" fillId="0" borderId="31" xfId="0" applyNumberFormat="1" applyFont="1" applyBorder="1">
      <alignment vertical="center"/>
    </xf>
    <xf numFmtId="49" fontId="7" fillId="0" borderId="12" xfId="0" quotePrefix="1" applyNumberFormat="1" applyFont="1" applyBorder="1">
      <alignment vertical="center"/>
    </xf>
    <xf numFmtId="176" fontId="7" fillId="0" borderId="30" xfId="0" applyNumberFormat="1" applyFont="1" applyBorder="1" applyAlignment="1">
      <alignment horizontal="left" vertical="center"/>
    </xf>
    <xf numFmtId="0" fontId="7" fillId="0" borderId="30" xfId="0" applyFont="1" applyBorder="1">
      <alignment vertical="center"/>
    </xf>
    <xf numFmtId="0" fontId="7" fillId="0" borderId="30" xfId="0" applyFont="1" applyBorder="1" applyAlignment="1">
      <alignment vertical="top" wrapText="1"/>
    </xf>
    <xf numFmtId="0" fontId="7" fillId="0" borderId="30" xfId="0" applyFont="1" applyBorder="1" applyAlignment="1">
      <alignment vertical="top"/>
    </xf>
    <xf numFmtId="0" fontId="12" fillId="0" borderId="0" xfId="0" applyFont="1">
      <alignment vertical="center"/>
    </xf>
    <xf numFmtId="0" fontId="14" fillId="0" borderId="0" xfId="0" applyFont="1">
      <alignment vertical="center"/>
    </xf>
    <xf numFmtId="49" fontId="7" fillId="0" borderId="7" xfId="0" quotePrefix="1" applyNumberFormat="1" applyFont="1" applyBorder="1">
      <alignment vertical="center"/>
    </xf>
    <xf numFmtId="0" fontId="9" fillId="0" borderId="0" xfId="0" applyFont="1" applyAlignment="1">
      <alignment vertical="top" wrapText="1"/>
    </xf>
    <xf numFmtId="0" fontId="13" fillId="0" borderId="0" xfId="0" applyFont="1" applyAlignment="1">
      <alignment horizontal="center" vertical="center"/>
    </xf>
    <xf numFmtId="0" fontId="10" fillId="0" borderId="0" xfId="0" applyFont="1" applyAlignment="1">
      <alignment horizontal="center" vertical="center"/>
    </xf>
  </cellXfs>
  <cellStyles count="2">
    <cellStyle name="ハイパーリンク" xfId="1" builtinId="8"/>
    <cellStyle name="標準" xfId="0" builtinId="0"/>
  </cellStyles>
  <dxfs count="3">
    <dxf>
      <numFmt numFmtId="0" formatCode="General"/>
      <fill>
        <patternFill>
          <bgColor theme="0" tint="-0.499984740745262"/>
        </patternFill>
      </fill>
    </dxf>
    <dxf>
      <font>
        <b/>
        <i val="0"/>
        <color rgb="FFFF0000"/>
      </font>
      <fill>
        <patternFill>
          <bgColor rgb="FFFFFF00"/>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123825</xdr:colOff>
      <xdr:row>0</xdr:row>
      <xdr:rowOff>0</xdr:rowOff>
    </xdr:from>
    <xdr:ext cx="10801350" cy="2781300"/>
    <xdr:sp macro="" textlink="">
      <xdr:nvSpPr>
        <xdr:cNvPr id="2" name="テキスト ボックス 1">
          <a:extLst>
            <a:ext uri="{FF2B5EF4-FFF2-40B4-BE49-F238E27FC236}">
              <a16:creationId xmlns:a16="http://schemas.microsoft.com/office/drawing/2014/main" id="{9E2B939B-9B39-28A0-BDE8-9FBB4FEF598D}"/>
            </a:ext>
          </a:extLst>
        </xdr:cNvPr>
        <xdr:cNvSpPr txBox="1"/>
      </xdr:nvSpPr>
      <xdr:spPr>
        <a:xfrm>
          <a:off x="600075" y="0"/>
          <a:ext cx="10801350" cy="27813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出場選手名簿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出場選手を記載してください。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背景色がグレーのセルは無視されます。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所属と登録陸協を空白にすると、「（１）鑑」シートに記載した内容で自動登録します。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参考記録の入力</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en-US" altLang="ja-JP" sz="900">
              <a:latin typeface="Meiryo UI" panose="020B0604030504040204" pitchFamily="50" charset="-128"/>
              <a:ea typeface="Meiryo UI" panose="020B0604030504040204" pitchFamily="50" charset="-128"/>
            </a:rPr>
            <a:t>     59</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87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59.87</a:t>
          </a:r>
        </a:p>
        <a:p>
          <a:pPr>
            <a:lnSpc>
              <a:spcPts val="1200"/>
            </a:lnSpc>
          </a:pPr>
          <a:r>
            <a:rPr kumimoji="1" lang="en-US" altLang="ja-JP" sz="900">
              <a:latin typeface="Meiryo UI" panose="020B0604030504040204" pitchFamily="50" charset="-128"/>
              <a:ea typeface="Meiryo UI" panose="020B0604030504040204" pitchFamily="50" charset="-128"/>
            </a:rPr>
            <a:t>4</a:t>
          </a:r>
          <a:r>
            <a:rPr kumimoji="1" lang="ja-JP" altLang="en-US" sz="900">
              <a:latin typeface="Meiryo UI" panose="020B0604030504040204" pitchFamily="50" charset="-128"/>
              <a:ea typeface="Meiryo UI" panose="020B0604030504040204" pitchFamily="50" charset="-128"/>
            </a:rPr>
            <a:t>分</a:t>
          </a:r>
          <a:r>
            <a:rPr kumimoji="1" lang="en-US" altLang="ja-JP" sz="900">
              <a:latin typeface="Meiryo UI" panose="020B0604030504040204" pitchFamily="50" charset="-128"/>
              <a:ea typeface="Meiryo UI" panose="020B0604030504040204" pitchFamily="50" charset="-128"/>
            </a:rPr>
            <a:t>32</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10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4:32.10</a:t>
          </a:r>
        </a:p>
        <a:p>
          <a:pPr>
            <a:lnSpc>
              <a:spcPts val="1200"/>
            </a:lnSpc>
          </a:pPr>
          <a:r>
            <a:rPr kumimoji="1" lang="en-US" altLang="ja-JP" sz="900">
              <a:latin typeface="Meiryo UI" panose="020B0604030504040204" pitchFamily="50" charset="-128"/>
              <a:ea typeface="Meiryo UI" panose="020B0604030504040204" pitchFamily="50" charset="-128"/>
            </a:rPr>
            <a:t>     12m35 </a:t>
          </a:r>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12m35</a:t>
          </a: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コンピュータで処理できない漢字がある場合は、この一覧表には処理可能な代替文字で入力し、「（１）鑑」シートの学校連絡欄にてその旨を記載してください。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姓にはファミリーネーム、名にはファミリーネーム以外を入れてください。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氏名の漢字誤り、フリガナの誤り、エントリー誤りがないか各団体責任の下、確認してから申し込みを行ってください。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a:solidFill>
                <a:srgbClr val="FF0000"/>
              </a:solidFill>
              <a:latin typeface="Meiryo UI" panose="020B0604030504040204" pitchFamily="50" charset="-128"/>
              <a:ea typeface="Meiryo UI" panose="020B0604030504040204" pitchFamily="50" charset="-128"/>
            </a:rPr>
            <a:t>・ 必須項目がすべて入力されると、</a:t>
          </a:r>
          <a:r>
            <a:rPr kumimoji="1" lang="en-US" altLang="ja-JP" sz="900">
              <a:solidFill>
                <a:srgbClr val="FF0000"/>
              </a:solidFill>
              <a:latin typeface="Meiryo UI" panose="020B0604030504040204" pitchFamily="50" charset="-128"/>
              <a:ea typeface="Meiryo UI" panose="020B0604030504040204" pitchFamily="50" charset="-128"/>
            </a:rPr>
            <a:t>No.</a:t>
          </a:r>
          <a:r>
            <a:rPr kumimoji="1" lang="ja-JP" altLang="en-US" sz="900">
              <a:solidFill>
                <a:srgbClr val="FF0000"/>
              </a:solidFill>
              <a:latin typeface="Meiryo UI" panose="020B0604030504040204" pitchFamily="50" charset="-128"/>
              <a:ea typeface="Meiryo UI" panose="020B0604030504040204" pitchFamily="50" charset="-128"/>
            </a:rPr>
            <a:t>列に数字が表示されます。数字が表示されない行については記載漏れがありますので内容を確認してください。</a:t>
          </a:r>
          <a:endParaRPr kumimoji="1" lang="en-US" altLang="ja-JP" sz="900">
            <a:solidFill>
              <a:srgbClr val="FF0000"/>
            </a:solidFill>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9525</xdr:colOff>
      <xdr:row>1</xdr:row>
      <xdr:rowOff>85725</xdr:rowOff>
    </xdr:from>
    <xdr:ext cx="7677150" cy="2188548"/>
    <xdr:sp macro="" textlink="">
      <xdr:nvSpPr>
        <xdr:cNvPr id="2" name="テキスト ボックス 1">
          <a:extLst>
            <a:ext uri="{FF2B5EF4-FFF2-40B4-BE49-F238E27FC236}">
              <a16:creationId xmlns:a16="http://schemas.microsoft.com/office/drawing/2014/main" id="{7E0F4A96-81EE-E282-11F4-7DDC73800ADE}"/>
            </a:ext>
          </a:extLst>
        </xdr:cNvPr>
        <xdr:cNvSpPr txBox="1"/>
      </xdr:nvSpPr>
      <xdr:spPr>
        <a:xfrm>
          <a:off x="209550" y="85725"/>
          <a:ext cx="7677150" cy="218854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エントリー名簿</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900">
              <a:latin typeface="Meiryo UI" panose="020B0604030504040204" pitchFamily="50" charset="-128"/>
              <a:ea typeface="Meiryo UI" panose="020B0604030504040204" pitchFamily="50" charset="-128"/>
            </a:rPr>
            <a:t>出場する選手のエントリーごとの一覧表です。</a:t>
          </a:r>
          <a:br>
            <a:rPr kumimoji="1" lang="en-US" altLang="ja-JP" sz="900">
              <a:latin typeface="Meiryo UI" panose="020B0604030504040204" pitchFamily="50" charset="-128"/>
              <a:ea typeface="Meiryo UI" panose="020B0604030504040204" pitchFamily="50" charset="-128"/>
            </a:rPr>
          </a:b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種目エントリーする場合は同じ名前が</a:t>
          </a:r>
          <a:r>
            <a:rPr kumimoji="1" lang="en-US" altLang="ja-JP" sz="900">
              <a:latin typeface="Meiryo UI" panose="020B0604030504040204" pitchFamily="50" charset="-128"/>
              <a:ea typeface="Meiryo UI" panose="020B0604030504040204" pitchFamily="50" charset="-128"/>
            </a:rPr>
            <a:t>2</a:t>
          </a:r>
          <a:r>
            <a:rPr kumimoji="1" lang="ja-JP" altLang="en-US" sz="900">
              <a:latin typeface="Meiryo UI" panose="020B0604030504040204" pitchFamily="50" charset="-128"/>
              <a:ea typeface="Meiryo UI" panose="020B0604030504040204" pitchFamily="50" charset="-128"/>
            </a:rPr>
            <a:t>行出ます。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！！！注意！！！</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この一覧表は「</a:t>
          </a:r>
          <a:r>
            <a:rPr kumimoji="1" lang="en-US" altLang="ja-JP" sz="900" b="1">
              <a:solidFill>
                <a:srgbClr val="FF0000"/>
              </a:solidFill>
              <a:latin typeface="Meiryo UI" panose="020B0604030504040204" pitchFamily="50" charset="-128"/>
              <a:ea typeface="Meiryo UI" panose="020B0604030504040204" pitchFamily="50" charset="-128"/>
            </a:rPr>
            <a:t>(2)</a:t>
          </a:r>
          <a:r>
            <a:rPr kumimoji="1" lang="ja-JP" altLang="en-US" sz="900" b="1">
              <a:solidFill>
                <a:srgbClr val="FF0000"/>
              </a:solidFill>
              <a:latin typeface="Meiryo UI" panose="020B0604030504040204" pitchFamily="50" charset="-128"/>
              <a:ea typeface="Meiryo UI" panose="020B0604030504040204" pitchFamily="50" charset="-128"/>
            </a:rPr>
            <a:t>出場選手」シートに記載された内容をもとに数式で一覧化しています。</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r>
            <a:rPr kumimoji="1" lang="ja-JP" altLang="en-US" sz="900" b="1">
              <a:solidFill>
                <a:srgbClr val="FF0000"/>
              </a:solidFill>
              <a:latin typeface="Meiryo UI" panose="020B0604030504040204" pitchFamily="50" charset="-128"/>
              <a:ea typeface="Meiryo UI" panose="020B0604030504040204" pitchFamily="50" charset="-128"/>
            </a:rPr>
            <a:t>このシートはセル編集や表の並び替えといった操作をしないでください。</a:t>
          </a:r>
          <a:endParaRPr kumimoji="1" lang="en-US" altLang="ja-JP" sz="900" b="1">
            <a:solidFill>
              <a:srgbClr val="FF0000"/>
            </a:solidFill>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エントリー内容をとりまとめする場合は別の</a:t>
          </a:r>
          <a:r>
            <a:rPr kumimoji="1" lang="en-US" altLang="ja-JP" sz="900">
              <a:latin typeface="Meiryo UI" panose="020B0604030504040204" pitchFamily="50" charset="-128"/>
              <a:ea typeface="Meiryo UI" panose="020B0604030504040204" pitchFamily="50" charset="-128"/>
            </a:rPr>
            <a:t>Excel</a:t>
          </a:r>
          <a:r>
            <a:rPr kumimoji="1" lang="ja-JP" altLang="en-US" sz="900">
              <a:latin typeface="Meiryo UI" panose="020B0604030504040204" pitchFamily="50" charset="-128"/>
              <a:ea typeface="Meiryo UI" panose="020B0604030504040204" pitchFamily="50" charset="-128"/>
            </a:rPr>
            <a:t>ファイルに値をコピーして貼り付けるなどしてご利用ください。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「名簿</a:t>
          </a:r>
          <a:r>
            <a:rPr kumimoji="1" lang="en-US" altLang="ja-JP" sz="900">
              <a:latin typeface="Meiryo UI" panose="020B0604030504040204" pitchFamily="50" charset="-128"/>
              <a:ea typeface="Meiryo UI" panose="020B0604030504040204" pitchFamily="50" charset="-128"/>
            </a:rPr>
            <a:t>No.</a:t>
          </a:r>
          <a:r>
            <a:rPr kumimoji="1" lang="ja-JP" altLang="en-US" sz="900">
              <a:latin typeface="Meiryo UI" panose="020B0604030504040204" pitchFamily="50" charset="-128"/>
              <a:ea typeface="Meiryo UI" panose="020B0604030504040204" pitchFamily="50" charset="-128"/>
            </a:rPr>
            <a:t>」のセルにフォーカスを当てて、</a:t>
          </a:r>
          <a:r>
            <a:rPr kumimoji="1" lang="en-US" altLang="ja-JP" sz="900">
              <a:latin typeface="Meiryo UI" panose="020B0604030504040204" pitchFamily="50" charset="-128"/>
              <a:ea typeface="Meiryo UI" panose="020B0604030504040204" pitchFamily="50" charset="-128"/>
            </a:rPr>
            <a:t>Ctrl</a:t>
          </a:r>
          <a:r>
            <a:rPr kumimoji="1" lang="ja-JP" altLang="en-US" sz="900">
              <a:latin typeface="Meiryo UI" panose="020B0604030504040204" pitchFamily="50" charset="-128"/>
              <a:ea typeface="Meiryo UI" panose="020B0604030504040204" pitchFamily="50" charset="-128"/>
            </a:rPr>
            <a:t>キーと</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キーを同時押しすると一覧表全体を選択することができます。</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ja-JP" altLang="en-US" sz="900">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7677150" cy="1638975"/>
    <xdr:sp macro="" textlink="">
      <xdr:nvSpPr>
        <xdr:cNvPr id="2" name="テキスト ボックス 1">
          <a:extLst>
            <a:ext uri="{FF2B5EF4-FFF2-40B4-BE49-F238E27FC236}">
              <a16:creationId xmlns:a16="http://schemas.microsoft.com/office/drawing/2014/main" id="{9A7AB1CD-76E7-9ED9-26D2-7BAA130CE9E3}"/>
            </a:ext>
          </a:extLst>
        </xdr:cNvPr>
        <xdr:cNvSpPr txBox="1"/>
      </xdr:nvSpPr>
      <xdr:spPr>
        <a:xfrm>
          <a:off x="514350" y="0"/>
          <a:ext cx="7677150" cy="163897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spAutoFit/>
        </a:bodyPr>
        <a:lstStyle/>
        <a:p>
          <a:pPr>
            <a:lnSpc>
              <a:spcPts val="1200"/>
            </a:lnSpc>
          </a:pP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種目リスト</a:t>
          </a:r>
          <a:r>
            <a:rPr kumimoji="1" lang="en-US" altLang="ja-JP" sz="900">
              <a:latin typeface="Meiryo UI" panose="020B0604030504040204" pitchFamily="50" charset="-128"/>
              <a:ea typeface="Meiryo UI" panose="020B0604030504040204" pitchFamily="50" charset="-128"/>
            </a:rPr>
            <a:t>】</a:t>
          </a:r>
        </a:p>
        <a:p>
          <a:pPr>
            <a:lnSpc>
              <a:spcPts val="1200"/>
            </a:lnSpc>
          </a:pPr>
          <a:r>
            <a:rPr kumimoji="1" lang="ja-JP" altLang="en-US" sz="1200" b="1">
              <a:latin typeface="Meiryo UI" panose="020B0604030504040204" pitchFamily="50" charset="-128"/>
              <a:ea typeface="Meiryo UI" panose="020B0604030504040204" pitchFamily="50" charset="-128"/>
            </a:rPr>
            <a:t>！！！このシートは主催者が設定するシートです！！！</a:t>
          </a:r>
          <a:endParaRPr kumimoji="1" lang="en-US" altLang="ja-JP" sz="1200" b="1">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主催者が申込書を準備するときに設定してください。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エントリー料は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以上の数字を入れてください。不要の場合は</a:t>
          </a:r>
          <a:r>
            <a:rPr kumimoji="1" lang="en-US" altLang="ja-JP" sz="900">
              <a:latin typeface="Meiryo UI" panose="020B0604030504040204" pitchFamily="50" charset="-128"/>
              <a:ea typeface="Meiryo UI" panose="020B0604030504040204" pitchFamily="50" charset="-128"/>
            </a:rPr>
            <a:t>\0</a:t>
          </a:r>
          <a:r>
            <a:rPr kumimoji="1" lang="ja-JP" altLang="en-US" sz="900">
              <a:latin typeface="Meiryo UI" panose="020B0604030504040204" pitchFamily="50" charset="-128"/>
              <a:ea typeface="Meiryo UI" panose="020B0604030504040204" pitchFamily="50" charset="-128"/>
            </a:rPr>
            <a:t>としてください。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予期せぬ改ざんが発生しないよう、シートの非表示、ブックの保護するなど対策を行ってください。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en-US" altLang="ja-JP" sz="900">
              <a:latin typeface="Meiryo UI" panose="020B0604030504040204" pitchFamily="50" charset="-128"/>
              <a:ea typeface="Meiryo UI" panose="020B0604030504040204" pitchFamily="50" charset="-128"/>
            </a:rPr>
            <a:t>&lt;&lt;</a:t>
          </a:r>
          <a:r>
            <a:rPr kumimoji="1" lang="ja-JP" altLang="en-US" sz="900">
              <a:latin typeface="Meiryo UI" panose="020B0604030504040204" pitchFamily="50" charset="-128"/>
              <a:ea typeface="Meiryo UI" panose="020B0604030504040204" pitchFamily="50" charset="-128"/>
            </a:rPr>
            <a:t>参加者の皆様へ</a:t>
          </a:r>
          <a:r>
            <a:rPr kumimoji="1" lang="en-US" altLang="ja-JP" sz="900">
              <a:latin typeface="Meiryo UI" panose="020B0604030504040204" pitchFamily="50" charset="-128"/>
              <a:ea typeface="Meiryo UI" panose="020B0604030504040204" pitchFamily="50" charset="-128"/>
            </a:rPr>
            <a:t>&gt;&gt;</a:t>
          </a:r>
        </a:p>
        <a:p>
          <a:pPr>
            <a:lnSpc>
              <a:spcPts val="1200"/>
            </a:lnSpc>
          </a:pPr>
          <a:r>
            <a:rPr kumimoji="1" lang="ja-JP" altLang="en-US" sz="900">
              <a:latin typeface="Meiryo UI" panose="020B0604030504040204" pitchFamily="50" charset="-128"/>
              <a:ea typeface="Meiryo UI" panose="020B0604030504040204" pitchFamily="50" charset="-128"/>
            </a:rPr>
            <a:t>このシートは、申込書の設定項目です。</a:t>
          </a:r>
          <a:endParaRPr kumimoji="1" lang="en-US" altLang="ja-JP" sz="900">
            <a:latin typeface="Meiryo UI" panose="020B0604030504040204" pitchFamily="50" charset="-128"/>
            <a:ea typeface="Meiryo UI" panose="020B0604030504040204" pitchFamily="50" charset="-128"/>
          </a:endParaRPr>
        </a:p>
        <a:p>
          <a:pPr>
            <a:lnSpc>
              <a:spcPts val="1200"/>
            </a:lnSpc>
          </a:pPr>
          <a:r>
            <a:rPr kumimoji="1" lang="ja-JP" altLang="en-US" sz="900">
              <a:latin typeface="Meiryo UI" panose="020B0604030504040204" pitchFamily="50" charset="-128"/>
              <a:ea typeface="Meiryo UI" panose="020B0604030504040204" pitchFamily="50" charset="-128"/>
            </a:rPr>
            <a:t>このシートに改ざんがありますと、受取りませんので、絶対に編集しないでください。</a:t>
          </a:r>
          <a:endParaRPr kumimoji="1" lang="en-US" altLang="ja-JP" sz="900">
            <a:latin typeface="Meiryo UI" panose="020B0604030504040204" pitchFamily="50" charset="-128"/>
            <a:ea typeface="Meiryo UI" panose="020B0604030504040204" pitchFamily="50" charset="-128"/>
          </a:endParaRPr>
        </a:p>
        <a:p>
          <a:pPr>
            <a:lnSpc>
              <a:spcPts val="1200"/>
            </a:lnSpc>
          </a:pPr>
          <a:endParaRPr kumimoji="1" lang="en-US" altLang="ja-JP" sz="900">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EE72-ED0C-40FA-AB6F-953BF6662A8E}">
  <sheetPr codeName="Sheet1"/>
  <dimension ref="A1:W133"/>
  <sheetViews>
    <sheetView showGridLines="0" workbookViewId="0"/>
  </sheetViews>
  <sheetFormatPr defaultColWidth="2.625" defaultRowHeight="15.75" x14ac:dyDescent="0.15"/>
  <cols>
    <col min="1" max="16384" width="2.625" style="74"/>
  </cols>
  <sheetData>
    <row r="1" spans="1:23" x14ac:dyDescent="0.15">
      <c r="A1" s="75" t="s">
        <v>207</v>
      </c>
      <c r="B1" s="75"/>
      <c r="C1" s="75"/>
      <c r="D1" s="75"/>
      <c r="E1" s="75"/>
      <c r="F1" s="75"/>
      <c r="G1" s="75"/>
      <c r="H1" s="75"/>
      <c r="I1" s="75"/>
      <c r="J1" s="75"/>
      <c r="K1" s="75"/>
      <c r="L1" s="75"/>
      <c r="M1" s="75"/>
      <c r="N1" s="75"/>
      <c r="O1" s="75"/>
      <c r="P1" s="75"/>
      <c r="Q1" s="75"/>
      <c r="R1" s="75"/>
      <c r="S1" s="75"/>
      <c r="T1" s="75"/>
      <c r="U1" s="75"/>
      <c r="V1" s="75"/>
      <c r="W1" s="75"/>
    </row>
    <row r="2" spans="1:23" x14ac:dyDescent="0.15">
      <c r="A2" s="75" t="s">
        <v>208</v>
      </c>
      <c r="B2" s="75"/>
      <c r="C2" s="75"/>
      <c r="D2" s="75"/>
      <c r="E2" s="75"/>
      <c r="F2" s="75"/>
      <c r="G2" s="75"/>
      <c r="H2" s="75"/>
      <c r="I2" s="75"/>
      <c r="J2" s="75"/>
      <c r="K2" s="75"/>
      <c r="L2" s="75"/>
      <c r="M2" s="75"/>
      <c r="N2" s="75"/>
      <c r="O2" s="75"/>
      <c r="P2" s="75"/>
      <c r="Q2" s="75"/>
      <c r="R2" s="75"/>
      <c r="S2" s="75"/>
      <c r="T2" s="75"/>
      <c r="U2" s="75"/>
      <c r="V2" s="75"/>
      <c r="W2" s="75"/>
    </row>
    <row r="3" spans="1:23" x14ac:dyDescent="0.15">
      <c r="A3" s="75" t="s">
        <v>209</v>
      </c>
      <c r="B3" s="75"/>
      <c r="C3" s="75"/>
      <c r="D3" s="75"/>
      <c r="E3" s="75"/>
      <c r="F3" s="75"/>
      <c r="G3" s="75"/>
      <c r="H3" s="75"/>
      <c r="I3" s="75"/>
      <c r="J3" s="75"/>
      <c r="K3" s="75"/>
      <c r="L3" s="75"/>
      <c r="M3" s="75"/>
      <c r="N3" s="75"/>
      <c r="O3" s="75"/>
      <c r="P3" s="75"/>
      <c r="Q3" s="75"/>
      <c r="R3" s="75"/>
      <c r="S3" s="75"/>
      <c r="T3" s="75"/>
      <c r="U3" s="75"/>
      <c r="V3" s="75"/>
      <c r="W3" s="75"/>
    </row>
    <row r="4" spans="1:23" x14ac:dyDescent="0.15">
      <c r="A4" s="75"/>
      <c r="B4" s="75"/>
      <c r="C4" s="75"/>
      <c r="D4" s="75"/>
      <c r="E4" s="75"/>
      <c r="F4" s="75"/>
      <c r="G4" s="75"/>
      <c r="H4" s="75"/>
      <c r="I4" s="75"/>
      <c r="J4" s="75"/>
      <c r="K4" s="75"/>
      <c r="L4" s="75"/>
      <c r="M4" s="75"/>
      <c r="N4" s="75"/>
      <c r="O4" s="75"/>
      <c r="P4" s="75"/>
      <c r="Q4" s="75"/>
      <c r="R4" s="75"/>
      <c r="S4" s="75"/>
      <c r="T4" s="75"/>
      <c r="U4" s="75"/>
      <c r="V4" s="75"/>
      <c r="W4" s="75"/>
    </row>
    <row r="5" spans="1:23" x14ac:dyDescent="0.15">
      <c r="A5" s="75" t="s">
        <v>289</v>
      </c>
      <c r="B5" s="75"/>
      <c r="C5" s="75"/>
      <c r="D5" s="75"/>
      <c r="E5" s="75"/>
      <c r="F5" s="75"/>
      <c r="G5" s="75"/>
      <c r="H5" s="75"/>
      <c r="I5" s="75"/>
      <c r="J5" s="75"/>
      <c r="K5" s="75"/>
      <c r="L5" s="75"/>
      <c r="M5" s="75"/>
      <c r="N5" s="75"/>
      <c r="O5" s="75"/>
      <c r="P5" s="75"/>
      <c r="Q5" s="75"/>
      <c r="R5" s="75"/>
      <c r="S5" s="75"/>
      <c r="T5" s="75"/>
      <c r="U5" s="75"/>
      <c r="V5" s="75"/>
      <c r="W5" s="75"/>
    </row>
    <row r="6" spans="1:23" x14ac:dyDescent="0.15">
      <c r="A6" s="75" t="s">
        <v>288</v>
      </c>
      <c r="B6" s="75"/>
      <c r="C6" s="75"/>
      <c r="D6" s="75"/>
      <c r="E6" s="75"/>
      <c r="F6" s="75"/>
      <c r="G6" s="75"/>
      <c r="H6" s="75"/>
      <c r="I6" s="75"/>
      <c r="J6" s="75"/>
      <c r="K6" s="75"/>
      <c r="L6" s="75"/>
      <c r="M6" s="75"/>
      <c r="N6" s="75"/>
      <c r="O6" s="75"/>
      <c r="P6" s="75"/>
      <c r="Q6" s="75"/>
      <c r="R6" s="75"/>
      <c r="S6" s="75"/>
      <c r="T6" s="75"/>
      <c r="U6" s="75"/>
      <c r="V6" s="75"/>
      <c r="W6" s="75"/>
    </row>
    <row r="7" spans="1:23" x14ac:dyDescent="0.15">
      <c r="A7" s="74" t="s">
        <v>210</v>
      </c>
    </row>
    <row r="9" spans="1:23" x14ac:dyDescent="0.15">
      <c r="A9" s="74" t="s">
        <v>211</v>
      </c>
    </row>
    <row r="11" spans="1:23" x14ac:dyDescent="0.15">
      <c r="A11" s="74" t="s">
        <v>212</v>
      </c>
    </row>
    <row r="12" spans="1:23" x14ac:dyDescent="0.15">
      <c r="A12" s="74" t="s">
        <v>213</v>
      </c>
    </row>
    <row r="13" spans="1:23" x14ac:dyDescent="0.15">
      <c r="A13" s="74" t="s">
        <v>275</v>
      </c>
    </row>
    <row r="15" spans="1:23" x14ac:dyDescent="0.15">
      <c r="A15" s="74" t="s">
        <v>214</v>
      </c>
    </row>
    <row r="18" spans="1:2" x14ac:dyDescent="0.15">
      <c r="A18" s="74" t="s">
        <v>215</v>
      </c>
    </row>
    <row r="20" spans="1:2" x14ac:dyDescent="0.15">
      <c r="A20" s="74" t="s">
        <v>216</v>
      </c>
    </row>
    <row r="21" spans="1:2" x14ac:dyDescent="0.15">
      <c r="B21" s="74" t="s">
        <v>217</v>
      </c>
    </row>
    <row r="22" spans="1:2" x14ac:dyDescent="0.15">
      <c r="B22" s="74" t="s">
        <v>218</v>
      </c>
    </row>
    <row r="23" spans="1:2" x14ac:dyDescent="0.15">
      <c r="B23" s="74" t="s">
        <v>219</v>
      </c>
    </row>
    <row r="24" spans="1:2" x14ac:dyDescent="0.15">
      <c r="A24" s="74" t="s">
        <v>220</v>
      </c>
    </row>
    <row r="26" spans="1:2" x14ac:dyDescent="0.15">
      <c r="A26" s="74" t="s">
        <v>221</v>
      </c>
    </row>
    <row r="29" spans="1:2" x14ac:dyDescent="0.15">
      <c r="A29" s="74" t="s">
        <v>222</v>
      </c>
    </row>
    <row r="31" spans="1:2" x14ac:dyDescent="0.15">
      <c r="A31" s="74" t="s">
        <v>223</v>
      </c>
    </row>
    <row r="33" spans="1:2" x14ac:dyDescent="0.15">
      <c r="A33" s="74" t="s">
        <v>224</v>
      </c>
    </row>
    <row r="34" spans="1:2" x14ac:dyDescent="0.15">
      <c r="A34" s="74" t="s">
        <v>225</v>
      </c>
    </row>
    <row r="36" spans="1:2" x14ac:dyDescent="0.15">
      <c r="A36" s="74" t="s">
        <v>226</v>
      </c>
    </row>
    <row r="37" spans="1:2" x14ac:dyDescent="0.15">
      <c r="B37" s="74" t="s">
        <v>227</v>
      </c>
    </row>
    <row r="38" spans="1:2" x14ac:dyDescent="0.15">
      <c r="B38" s="74" t="s">
        <v>228</v>
      </c>
    </row>
    <row r="39" spans="1:2" x14ac:dyDescent="0.15">
      <c r="B39" s="74" t="s">
        <v>229</v>
      </c>
    </row>
    <row r="40" spans="1:2" x14ac:dyDescent="0.15">
      <c r="B40" s="74" t="s">
        <v>230</v>
      </c>
    </row>
    <row r="42" spans="1:2" x14ac:dyDescent="0.15">
      <c r="A42" s="74" t="s">
        <v>231</v>
      </c>
    </row>
    <row r="43" spans="1:2" x14ac:dyDescent="0.15">
      <c r="A43" s="74" t="s">
        <v>232</v>
      </c>
    </row>
    <row r="45" spans="1:2" x14ac:dyDescent="0.15">
      <c r="A45" s="74" t="s">
        <v>233</v>
      </c>
    </row>
    <row r="46" spans="1:2" x14ac:dyDescent="0.15">
      <c r="B46" s="74" t="s">
        <v>234</v>
      </c>
    </row>
    <row r="47" spans="1:2" x14ac:dyDescent="0.15">
      <c r="B47" s="74" t="s">
        <v>235</v>
      </c>
    </row>
    <row r="50" spans="1:2" x14ac:dyDescent="0.15">
      <c r="A50" s="74" t="s">
        <v>236</v>
      </c>
    </row>
    <row r="52" spans="1:2" x14ac:dyDescent="0.15">
      <c r="A52" s="74" t="s">
        <v>237</v>
      </c>
    </row>
    <row r="54" spans="1:2" x14ac:dyDescent="0.15">
      <c r="B54" s="74" t="s">
        <v>238</v>
      </c>
    </row>
    <row r="55" spans="1:2" x14ac:dyDescent="0.15">
      <c r="B55" s="74" t="s">
        <v>239</v>
      </c>
    </row>
    <row r="56" spans="1:2" x14ac:dyDescent="0.15">
      <c r="B56" s="74" t="s">
        <v>240</v>
      </c>
    </row>
    <row r="57" spans="1:2" x14ac:dyDescent="0.15">
      <c r="B57" s="74" t="s">
        <v>241</v>
      </c>
    </row>
    <row r="58" spans="1:2" x14ac:dyDescent="0.15">
      <c r="B58" s="74" t="s">
        <v>242</v>
      </c>
    </row>
    <row r="60" spans="1:2" x14ac:dyDescent="0.15">
      <c r="A60" s="74" t="s">
        <v>243</v>
      </c>
    </row>
    <row r="63" spans="1:2" x14ac:dyDescent="0.15">
      <c r="A63" s="74" t="s">
        <v>244</v>
      </c>
    </row>
    <row r="65" spans="1:2" x14ac:dyDescent="0.15">
      <c r="A65" s="74" t="s">
        <v>245</v>
      </c>
    </row>
    <row r="66" spans="1:2" x14ac:dyDescent="0.15">
      <c r="A66" s="74" t="s">
        <v>246</v>
      </c>
    </row>
    <row r="68" spans="1:2" x14ac:dyDescent="0.15">
      <c r="A68" s="74" t="s">
        <v>247</v>
      </c>
    </row>
    <row r="69" spans="1:2" x14ac:dyDescent="0.15">
      <c r="B69" s="74" t="s">
        <v>248</v>
      </c>
    </row>
    <row r="70" spans="1:2" x14ac:dyDescent="0.15">
      <c r="B70" s="74" t="s">
        <v>249</v>
      </c>
    </row>
    <row r="71" spans="1:2" x14ac:dyDescent="0.15">
      <c r="A71" s="74" t="s">
        <v>250</v>
      </c>
    </row>
    <row r="73" spans="1:2" x14ac:dyDescent="0.15">
      <c r="A73" s="74" t="s">
        <v>251</v>
      </c>
    </row>
    <row r="76" spans="1:2" x14ac:dyDescent="0.15">
      <c r="A76" s="74" t="s">
        <v>252</v>
      </c>
    </row>
    <row r="78" spans="1:2" x14ac:dyDescent="0.15">
      <c r="A78" s="74" t="s">
        <v>253</v>
      </c>
    </row>
    <row r="79" spans="1:2" x14ac:dyDescent="0.15">
      <c r="A79" s="74" t="s">
        <v>254</v>
      </c>
    </row>
    <row r="81" spans="1:2" x14ac:dyDescent="0.15">
      <c r="A81" s="74" t="s">
        <v>255</v>
      </c>
    </row>
    <row r="82" spans="1:2" x14ac:dyDescent="0.15">
      <c r="B82" s="74" t="s">
        <v>256</v>
      </c>
    </row>
    <row r="83" spans="1:2" x14ac:dyDescent="0.15">
      <c r="B83" s="74" t="s">
        <v>257</v>
      </c>
    </row>
    <row r="84" spans="1:2" x14ac:dyDescent="0.15">
      <c r="B84" s="74" t="s">
        <v>258</v>
      </c>
    </row>
    <row r="87" spans="1:2" x14ac:dyDescent="0.15">
      <c r="A87" s="74" t="s">
        <v>259</v>
      </c>
    </row>
    <row r="89" spans="1:2" x14ac:dyDescent="0.15">
      <c r="A89" s="74" t="s">
        <v>260</v>
      </c>
    </row>
    <row r="90" spans="1:2" x14ac:dyDescent="0.15">
      <c r="A90" s="74" t="s">
        <v>261</v>
      </c>
    </row>
    <row r="91" spans="1:2" x14ac:dyDescent="0.15">
      <c r="A91" s="74" t="s">
        <v>276</v>
      </c>
    </row>
    <row r="94" spans="1:2" x14ac:dyDescent="0.15">
      <c r="A94" s="74" t="s">
        <v>262</v>
      </c>
    </row>
    <row r="97" spans="1:1" x14ac:dyDescent="0.15">
      <c r="A97" s="74" t="s">
        <v>263</v>
      </c>
    </row>
    <row r="99" spans="1:1" x14ac:dyDescent="0.15">
      <c r="A99" s="74" t="s">
        <v>264</v>
      </c>
    </row>
    <row r="100" spans="1:1" x14ac:dyDescent="0.15">
      <c r="A100" s="74" t="s">
        <v>277</v>
      </c>
    </row>
    <row r="101" spans="1:1" x14ac:dyDescent="0.15">
      <c r="A101" s="74" t="s">
        <v>265</v>
      </c>
    </row>
    <row r="104" spans="1:1" x14ac:dyDescent="0.15">
      <c r="A104" s="74" t="s">
        <v>266</v>
      </c>
    </row>
    <row r="106" spans="1:1" x14ac:dyDescent="0.15">
      <c r="A106" s="74" t="s">
        <v>267</v>
      </c>
    </row>
    <row r="107" spans="1:1" x14ac:dyDescent="0.15">
      <c r="A107" s="74" t="s">
        <v>268</v>
      </c>
    </row>
    <row r="108" spans="1:1" x14ac:dyDescent="0.15">
      <c r="A108" s="74" t="s">
        <v>269</v>
      </c>
    </row>
    <row r="111" spans="1:1" x14ac:dyDescent="0.15">
      <c r="A111" s="74" t="s">
        <v>278</v>
      </c>
    </row>
    <row r="113" spans="1:2" x14ac:dyDescent="0.15">
      <c r="A113" s="74" t="s">
        <v>285</v>
      </c>
    </row>
    <row r="114" spans="1:2" x14ac:dyDescent="0.15">
      <c r="A114" s="74" t="s">
        <v>279</v>
      </c>
    </row>
    <row r="116" spans="1:2" x14ac:dyDescent="0.15">
      <c r="A116" s="74" t="s">
        <v>286</v>
      </c>
    </row>
    <row r="117" spans="1:2" x14ac:dyDescent="0.15">
      <c r="A117" s="74" t="s">
        <v>280</v>
      </c>
    </row>
    <row r="119" spans="1:2" x14ac:dyDescent="0.15">
      <c r="A119" s="74" t="s">
        <v>281</v>
      </c>
    </row>
    <row r="120" spans="1:2" x14ac:dyDescent="0.15">
      <c r="B120" s="74" t="s">
        <v>282</v>
      </c>
    </row>
    <row r="121" spans="1:2" x14ac:dyDescent="0.15">
      <c r="B121" s="74" t="s">
        <v>283</v>
      </c>
    </row>
    <row r="123" spans="1:2" x14ac:dyDescent="0.15">
      <c r="A123" s="74" t="s">
        <v>284</v>
      </c>
    </row>
    <row r="126" spans="1:2" x14ac:dyDescent="0.15">
      <c r="A126" s="74" t="s">
        <v>270</v>
      </c>
    </row>
    <row r="128" spans="1:2" x14ac:dyDescent="0.15">
      <c r="A128" s="74" t="s">
        <v>287</v>
      </c>
    </row>
    <row r="130" spans="1:2" x14ac:dyDescent="0.15">
      <c r="A130" s="74" t="s">
        <v>271</v>
      </c>
    </row>
    <row r="131" spans="1:2" x14ac:dyDescent="0.15">
      <c r="B131" s="74" t="s">
        <v>272</v>
      </c>
    </row>
    <row r="132" spans="1:2" x14ac:dyDescent="0.15">
      <c r="B132" s="74" t="s">
        <v>273</v>
      </c>
    </row>
    <row r="133" spans="1:2" x14ac:dyDescent="0.15">
      <c r="A133" s="74" t="s">
        <v>274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F92F-E720-45DF-86BA-C8900E745E86}">
  <sheetPr codeName="Sheet2">
    <tabColor rgb="FFFFFF00"/>
    <pageSetUpPr fitToPage="1"/>
  </sheetPr>
  <dimension ref="B1:F41"/>
  <sheetViews>
    <sheetView showGridLines="0" tabSelected="1" zoomScaleNormal="100" workbookViewId="0">
      <selection activeCell="E6" sqref="E6"/>
    </sheetView>
  </sheetViews>
  <sheetFormatPr defaultRowHeight="13.5" x14ac:dyDescent="0.15"/>
  <cols>
    <col min="1" max="1" width="2.625" style="1" customWidth="1"/>
    <col min="2" max="2" width="3.625" style="1" customWidth="1"/>
    <col min="3" max="3" width="27.125" style="1" customWidth="1"/>
    <col min="4" max="4" width="2.625" style="1" customWidth="1"/>
    <col min="5" max="5" width="60.625" style="1" customWidth="1"/>
    <col min="6" max="16384" width="9" style="1"/>
  </cols>
  <sheetData>
    <row r="1" spans="2:6" ht="21" x14ac:dyDescent="0.15">
      <c r="B1" s="78" t="s">
        <v>43</v>
      </c>
      <c r="C1" s="78"/>
      <c r="D1" s="78"/>
      <c r="E1" s="78"/>
    </row>
    <row r="2" spans="2:6" ht="21" x14ac:dyDescent="0.15">
      <c r="B2" s="79" t="s">
        <v>36</v>
      </c>
      <c r="C2" s="79"/>
      <c r="D2" s="79"/>
      <c r="E2" s="79"/>
    </row>
    <row r="3" spans="2:6" x14ac:dyDescent="0.15">
      <c r="B3" s="46" t="s">
        <v>189</v>
      </c>
      <c r="C3" s="55"/>
    </row>
    <row r="4" spans="2:6" ht="27" customHeight="1" x14ac:dyDescent="0.15">
      <c r="B4" s="46" t="s">
        <v>203</v>
      </c>
      <c r="C4" s="55"/>
    </row>
    <row r="5" spans="2:6" ht="27" customHeight="1" x14ac:dyDescent="0.15">
      <c r="B5" s="55"/>
      <c r="C5" s="55" t="s">
        <v>11</v>
      </c>
      <c r="D5" s="34" t="s">
        <v>41</v>
      </c>
      <c r="E5" s="38" t="s">
        <v>362</v>
      </c>
    </row>
    <row r="6" spans="2:6" ht="27" customHeight="1" x14ac:dyDescent="0.15">
      <c r="B6" s="55"/>
      <c r="C6" s="56" t="s">
        <v>190</v>
      </c>
      <c r="D6" s="34" t="s">
        <v>41</v>
      </c>
      <c r="E6" s="18" t="s">
        <v>293</v>
      </c>
    </row>
    <row r="7" spans="2:6" ht="27" customHeight="1" x14ac:dyDescent="0.15">
      <c r="B7" s="55"/>
      <c r="C7" s="56" t="s">
        <v>290</v>
      </c>
      <c r="D7" s="34" t="s">
        <v>41</v>
      </c>
      <c r="E7" s="18" t="s">
        <v>294</v>
      </c>
    </row>
    <row r="8" spans="2:6" ht="27" customHeight="1" x14ac:dyDescent="0.15">
      <c r="B8" s="55"/>
      <c r="C8" s="56" t="s">
        <v>191</v>
      </c>
      <c r="D8" s="34" t="s">
        <v>41</v>
      </c>
      <c r="E8" s="68" t="s">
        <v>86</v>
      </c>
    </row>
    <row r="9" spans="2:6" ht="27" customHeight="1" x14ac:dyDescent="0.15">
      <c r="B9" s="55"/>
      <c r="C9" s="55" t="s">
        <v>94</v>
      </c>
      <c r="D9" s="34" t="s">
        <v>41</v>
      </c>
      <c r="E9" s="19" t="s">
        <v>295</v>
      </c>
    </row>
    <row r="10" spans="2:6" ht="27" customHeight="1" x14ac:dyDescent="0.15">
      <c r="B10" s="46" t="s">
        <v>0</v>
      </c>
      <c r="C10" s="55"/>
      <c r="D10" s="34"/>
    </row>
    <row r="11" spans="2:6" ht="27" customHeight="1" x14ac:dyDescent="0.15">
      <c r="B11" s="55"/>
      <c r="C11" s="56" t="s">
        <v>205</v>
      </c>
      <c r="D11" s="34" t="s">
        <v>41</v>
      </c>
      <c r="E11" s="38" t="s">
        <v>296</v>
      </c>
    </row>
    <row r="12" spans="2:6" ht="27" customHeight="1" x14ac:dyDescent="0.15">
      <c r="B12" s="55"/>
      <c r="C12" s="55" t="s">
        <v>27</v>
      </c>
      <c r="D12" s="34" t="s">
        <v>41</v>
      </c>
      <c r="E12" s="69" t="s">
        <v>297</v>
      </c>
    </row>
    <row r="13" spans="2:6" ht="27" customHeight="1" x14ac:dyDescent="0.15">
      <c r="B13" s="46" t="s">
        <v>2</v>
      </c>
      <c r="C13" s="55"/>
      <c r="D13" s="34"/>
    </row>
    <row r="14" spans="2:6" ht="27" customHeight="1" x14ac:dyDescent="0.15">
      <c r="B14" s="55"/>
      <c r="C14" s="55" t="s">
        <v>1</v>
      </c>
      <c r="D14" s="34" t="s">
        <v>41</v>
      </c>
      <c r="E14" s="38" t="s">
        <v>298</v>
      </c>
    </row>
    <row r="15" spans="2:6" ht="27" customHeight="1" x14ac:dyDescent="0.15">
      <c r="B15" s="55"/>
      <c r="C15" s="56" t="s">
        <v>192</v>
      </c>
      <c r="D15" s="34" t="s">
        <v>41</v>
      </c>
      <c r="E15" s="69" t="s">
        <v>299</v>
      </c>
    </row>
    <row r="16" spans="2:6" ht="27" customHeight="1" x14ac:dyDescent="0.15">
      <c r="B16" s="46" t="s">
        <v>95</v>
      </c>
      <c r="C16" s="55"/>
      <c r="D16" s="34"/>
      <c r="F16" s="47" t="s">
        <v>186</v>
      </c>
    </row>
    <row r="17" spans="2:6" ht="27" customHeight="1" x14ac:dyDescent="0.15">
      <c r="B17" s="55"/>
      <c r="C17" s="55" t="s">
        <v>3</v>
      </c>
      <c r="D17" s="34"/>
      <c r="E17" s="38" t="s">
        <v>330</v>
      </c>
      <c r="F17" s="48" t="s">
        <v>300</v>
      </c>
    </row>
    <row r="18" spans="2:6" ht="27" customHeight="1" x14ac:dyDescent="0.15">
      <c r="B18" s="55"/>
      <c r="C18" s="55" t="s">
        <v>4</v>
      </c>
      <c r="D18" s="34"/>
      <c r="E18" s="18"/>
      <c r="F18" s="49"/>
    </row>
    <row r="19" spans="2:6" ht="27" customHeight="1" x14ac:dyDescent="0.15">
      <c r="B19" s="55"/>
      <c r="C19" s="55" t="s">
        <v>5</v>
      </c>
      <c r="D19" s="34"/>
      <c r="E19" s="19"/>
      <c r="F19" s="50"/>
    </row>
    <row r="20" spans="2:6" ht="27" customHeight="1" x14ac:dyDescent="0.15">
      <c r="D20" s="34"/>
      <c r="E20" s="20"/>
    </row>
    <row r="21" spans="2:6" ht="27" customHeight="1" x14ac:dyDescent="0.15">
      <c r="B21" s="55" t="s">
        <v>26</v>
      </c>
      <c r="D21" s="34" t="s">
        <v>41</v>
      </c>
      <c r="E21" s="70">
        <v>46209</v>
      </c>
    </row>
    <row r="22" spans="2:6" ht="9" customHeight="1" x14ac:dyDescent="0.15">
      <c r="D22" s="34"/>
      <c r="E22" s="16"/>
    </row>
    <row r="23" spans="2:6" ht="54" customHeight="1" x14ac:dyDescent="0.15">
      <c r="B23" s="77" t="s">
        <v>28</v>
      </c>
      <c r="C23" s="77"/>
      <c r="D23" s="35" t="s">
        <v>41</v>
      </c>
      <c r="E23" s="71" t="s">
        <v>301</v>
      </c>
    </row>
    <row r="24" spans="2:6" ht="9" customHeight="1" x14ac:dyDescent="0.15">
      <c r="D24" s="34"/>
    </row>
    <row r="25" spans="2:6" ht="27" customHeight="1" x14ac:dyDescent="0.15">
      <c r="B25" s="55" t="s">
        <v>204</v>
      </c>
      <c r="D25" s="34" t="s">
        <v>41</v>
      </c>
      <c r="E25" s="73" t="s">
        <v>302</v>
      </c>
    </row>
    <row r="26" spans="2:6" customFormat="1" ht="9" customHeight="1" x14ac:dyDescent="0.15"/>
    <row r="27" spans="2:6" ht="60" customHeight="1" x14ac:dyDescent="0.15">
      <c r="B27" s="62" t="s">
        <v>206</v>
      </c>
      <c r="D27" s="34"/>
      <c r="E27" s="72"/>
    </row>
    <row r="28" spans="2:6" ht="9" customHeight="1" x14ac:dyDescent="0.15"/>
    <row r="29" spans="2:6" ht="20.25" customHeight="1" x14ac:dyDescent="0.15">
      <c r="B29" s="55" t="s">
        <v>187</v>
      </c>
      <c r="E29" s="54">
        <f ca="1">SUM('（自動）エントリー名簿'!$Q$3:$Q$503)</f>
        <v>9000</v>
      </c>
    </row>
    <row r="30" spans="2:6" ht="9" customHeight="1" x14ac:dyDescent="0.15"/>
    <row r="31" spans="2:6" x14ac:dyDescent="0.15">
      <c r="B31" s="55" t="s">
        <v>194</v>
      </c>
      <c r="C31" s="55"/>
    </row>
    <row r="32" spans="2:6" ht="20.25" customHeight="1" x14ac:dyDescent="0.15">
      <c r="B32" s="55"/>
      <c r="C32" s="65" t="s">
        <v>195</v>
      </c>
      <c r="E32" s="63">
        <f ca="1">COUNTIF(OFFSET(Entries,0,1,,1),$C32)</f>
        <v>0</v>
      </c>
    </row>
    <row r="33" spans="2:5" ht="20.25" customHeight="1" x14ac:dyDescent="0.15">
      <c r="B33" s="55"/>
      <c r="C33" s="65" t="s">
        <v>196</v>
      </c>
      <c r="E33" s="64">
        <f ca="1">COUNTIF(OFFSET(Entries,0,1,,1),$C33)</f>
        <v>6</v>
      </c>
    </row>
    <row r="34" spans="2:5" ht="9" customHeight="1" x14ac:dyDescent="0.15"/>
    <row r="35" spans="2:5" x14ac:dyDescent="0.15">
      <c r="B35" s="1" t="s">
        <v>37</v>
      </c>
    </row>
    <row r="36" spans="2:5" x14ac:dyDescent="0.15">
      <c r="B36" s="1" t="s">
        <v>38</v>
      </c>
    </row>
    <row r="37" spans="2:5" x14ac:dyDescent="0.15">
      <c r="B37" s="1" t="s">
        <v>202</v>
      </c>
    </row>
    <row r="38" spans="2:5" x14ac:dyDescent="0.15">
      <c r="B38" s="1" t="s">
        <v>39</v>
      </c>
    </row>
    <row r="41" spans="2:5" x14ac:dyDescent="0.15">
      <c r="E41" s="24"/>
    </row>
  </sheetData>
  <mergeCells count="3">
    <mergeCell ref="B23:C23"/>
    <mergeCell ref="B1:E1"/>
    <mergeCell ref="B2:E2"/>
  </mergeCells>
  <phoneticPr fontId="1"/>
  <conditionalFormatting sqref="E5:E9 E11:E12 E14:E15 E17:F19 E21 E23 E25 E27">
    <cfRule type="expression" dxfId="2" priority="1" stopIfTrue="1">
      <formula>$D5&lt;&gt;""</formula>
    </cfRule>
  </conditionalFormatting>
  <dataValidations count="4">
    <dataValidation type="list" allowBlank="1" showInputMessage="1" showErrorMessage="1" sqref="E23" xr:uid="{931E4C3C-AA4E-4CCC-A52E-9ECE2AA22C92}">
      <formula1>"はい,いいえ"</formula1>
    </dataValidation>
    <dataValidation type="list" allowBlank="1" showInputMessage="1" showErrorMessage="1" sqref="E8" xr:uid="{E5491EFF-75B0-4FFC-BEDA-85784C4F767F}">
      <formula1>Prefectures</formula1>
    </dataValidation>
    <dataValidation type="list" allowBlank="1" showInputMessage="1" showErrorMessage="1" sqref="F17:F19" xr:uid="{75F26D79-C8E3-4903-A5CA-D8F59CD860B5}">
      <formula1>"なし,Ｃ,Ｂ,Ａ,Ｓ"</formula1>
    </dataValidation>
    <dataValidation imeMode="fullKatakana" allowBlank="1" showInputMessage="1" showErrorMessage="1" sqref="E7" xr:uid="{00472B2E-F7F7-4C06-9215-BC238E4C4112}"/>
  </dataValidations>
  <printOptions horizontalCentered="1"/>
  <pageMargins left="0.39370078740157483" right="0.39370078740157483" top="0.39370078740157483" bottom="0.3937007874015748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CE75D-76EF-4260-8DB4-3E6A06C092CB}">
  <sheetPr codeName="Sheet3">
    <tabColor rgb="FFFFFF00"/>
  </sheetPr>
  <dimension ref="B1:AB104"/>
  <sheetViews>
    <sheetView showGridLines="0" workbookViewId="0">
      <pane xSplit="2" ySplit="2" topLeftCell="D3" activePane="bottomRight" state="frozen"/>
      <selection pane="topRight" activeCell="C1" sqref="C1"/>
      <selection pane="bottomLeft" activeCell="A3" sqref="A3"/>
      <selection pane="bottomRight" activeCell="J8" sqref="J8"/>
    </sheetView>
  </sheetViews>
  <sheetFormatPr defaultRowHeight="13.5" x14ac:dyDescent="0.15"/>
  <cols>
    <col min="1" max="1" width="2.625" style="1" customWidth="1"/>
    <col min="2" max="2" width="3.625" style="1" customWidth="1"/>
    <col min="3" max="3" width="4.875" style="1" customWidth="1"/>
    <col min="4" max="4" width="9" style="1"/>
    <col min="5" max="8" width="10.625" style="1" customWidth="1"/>
    <col min="9" max="9" width="5.125" style="1" customWidth="1"/>
    <col min="10" max="11" width="20.625" style="1" customWidth="1"/>
    <col min="12" max="12" width="9" style="1" bestFit="1" customWidth="1"/>
    <col min="13" max="13" width="11.625" style="1" bestFit="1" customWidth="1"/>
    <col min="14" max="14" width="20.625" style="1" customWidth="1"/>
    <col min="15" max="15" width="12.75" style="1" bestFit="1" customWidth="1"/>
    <col min="16" max="17" width="20.625" style="1" customWidth="1"/>
    <col min="18" max="18" width="12.75" style="1" bestFit="1" customWidth="1"/>
    <col min="19" max="20" width="20.625" style="1" customWidth="1"/>
    <col min="21" max="21" width="12.75" style="1" bestFit="1" customWidth="1"/>
    <col min="22" max="23" width="20.625" style="1" customWidth="1"/>
    <col min="24" max="24" width="12.75" style="1" bestFit="1" customWidth="1"/>
    <col min="25" max="26" width="20.625" style="1" customWidth="1"/>
    <col min="27" max="27" width="12.75" style="1" bestFit="1" customWidth="1"/>
    <col min="28" max="28" width="20.625" style="1" customWidth="1"/>
    <col min="29" max="16384" width="9" style="1"/>
  </cols>
  <sheetData>
    <row r="1" spans="2:28" ht="232.5" customHeight="1" thickBot="1" x14ac:dyDescent="0.2"/>
    <row r="2" spans="2:28" ht="15" thickTop="1" thickBot="1" x14ac:dyDescent="0.2">
      <c r="B2" s="27" t="s">
        <v>7</v>
      </c>
      <c r="C2" s="28" t="s">
        <v>6</v>
      </c>
      <c r="D2" s="28" t="s">
        <v>13</v>
      </c>
      <c r="E2" s="29" t="s">
        <v>23</v>
      </c>
      <c r="F2" s="30" t="s">
        <v>10</v>
      </c>
      <c r="G2" s="29" t="s">
        <v>24</v>
      </c>
      <c r="H2" s="30" t="s">
        <v>8</v>
      </c>
      <c r="I2" s="28" t="s">
        <v>9</v>
      </c>
      <c r="J2" s="31" t="s">
        <v>12</v>
      </c>
      <c r="K2" s="31" t="s">
        <v>291</v>
      </c>
      <c r="L2" s="31" t="s">
        <v>44</v>
      </c>
      <c r="M2" s="31" t="s">
        <v>193</v>
      </c>
      <c r="N2" s="29" t="s">
        <v>96</v>
      </c>
      <c r="O2" s="32" t="s">
        <v>97</v>
      </c>
      <c r="P2" s="30" t="s">
        <v>98</v>
      </c>
      <c r="Q2" s="29" t="s">
        <v>99</v>
      </c>
      <c r="R2" s="32" t="s">
        <v>100</v>
      </c>
      <c r="S2" s="30" t="s">
        <v>101</v>
      </c>
      <c r="T2" s="29" t="s">
        <v>14</v>
      </c>
      <c r="U2" s="32" t="s">
        <v>15</v>
      </c>
      <c r="V2" s="30" t="s">
        <v>16</v>
      </c>
      <c r="W2" s="29" t="s">
        <v>17</v>
      </c>
      <c r="X2" s="32" t="s">
        <v>18</v>
      </c>
      <c r="Y2" s="30" t="s">
        <v>19</v>
      </c>
      <c r="Z2" s="29" t="s">
        <v>20</v>
      </c>
      <c r="AA2" s="32" t="s">
        <v>21</v>
      </c>
      <c r="AB2" s="33" t="s">
        <v>22</v>
      </c>
    </row>
    <row r="3" spans="2:28" ht="14.25" thickTop="1" x14ac:dyDescent="0.15">
      <c r="B3" s="2">
        <f ca="1">IF(OR(C3="",E3="", F3="", G3="", H3=""), "", MAX($B$2:OFFSET(B3, -1, 0))+1)</f>
        <v>1</v>
      </c>
      <c r="C3" s="3" t="s">
        <v>305</v>
      </c>
      <c r="D3" s="36" t="s">
        <v>315</v>
      </c>
      <c r="E3" s="4" t="s">
        <v>320</v>
      </c>
      <c r="F3" s="5" t="s">
        <v>321</v>
      </c>
      <c r="G3" s="4" t="s">
        <v>322</v>
      </c>
      <c r="H3" s="5" t="s">
        <v>323</v>
      </c>
      <c r="I3" s="3" t="s">
        <v>335</v>
      </c>
      <c r="J3" s="39"/>
      <c r="K3" s="39"/>
      <c r="L3" s="39"/>
      <c r="M3" s="58">
        <v>41093</v>
      </c>
      <c r="N3" s="6" t="s">
        <v>326</v>
      </c>
      <c r="O3" s="44" t="s">
        <v>327</v>
      </c>
      <c r="P3" s="7"/>
      <c r="Q3" s="6" t="s">
        <v>328</v>
      </c>
      <c r="R3" s="44" t="s">
        <v>329</v>
      </c>
      <c r="S3" s="7"/>
      <c r="T3" s="6"/>
      <c r="U3" s="44"/>
      <c r="V3" s="7"/>
      <c r="W3" s="6"/>
      <c r="X3" s="44"/>
      <c r="Y3" s="7"/>
      <c r="Z3" s="6"/>
      <c r="AA3" s="44"/>
      <c r="AB3" s="8"/>
    </row>
    <row r="4" spans="2:28" x14ac:dyDescent="0.15">
      <c r="B4" s="9">
        <f ca="1">IF(OR(C4="",E4="", F4="", G4="", H4=""), "", MAX($B$2:OFFSET(B4, -1, 0))+1)</f>
        <v>2</v>
      </c>
      <c r="C4" s="10" t="s">
        <v>305</v>
      </c>
      <c r="D4" s="37" t="s">
        <v>316</v>
      </c>
      <c r="E4" s="11" t="s">
        <v>331</v>
      </c>
      <c r="F4" s="12" t="s">
        <v>332</v>
      </c>
      <c r="G4" s="11" t="s">
        <v>333</v>
      </c>
      <c r="H4" s="12" t="s">
        <v>334</v>
      </c>
      <c r="I4" s="10" t="s">
        <v>335</v>
      </c>
      <c r="J4" s="40"/>
      <c r="K4" s="40"/>
      <c r="L4" s="40"/>
      <c r="M4" s="59">
        <v>41129</v>
      </c>
      <c r="N4" s="13" t="s">
        <v>325</v>
      </c>
      <c r="O4" s="45" t="s">
        <v>337</v>
      </c>
      <c r="P4" s="14"/>
      <c r="Q4" s="13" t="s">
        <v>338</v>
      </c>
      <c r="R4" s="45" t="s">
        <v>339</v>
      </c>
      <c r="S4" s="14"/>
      <c r="T4" s="13"/>
      <c r="U4" s="45"/>
      <c r="V4" s="14"/>
      <c r="W4" s="13"/>
      <c r="X4" s="45"/>
      <c r="Y4" s="14"/>
      <c r="Z4" s="13"/>
      <c r="AA4" s="45"/>
      <c r="AB4" s="15"/>
    </row>
    <row r="5" spans="2:28" x14ac:dyDescent="0.15">
      <c r="B5" s="9">
        <f ca="1">IF(OR(C5="",E5="", F5="", G5="", H5=""), "", MAX($B$2:OFFSET(B5, -1, 0))+1)</f>
        <v>3</v>
      </c>
      <c r="C5" s="10" t="s">
        <v>305</v>
      </c>
      <c r="D5" s="37" t="s">
        <v>317</v>
      </c>
      <c r="E5" s="11" t="s">
        <v>340</v>
      </c>
      <c r="F5" s="12" t="s">
        <v>341</v>
      </c>
      <c r="G5" s="11" t="s">
        <v>342</v>
      </c>
      <c r="H5" s="12" t="s">
        <v>343</v>
      </c>
      <c r="I5" s="10" t="s">
        <v>324</v>
      </c>
      <c r="J5" s="40"/>
      <c r="K5" s="40"/>
      <c r="L5" s="40"/>
      <c r="M5" s="59">
        <v>41568</v>
      </c>
      <c r="N5" s="13" t="s">
        <v>344</v>
      </c>
      <c r="O5" s="45" t="s">
        <v>345</v>
      </c>
      <c r="P5" s="14"/>
      <c r="Q5" s="13" t="s">
        <v>346</v>
      </c>
      <c r="R5" s="45" t="s">
        <v>347</v>
      </c>
      <c r="S5" s="14"/>
      <c r="T5" s="13"/>
      <c r="U5" s="45"/>
      <c r="V5" s="14"/>
      <c r="W5" s="13"/>
      <c r="X5" s="45"/>
      <c r="Y5" s="14"/>
      <c r="Z5" s="13"/>
      <c r="AA5" s="45"/>
      <c r="AB5" s="15"/>
    </row>
    <row r="6" spans="2:28" x14ac:dyDescent="0.15">
      <c r="B6" s="9">
        <f ca="1">IF(OR(C6="",E6="", F6="", G6="", H6=""), "", MAX($B$2:OFFSET(B6, -1, 0))+1)</f>
        <v>4</v>
      </c>
      <c r="C6" s="10" t="s">
        <v>305</v>
      </c>
      <c r="D6" s="37" t="s">
        <v>318</v>
      </c>
      <c r="E6" s="11" t="s">
        <v>352</v>
      </c>
      <c r="F6" s="12" t="s">
        <v>353</v>
      </c>
      <c r="G6" s="11" t="s">
        <v>354</v>
      </c>
      <c r="H6" s="12" t="s">
        <v>355</v>
      </c>
      <c r="I6" s="10" t="s">
        <v>324</v>
      </c>
      <c r="J6" s="40"/>
      <c r="K6" s="40"/>
      <c r="L6" s="40"/>
      <c r="M6" s="59">
        <v>41222</v>
      </c>
      <c r="N6" s="13" t="s">
        <v>336</v>
      </c>
      <c r="O6" s="45" t="s">
        <v>356</v>
      </c>
      <c r="P6" s="14"/>
      <c r="Q6" s="13" t="s">
        <v>357</v>
      </c>
      <c r="R6" s="45" t="s">
        <v>358</v>
      </c>
      <c r="S6" s="14"/>
      <c r="T6" s="13"/>
      <c r="U6" s="45"/>
      <c r="V6" s="14"/>
      <c r="W6" s="13"/>
      <c r="X6" s="45"/>
      <c r="Y6" s="14"/>
      <c r="Z6" s="13"/>
      <c r="AA6" s="45"/>
      <c r="AB6" s="15"/>
    </row>
    <row r="7" spans="2:28" x14ac:dyDescent="0.15">
      <c r="B7" s="9">
        <f ca="1">IF(OR(C7="",E7="", F7="", G7="", H7=""), "", MAX($B$2:OFFSET(B7, -1, 0))+1)</f>
        <v>5</v>
      </c>
      <c r="C7" s="10" t="s">
        <v>305</v>
      </c>
      <c r="D7" s="37" t="s">
        <v>319</v>
      </c>
      <c r="E7" s="11" t="s">
        <v>348</v>
      </c>
      <c r="F7" s="12" t="s">
        <v>349</v>
      </c>
      <c r="G7" s="11" t="s">
        <v>350</v>
      </c>
      <c r="H7" s="12" t="s">
        <v>351</v>
      </c>
      <c r="I7" s="10" t="s">
        <v>361</v>
      </c>
      <c r="J7" s="40"/>
      <c r="K7" s="40"/>
      <c r="L7" s="40"/>
      <c r="M7" s="59">
        <v>40960</v>
      </c>
      <c r="N7" s="13" t="s">
        <v>338</v>
      </c>
      <c r="O7" s="45" t="s">
        <v>359</v>
      </c>
      <c r="P7" s="14"/>
      <c r="Q7" s="13" t="s">
        <v>346</v>
      </c>
      <c r="R7" s="45" t="s">
        <v>360</v>
      </c>
      <c r="S7" s="14"/>
      <c r="T7" s="13"/>
      <c r="U7" s="45"/>
      <c r="V7" s="14"/>
      <c r="W7" s="13"/>
      <c r="X7" s="45"/>
      <c r="Y7" s="14"/>
      <c r="Z7" s="13"/>
      <c r="AA7" s="45"/>
      <c r="AB7" s="15"/>
    </row>
    <row r="8" spans="2:28" x14ac:dyDescent="0.15">
      <c r="B8" s="9" t="str">
        <f ca="1">IF(OR(C8="",E8="", F8="", G8="", H8=""), "", MAX($B$2:OFFSET(B8, -1, 0))+1)</f>
        <v/>
      </c>
      <c r="C8" s="10" t="s">
        <v>305</v>
      </c>
      <c r="D8" s="76"/>
      <c r="E8" s="11"/>
      <c r="F8" s="12"/>
      <c r="G8" s="11"/>
      <c r="H8" s="12"/>
      <c r="I8" s="10"/>
      <c r="J8" s="40"/>
      <c r="K8" s="40"/>
      <c r="L8" s="40"/>
      <c r="M8" s="59"/>
      <c r="N8" s="13"/>
      <c r="O8" s="45"/>
      <c r="P8" s="14"/>
      <c r="Q8" s="13"/>
      <c r="R8" s="45"/>
      <c r="S8" s="14"/>
      <c r="T8" s="13"/>
      <c r="U8" s="45"/>
      <c r="V8" s="14"/>
      <c r="W8" s="13"/>
      <c r="X8" s="45"/>
      <c r="Y8" s="14"/>
      <c r="Z8" s="13"/>
      <c r="AA8" s="45"/>
      <c r="AB8" s="15"/>
    </row>
    <row r="9" spans="2:28" x14ac:dyDescent="0.15">
      <c r="B9" s="9" t="str">
        <f ca="1">IF(OR(C9="",E9="", F9="", G9="", H9=""), "", MAX($B$2:OFFSET(B9, -1, 0))+1)</f>
        <v/>
      </c>
      <c r="C9" s="10"/>
      <c r="D9" s="37"/>
      <c r="E9" s="11"/>
      <c r="F9" s="12"/>
      <c r="G9" s="11"/>
      <c r="H9" s="12"/>
      <c r="I9" s="10"/>
      <c r="J9" s="40"/>
      <c r="K9" s="40"/>
      <c r="L9" s="40"/>
      <c r="M9" s="59"/>
      <c r="N9" s="13"/>
      <c r="O9" s="45"/>
      <c r="P9" s="14"/>
      <c r="Q9" s="13"/>
      <c r="R9" s="45"/>
      <c r="S9" s="14"/>
      <c r="T9" s="13"/>
      <c r="U9" s="45"/>
      <c r="V9" s="14"/>
      <c r="W9" s="13"/>
      <c r="X9" s="45"/>
      <c r="Y9" s="14"/>
      <c r="Z9" s="13"/>
      <c r="AA9" s="45"/>
      <c r="AB9" s="15"/>
    </row>
    <row r="10" spans="2:28" x14ac:dyDescent="0.15">
      <c r="B10" s="9" t="str">
        <f ca="1">IF(OR(C10="",E10="", F10="", G10="", H10=""), "", MAX($B$2:OFFSET(B10, -1, 0))+1)</f>
        <v/>
      </c>
      <c r="C10" s="10"/>
      <c r="D10" s="37"/>
      <c r="E10" s="11"/>
      <c r="F10" s="12"/>
      <c r="G10" s="11"/>
      <c r="H10" s="12"/>
      <c r="I10" s="10"/>
      <c r="J10" s="40"/>
      <c r="K10" s="40"/>
      <c r="L10" s="40"/>
      <c r="M10" s="59"/>
      <c r="N10" s="13"/>
      <c r="O10" s="45"/>
      <c r="P10" s="14"/>
      <c r="Q10" s="13"/>
      <c r="R10" s="45"/>
      <c r="S10" s="14"/>
      <c r="T10" s="13"/>
      <c r="U10" s="45"/>
      <c r="V10" s="14"/>
      <c r="W10" s="13"/>
      <c r="X10" s="45"/>
      <c r="Y10" s="14"/>
      <c r="Z10" s="13"/>
      <c r="AA10" s="45"/>
      <c r="AB10" s="15"/>
    </row>
    <row r="11" spans="2:28" x14ac:dyDescent="0.15">
      <c r="B11" s="9" t="str">
        <f ca="1">IF(OR(C11="",E11="", F11="", G11="", H11=""), "", MAX($B$2:OFFSET(B11, -1, 0))+1)</f>
        <v/>
      </c>
      <c r="C11" s="10"/>
      <c r="D11" s="37"/>
      <c r="E11" s="11"/>
      <c r="F11" s="12"/>
      <c r="G11" s="11"/>
      <c r="H11" s="12"/>
      <c r="I11" s="10"/>
      <c r="J11" s="40"/>
      <c r="K11" s="40"/>
      <c r="L11" s="40"/>
      <c r="M11" s="59"/>
      <c r="N11" s="13"/>
      <c r="O11" s="45"/>
      <c r="P11" s="14"/>
      <c r="Q11" s="13"/>
      <c r="R11" s="45"/>
      <c r="S11" s="14"/>
      <c r="T11" s="13"/>
      <c r="U11" s="45"/>
      <c r="V11" s="14"/>
      <c r="W11" s="13"/>
      <c r="X11" s="45"/>
      <c r="Y11" s="14"/>
      <c r="Z11" s="13"/>
      <c r="AA11" s="45"/>
      <c r="AB11" s="15"/>
    </row>
    <row r="12" spans="2:28" x14ac:dyDescent="0.15">
      <c r="B12" s="9" t="str">
        <f ca="1">IF(OR(C12="",E12="", F12="", G12="", H12=""), "", MAX($B$2:OFFSET(B12, -1, 0))+1)</f>
        <v/>
      </c>
      <c r="C12" s="10"/>
      <c r="D12" s="37"/>
      <c r="E12" s="11"/>
      <c r="F12" s="12"/>
      <c r="G12" s="11"/>
      <c r="H12" s="12"/>
      <c r="I12" s="10"/>
      <c r="J12" s="40"/>
      <c r="K12" s="40"/>
      <c r="L12" s="40"/>
      <c r="M12" s="59"/>
      <c r="N12" s="13"/>
      <c r="O12" s="45"/>
      <c r="P12" s="14"/>
      <c r="Q12" s="13"/>
      <c r="R12" s="45"/>
      <c r="S12" s="14"/>
      <c r="T12" s="13"/>
      <c r="U12" s="45"/>
      <c r="V12" s="14"/>
      <c r="W12" s="13"/>
      <c r="X12" s="45"/>
      <c r="Y12" s="14"/>
      <c r="Z12" s="13"/>
      <c r="AA12" s="45"/>
      <c r="AB12" s="15"/>
    </row>
    <row r="13" spans="2:28" x14ac:dyDescent="0.15">
      <c r="B13" s="9" t="str">
        <f ca="1">IF(OR(C13="",E13="", F13="", G13="", H13=""), "", MAX($B$2:OFFSET(B13, -1, 0))+1)</f>
        <v/>
      </c>
      <c r="C13" s="10"/>
      <c r="D13" s="37"/>
      <c r="E13" s="11"/>
      <c r="F13" s="12"/>
      <c r="G13" s="11"/>
      <c r="H13" s="12"/>
      <c r="I13" s="10"/>
      <c r="J13" s="40"/>
      <c r="K13" s="40"/>
      <c r="L13" s="40"/>
      <c r="M13" s="59"/>
      <c r="N13" s="13"/>
      <c r="O13" s="45"/>
      <c r="P13" s="14"/>
      <c r="Q13" s="13"/>
      <c r="R13" s="45"/>
      <c r="S13" s="14"/>
      <c r="T13" s="13"/>
      <c r="U13" s="45"/>
      <c r="V13" s="14"/>
      <c r="W13" s="13"/>
      <c r="X13" s="45"/>
      <c r="Y13" s="14"/>
      <c r="Z13" s="13"/>
      <c r="AA13" s="45"/>
      <c r="AB13" s="15"/>
    </row>
    <row r="14" spans="2:28" x14ac:dyDescent="0.15">
      <c r="B14" s="9" t="str">
        <f ca="1">IF(OR(C14="",E14="", F14="", G14="", H14=""), "", MAX($B$2:OFFSET(B14, -1, 0))+1)</f>
        <v/>
      </c>
      <c r="C14" s="10"/>
      <c r="D14" s="37"/>
      <c r="E14" s="11"/>
      <c r="F14" s="12"/>
      <c r="G14" s="11"/>
      <c r="H14" s="12"/>
      <c r="I14" s="10"/>
      <c r="J14" s="40"/>
      <c r="K14" s="40"/>
      <c r="L14" s="40"/>
      <c r="M14" s="59"/>
      <c r="N14" s="13"/>
      <c r="O14" s="45"/>
      <c r="P14" s="14"/>
      <c r="Q14" s="13"/>
      <c r="R14" s="45"/>
      <c r="S14" s="14"/>
      <c r="T14" s="13"/>
      <c r="U14" s="45"/>
      <c r="V14" s="14"/>
      <c r="W14" s="13"/>
      <c r="X14" s="45"/>
      <c r="Y14" s="14"/>
      <c r="Z14" s="13"/>
      <c r="AA14" s="45"/>
      <c r="AB14" s="15"/>
    </row>
    <row r="15" spans="2:28" x14ac:dyDescent="0.15">
      <c r="B15" s="9" t="str">
        <f ca="1">IF(OR(C15="",E15="", F15="", G15="", H15=""), "", MAX($B$2:OFFSET(B15, -1, 0))+1)</f>
        <v/>
      </c>
      <c r="C15" s="10"/>
      <c r="D15" s="37"/>
      <c r="E15" s="11"/>
      <c r="F15" s="12"/>
      <c r="G15" s="11"/>
      <c r="H15" s="12"/>
      <c r="I15" s="10"/>
      <c r="J15" s="40"/>
      <c r="K15" s="40"/>
      <c r="L15" s="40"/>
      <c r="M15" s="59"/>
      <c r="N15" s="13"/>
      <c r="O15" s="45"/>
      <c r="P15" s="14"/>
      <c r="Q15" s="13"/>
      <c r="R15" s="45"/>
      <c r="S15" s="14"/>
      <c r="T15" s="13"/>
      <c r="U15" s="45"/>
      <c r="V15" s="14"/>
      <c r="W15" s="13"/>
      <c r="X15" s="45"/>
      <c r="Y15" s="14"/>
      <c r="Z15" s="13"/>
      <c r="AA15" s="45"/>
      <c r="AB15" s="15"/>
    </row>
    <row r="16" spans="2:28" x14ac:dyDescent="0.15">
      <c r="B16" s="9" t="str">
        <f ca="1">IF(OR(C16="",E16="", F16="", G16="", H16=""), "", MAX($B$2:OFFSET(B16, -1, 0))+1)</f>
        <v/>
      </c>
      <c r="C16" s="10"/>
      <c r="D16" s="37"/>
      <c r="E16" s="11"/>
      <c r="F16" s="12"/>
      <c r="G16" s="11"/>
      <c r="H16" s="12"/>
      <c r="I16" s="10"/>
      <c r="J16" s="40"/>
      <c r="K16" s="40"/>
      <c r="L16" s="40"/>
      <c r="M16" s="59"/>
      <c r="N16" s="13"/>
      <c r="O16" s="45"/>
      <c r="P16" s="14"/>
      <c r="Q16" s="13"/>
      <c r="R16" s="45"/>
      <c r="S16" s="14"/>
      <c r="T16" s="13"/>
      <c r="U16" s="45"/>
      <c r="V16" s="14"/>
      <c r="W16" s="13"/>
      <c r="X16" s="45"/>
      <c r="Y16" s="14"/>
      <c r="Z16" s="13"/>
      <c r="AA16" s="45"/>
      <c r="AB16" s="15"/>
    </row>
    <row r="17" spans="2:28" x14ac:dyDescent="0.15">
      <c r="B17" s="9" t="str">
        <f ca="1">IF(OR(C17="",E17="", F17="", G17="", H17=""), "", MAX($B$2:OFFSET(B17, -1, 0))+1)</f>
        <v/>
      </c>
      <c r="C17" s="10"/>
      <c r="D17" s="37"/>
      <c r="E17" s="11"/>
      <c r="F17" s="12"/>
      <c r="G17" s="11"/>
      <c r="H17" s="12"/>
      <c r="I17" s="10"/>
      <c r="J17" s="40"/>
      <c r="K17" s="40"/>
      <c r="L17" s="40"/>
      <c r="M17" s="59"/>
      <c r="N17" s="13"/>
      <c r="O17" s="45"/>
      <c r="P17" s="14"/>
      <c r="Q17" s="13"/>
      <c r="R17" s="45"/>
      <c r="S17" s="14"/>
      <c r="T17" s="13"/>
      <c r="U17" s="45"/>
      <c r="V17" s="14"/>
      <c r="W17" s="13"/>
      <c r="X17" s="45"/>
      <c r="Y17" s="14"/>
      <c r="Z17" s="13"/>
      <c r="AA17" s="45"/>
      <c r="AB17" s="15"/>
    </row>
    <row r="18" spans="2:28" x14ac:dyDescent="0.15">
      <c r="B18" s="9" t="str">
        <f ca="1">IF(OR(C18="",E18="", F18="", G18="", H18=""), "", MAX($B$2:OFFSET(B18, -1, 0))+1)</f>
        <v/>
      </c>
      <c r="C18" s="10"/>
      <c r="D18" s="37"/>
      <c r="E18" s="11"/>
      <c r="F18" s="12"/>
      <c r="G18" s="11"/>
      <c r="H18" s="12"/>
      <c r="I18" s="10"/>
      <c r="J18" s="40"/>
      <c r="K18" s="40"/>
      <c r="L18" s="40"/>
      <c r="M18" s="59"/>
      <c r="N18" s="13"/>
      <c r="O18" s="45"/>
      <c r="P18" s="14"/>
      <c r="Q18" s="13"/>
      <c r="R18" s="45"/>
      <c r="S18" s="14"/>
      <c r="T18" s="13"/>
      <c r="U18" s="45"/>
      <c r="V18" s="14"/>
      <c r="W18" s="13"/>
      <c r="X18" s="45"/>
      <c r="Y18" s="14"/>
      <c r="Z18" s="13"/>
      <c r="AA18" s="45"/>
      <c r="AB18" s="15"/>
    </row>
    <row r="19" spans="2:28" x14ac:dyDescent="0.15">
      <c r="B19" s="9" t="str">
        <f ca="1">IF(OR(C19="",E19="", F19="", G19="", H19=""), "", MAX($B$2:OFFSET(B19, -1, 0))+1)</f>
        <v/>
      </c>
      <c r="C19" s="10"/>
      <c r="D19" s="37"/>
      <c r="E19" s="11"/>
      <c r="F19" s="12"/>
      <c r="G19" s="11"/>
      <c r="H19" s="12"/>
      <c r="I19" s="10"/>
      <c r="J19" s="40"/>
      <c r="K19" s="40"/>
      <c r="L19" s="40"/>
      <c r="M19" s="59"/>
      <c r="N19" s="13"/>
      <c r="O19" s="45"/>
      <c r="P19" s="14"/>
      <c r="Q19" s="13"/>
      <c r="R19" s="45"/>
      <c r="S19" s="14"/>
      <c r="T19" s="13"/>
      <c r="U19" s="45"/>
      <c r="V19" s="14"/>
      <c r="W19" s="13"/>
      <c r="X19" s="45"/>
      <c r="Y19" s="14"/>
      <c r="Z19" s="13"/>
      <c r="AA19" s="45"/>
      <c r="AB19" s="15"/>
    </row>
    <row r="20" spans="2:28" x14ac:dyDescent="0.15">
      <c r="B20" s="9" t="str">
        <f ca="1">IF(OR(C20="",E20="", F20="", G20="", H20=""), "", MAX($B$2:OFFSET(B20, -1, 0))+1)</f>
        <v/>
      </c>
      <c r="C20" s="10"/>
      <c r="D20" s="37"/>
      <c r="E20" s="11"/>
      <c r="F20" s="12"/>
      <c r="G20" s="11"/>
      <c r="H20" s="12"/>
      <c r="I20" s="10"/>
      <c r="J20" s="40"/>
      <c r="K20" s="40"/>
      <c r="L20" s="40"/>
      <c r="M20" s="59"/>
      <c r="N20" s="13"/>
      <c r="O20" s="45"/>
      <c r="P20" s="14"/>
      <c r="Q20" s="13"/>
      <c r="R20" s="45"/>
      <c r="S20" s="14"/>
      <c r="T20" s="13"/>
      <c r="U20" s="45"/>
      <c r="V20" s="14"/>
      <c r="W20" s="13"/>
      <c r="X20" s="45"/>
      <c r="Y20" s="14"/>
      <c r="Z20" s="13"/>
      <c r="AA20" s="45"/>
      <c r="AB20" s="15"/>
    </row>
    <row r="21" spans="2:28" x14ac:dyDescent="0.15">
      <c r="B21" s="9" t="str">
        <f ca="1">IF(OR(C21="",E21="", F21="", G21="", H21=""), "", MAX($B$2:OFFSET(B21, -1, 0))+1)</f>
        <v/>
      </c>
      <c r="C21" s="10"/>
      <c r="D21" s="37"/>
      <c r="E21" s="11"/>
      <c r="F21" s="12"/>
      <c r="G21" s="11"/>
      <c r="H21" s="12"/>
      <c r="I21" s="10"/>
      <c r="J21" s="40"/>
      <c r="K21" s="40"/>
      <c r="L21" s="40"/>
      <c r="M21" s="59"/>
      <c r="N21" s="13"/>
      <c r="O21" s="45"/>
      <c r="P21" s="14"/>
      <c r="Q21" s="13"/>
      <c r="R21" s="45"/>
      <c r="S21" s="14"/>
      <c r="T21" s="13"/>
      <c r="U21" s="45"/>
      <c r="V21" s="14"/>
      <c r="W21" s="13"/>
      <c r="X21" s="45"/>
      <c r="Y21" s="14"/>
      <c r="Z21" s="13"/>
      <c r="AA21" s="45"/>
      <c r="AB21" s="15"/>
    </row>
    <row r="22" spans="2:28" x14ac:dyDescent="0.15">
      <c r="B22" s="9" t="str">
        <f ca="1">IF(OR(C22="",E22="", F22="", G22="", H22=""), "", MAX($B$2:OFFSET(B22, -1, 0))+1)</f>
        <v/>
      </c>
      <c r="C22" s="10"/>
      <c r="D22" s="37"/>
      <c r="E22" s="11"/>
      <c r="F22" s="12"/>
      <c r="G22" s="11"/>
      <c r="H22" s="12"/>
      <c r="I22" s="10"/>
      <c r="J22" s="40"/>
      <c r="K22" s="40"/>
      <c r="L22" s="40"/>
      <c r="M22" s="59"/>
      <c r="N22" s="13"/>
      <c r="O22" s="45"/>
      <c r="P22" s="14"/>
      <c r="Q22" s="13"/>
      <c r="R22" s="45"/>
      <c r="S22" s="14"/>
      <c r="T22" s="13"/>
      <c r="U22" s="45"/>
      <c r="V22" s="14"/>
      <c r="W22" s="13"/>
      <c r="X22" s="45"/>
      <c r="Y22" s="14"/>
      <c r="Z22" s="13"/>
      <c r="AA22" s="45"/>
      <c r="AB22" s="15"/>
    </row>
    <row r="23" spans="2:28" x14ac:dyDescent="0.15">
      <c r="B23" s="9" t="str">
        <f ca="1">IF(OR(C23="",E23="", F23="", G23="", H23=""), "", MAX($B$2:OFFSET(B23, -1, 0))+1)</f>
        <v/>
      </c>
      <c r="C23" s="10"/>
      <c r="D23" s="37"/>
      <c r="E23" s="11"/>
      <c r="F23" s="12"/>
      <c r="G23" s="11"/>
      <c r="H23" s="12"/>
      <c r="I23" s="10"/>
      <c r="J23" s="40"/>
      <c r="K23" s="40"/>
      <c r="L23" s="40"/>
      <c r="M23" s="59"/>
      <c r="N23" s="13"/>
      <c r="O23" s="45"/>
      <c r="P23" s="14"/>
      <c r="Q23" s="13"/>
      <c r="R23" s="45"/>
      <c r="S23" s="14"/>
      <c r="T23" s="13"/>
      <c r="U23" s="45"/>
      <c r="V23" s="14"/>
      <c r="W23" s="13"/>
      <c r="X23" s="45"/>
      <c r="Y23" s="14"/>
      <c r="Z23" s="13"/>
      <c r="AA23" s="45"/>
      <c r="AB23" s="15"/>
    </row>
    <row r="24" spans="2:28" x14ac:dyDescent="0.15">
      <c r="B24" s="9" t="str">
        <f ca="1">IF(OR(C24="",E24="", F24="", G24="", H24=""), "", MAX($B$2:OFFSET(B24, -1, 0))+1)</f>
        <v/>
      </c>
      <c r="C24" s="10"/>
      <c r="D24" s="37"/>
      <c r="E24" s="11"/>
      <c r="F24" s="12"/>
      <c r="G24" s="11"/>
      <c r="H24" s="12"/>
      <c r="I24" s="10"/>
      <c r="J24" s="40"/>
      <c r="K24" s="40"/>
      <c r="L24" s="40"/>
      <c r="M24" s="59"/>
      <c r="N24" s="13"/>
      <c r="O24" s="45"/>
      <c r="P24" s="14"/>
      <c r="Q24" s="13"/>
      <c r="R24" s="45"/>
      <c r="S24" s="14"/>
      <c r="T24" s="13"/>
      <c r="U24" s="45"/>
      <c r="V24" s="14"/>
      <c r="W24" s="13"/>
      <c r="X24" s="45"/>
      <c r="Y24" s="14"/>
      <c r="Z24" s="13"/>
      <c r="AA24" s="45"/>
      <c r="AB24" s="15"/>
    </row>
    <row r="25" spans="2:28" x14ac:dyDescent="0.15">
      <c r="B25" s="9" t="str">
        <f ca="1">IF(OR(C25="",E25="", F25="", G25="", H25=""), "", MAX($B$2:OFFSET(B25, -1, 0))+1)</f>
        <v/>
      </c>
      <c r="C25" s="10"/>
      <c r="D25" s="37"/>
      <c r="E25" s="11"/>
      <c r="F25" s="12"/>
      <c r="G25" s="11"/>
      <c r="H25" s="12"/>
      <c r="I25" s="10"/>
      <c r="J25" s="40"/>
      <c r="K25" s="40"/>
      <c r="L25" s="40"/>
      <c r="M25" s="59"/>
      <c r="N25" s="13"/>
      <c r="O25" s="45"/>
      <c r="P25" s="14"/>
      <c r="Q25" s="13"/>
      <c r="R25" s="45"/>
      <c r="S25" s="14"/>
      <c r="T25" s="13"/>
      <c r="U25" s="45"/>
      <c r="V25" s="14"/>
      <c r="W25" s="13"/>
      <c r="X25" s="45"/>
      <c r="Y25" s="14"/>
      <c r="Z25" s="13"/>
      <c r="AA25" s="45"/>
      <c r="AB25" s="15"/>
    </row>
    <row r="26" spans="2:28" x14ac:dyDescent="0.15">
      <c r="B26" s="9" t="str">
        <f ca="1">IF(OR(C26="",E26="", F26="", G26="", H26=""), "", MAX($B$2:OFFSET(B26, -1, 0))+1)</f>
        <v/>
      </c>
      <c r="C26" s="10"/>
      <c r="D26" s="37"/>
      <c r="E26" s="11"/>
      <c r="F26" s="12"/>
      <c r="G26" s="11"/>
      <c r="H26" s="12"/>
      <c r="I26" s="10"/>
      <c r="J26" s="40"/>
      <c r="K26" s="40"/>
      <c r="L26" s="40"/>
      <c r="M26" s="59"/>
      <c r="N26" s="13"/>
      <c r="O26" s="45"/>
      <c r="P26" s="14"/>
      <c r="Q26" s="13"/>
      <c r="R26" s="45"/>
      <c r="S26" s="14"/>
      <c r="T26" s="13"/>
      <c r="U26" s="45"/>
      <c r="V26" s="14"/>
      <c r="W26" s="13"/>
      <c r="X26" s="45"/>
      <c r="Y26" s="14"/>
      <c r="Z26" s="13"/>
      <c r="AA26" s="45"/>
      <c r="AB26" s="15"/>
    </row>
    <row r="27" spans="2:28" x14ac:dyDescent="0.15">
      <c r="B27" s="9" t="str">
        <f ca="1">IF(OR(C27="",E27="", F27="", G27="", H27=""), "", MAX($B$2:OFFSET(B27, -1, 0))+1)</f>
        <v/>
      </c>
      <c r="C27" s="10"/>
      <c r="D27" s="37"/>
      <c r="E27" s="11"/>
      <c r="F27" s="12"/>
      <c r="G27" s="11"/>
      <c r="H27" s="12"/>
      <c r="I27" s="10"/>
      <c r="J27" s="40"/>
      <c r="K27" s="40"/>
      <c r="L27" s="40"/>
      <c r="M27" s="59"/>
      <c r="N27" s="13"/>
      <c r="O27" s="45"/>
      <c r="P27" s="14"/>
      <c r="Q27" s="13"/>
      <c r="R27" s="45"/>
      <c r="S27" s="14"/>
      <c r="T27" s="13"/>
      <c r="U27" s="45"/>
      <c r="V27" s="14"/>
      <c r="W27" s="13"/>
      <c r="X27" s="45"/>
      <c r="Y27" s="14"/>
      <c r="Z27" s="13"/>
      <c r="AA27" s="45"/>
      <c r="AB27" s="15"/>
    </row>
    <row r="28" spans="2:28" x14ac:dyDescent="0.15">
      <c r="B28" s="9" t="str">
        <f ca="1">IF(OR(C28="",E28="", F28="", G28="", H28=""), "", MAX($B$2:OFFSET(B28, -1, 0))+1)</f>
        <v/>
      </c>
      <c r="C28" s="10"/>
      <c r="D28" s="37"/>
      <c r="E28" s="11"/>
      <c r="F28" s="12"/>
      <c r="G28" s="11"/>
      <c r="H28" s="12"/>
      <c r="I28" s="10"/>
      <c r="J28" s="40"/>
      <c r="K28" s="40"/>
      <c r="L28" s="40"/>
      <c r="M28" s="59"/>
      <c r="N28" s="13"/>
      <c r="O28" s="45"/>
      <c r="P28" s="14"/>
      <c r="Q28" s="13"/>
      <c r="R28" s="45"/>
      <c r="S28" s="14"/>
      <c r="T28" s="13"/>
      <c r="U28" s="45"/>
      <c r="V28" s="14"/>
      <c r="W28" s="13"/>
      <c r="X28" s="45"/>
      <c r="Y28" s="14"/>
      <c r="Z28" s="13"/>
      <c r="AA28" s="45"/>
      <c r="AB28" s="15"/>
    </row>
    <row r="29" spans="2:28" x14ac:dyDescent="0.15">
      <c r="B29" s="9" t="str">
        <f ca="1">IF(OR(C29="",E29="", F29="", G29="", H29=""), "", MAX($B$2:OFFSET(B29, -1, 0))+1)</f>
        <v/>
      </c>
      <c r="C29" s="10"/>
      <c r="D29" s="37"/>
      <c r="E29" s="11"/>
      <c r="F29" s="12"/>
      <c r="G29" s="11"/>
      <c r="H29" s="12"/>
      <c r="I29" s="10"/>
      <c r="J29" s="40"/>
      <c r="K29" s="40"/>
      <c r="L29" s="40"/>
      <c r="M29" s="59"/>
      <c r="N29" s="13"/>
      <c r="O29" s="45"/>
      <c r="P29" s="14"/>
      <c r="Q29" s="13"/>
      <c r="R29" s="45"/>
      <c r="S29" s="14"/>
      <c r="T29" s="13"/>
      <c r="U29" s="45"/>
      <c r="V29" s="14"/>
      <c r="W29" s="13"/>
      <c r="X29" s="45"/>
      <c r="Y29" s="14"/>
      <c r="Z29" s="13"/>
      <c r="AA29" s="45"/>
      <c r="AB29" s="15"/>
    </row>
    <row r="30" spans="2:28" x14ac:dyDescent="0.15">
      <c r="B30" s="9" t="str">
        <f ca="1">IF(OR(C30="",E30="", F30="", G30="", H30=""), "", MAX($B$2:OFFSET(B30, -1, 0))+1)</f>
        <v/>
      </c>
      <c r="C30" s="10"/>
      <c r="D30" s="37"/>
      <c r="E30" s="11"/>
      <c r="F30" s="12"/>
      <c r="G30" s="11"/>
      <c r="H30" s="12"/>
      <c r="I30" s="10"/>
      <c r="J30" s="40"/>
      <c r="K30" s="40"/>
      <c r="L30" s="40"/>
      <c r="M30" s="59"/>
      <c r="N30" s="13"/>
      <c r="O30" s="45"/>
      <c r="P30" s="14"/>
      <c r="Q30" s="13"/>
      <c r="R30" s="45"/>
      <c r="S30" s="14"/>
      <c r="T30" s="13"/>
      <c r="U30" s="45"/>
      <c r="V30" s="14"/>
      <c r="W30" s="13"/>
      <c r="X30" s="45"/>
      <c r="Y30" s="14"/>
      <c r="Z30" s="13"/>
      <c r="AA30" s="45"/>
      <c r="AB30" s="15"/>
    </row>
    <row r="31" spans="2:28" x14ac:dyDescent="0.15">
      <c r="B31" s="9" t="str">
        <f ca="1">IF(OR(C31="",E31="", F31="", G31="", H31=""), "", MAX($B$2:OFFSET(B31, -1, 0))+1)</f>
        <v/>
      </c>
      <c r="C31" s="10"/>
      <c r="D31" s="37"/>
      <c r="E31" s="11"/>
      <c r="F31" s="12"/>
      <c r="G31" s="11"/>
      <c r="H31" s="12"/>
      <c r="I31" s="10"/>
      <c r="J31" s="40"/>
      <c r="K31" s="40"/>
      <c r="L31" s="40"/>
      <c r="M31" s="59"/>
      <c r="N31" s="13"/>
      <c r="O31" s="45"/>
      <c r="P31" s="14"/>
      <c r="Q31" s="13"/>
      <c r="R31" s="45"/>
      <c r="S31" s="14"/>
      <c r="T31" s="13"/>
      <c r="U31" s="45"/>
      <c r="V31" s="14"/>
      <c r="W31" s="13"/>
      <c r="X31" s="45"/>
      <c r="Y31" s="14"/>
      <c r="Z31" s="13"/>
      <c r="AA31" s="45"/>
      <c r="AB31" s="15"/>
    </row>
    <row r="32" spans="2:28" x14ac:dyDescent="0.15">
      <c r="B32" s="9" t="str">
        <f ca="1">IF(OR(C32="",E32="", F32="", G32="", H32=""), "", MAX($B$2:OFFSET(B32, -1, 0))+1)</f>
        <v/>
      </c>
      <c r="C32" s="10"/>
      <c r="D32" s="37"/>
      <c r="E32" s="11"/>
      <c r="F32" s="12"/>
      <c r="G32" s="11"/>
      <c r="H32" s="12"/>
      <c r="I32" s="10"/>
      <c r="J32" s="40"/>
      <c r="K32" s="40"/>
      <c r="L32" s="40"/>
      <c r="M32" s="59"/>
      <c r="N32" s="13"/>
      <c r="O32" s="45"/>
      <c r="P32" s="14"/>
      <c r="Q32" s="13"/>
      <c r="R32" s="45"/>
      <c r="S32" s="14"/>
      <c r="T32" s="13"/>
      <c r="U32" s="45"/>
      <c r="V32" s="14"/>
      <c r="W32" s="13"/>
      <c r="X32" s="45"/>
      <c r="Y32" s="14"/>
      <c r="Z32" s="13"/>
      <c r="AA32" s="45"/>
      <c r="AB32" s="15"/>
    </row>
    <row r="33" spans="2:28" x14ac:dyDescent="0.15">
      <c r="B33" s="9" t="str">
        <f ca="1">IF(OR(C33="",E33="", F33="", G33="", H33=""), "", MAX($B$2:OFFSET(B33, -1, 0))+1)</f>
        <v/>
      </c>
      <c r="C33" s="10"/>
      <c r="D33" s="37"/>
      <c r="E33" s="11"/>
      <c r="F33" s="12"/>
      <c r="G33" s="11"/>
      <c r="H33" s="12"/>
      <c r="I33" s="10"/>
      <c r="J33" s="40"/>
      <c r="K33" s="40"/>
      <c r="L33" s="40"/>
      <c r="M33" s="59"/>
      <c r="N33" s="13"/>
      <c r="O33" s="45"/>
      <c r="P33" s="14"/>
      <c r="Q33" s="13"/>
      <c r="R33" s="45"/>
      <c r="S33" s="14"/>
      <c r="T33" s="13"/>
      <c r="U33" s="45"/>
      <c r="V33" s="14"/>
      <c r="W33" s="13"/>
      <c r="X33" s="45"/>
      <c r="Y33" s="14"/>
      <c r="Z33" s="13"/>
      <c r="AA33" s="45"/>
      <c r="AB33" s="15"/>
    </row>
    <row r="34" spans="2:28" x14ac:dyDescent="0.15">
      <c r="B34" s="9" t="str">
        <f ca="1">IF(OR(C34="",E34="", F34="", G34="", H34=""), "", MAX($B$2:OFFSET(B34, -1, 0))+1)</f>
        <v/>
      </c>
      <c r="C34" s="10"/>
      <c r="D34" s="37"/>
      <c r="E34" s="11"/>
      <c r="F34" s="12"/>
      <c r="G34" s="11"/>
      <c r="H34" s="12"/>
      <c r="I34" s="10"/>
      <c r="J34" s="40"/>
      <c r="K34" s="40"/>
      <c r="L34" s="40"/>
      <c r="M34" s="59"/>
      <c r="N34" s="13"/>
      <c r="O34" s="45"/>
      <c r="P34" s="14"/>
      <c r="Q34" s="13"/>
      <c r="R34" s="45"/>
      <c r="S34" s="14"/>
      <c r="T34" s="13"/>
      <c r="U34" s="45"/>
      <c r="V34" s="14"/>
      <c r="W34" s="13"/>
      <c r="X34" s="45"/>
      <c r="Y34" s="14"/>
      <c r="Z34" s="13"/>
      <c r="AA34" s="45"/>
      <c r="AB34" s="15"/>
    </row>
    <row r="35" spans="2:28" x14ac:dyDescent="0.15">
      <c r="B35" s="9" t="str">
        <f ca="1">IF(OR(C35="",E35="", F35="", G35="", H35=""), "", MAX($B$2:OFFSET(B35, -1, 0))+1)</f>
        <v/>
      </c>
      <c r="C35" s="10"/>
      <c r="D35" s="37"/>
      <c r="E35" s="11"/>
      <c r="F35" s="12"/>
      <c r="G35" s="11"/>
      <c r="H35" s="12"/>
      <c r="I35" s="10"/>
      <c r="J35" s="40"/>
      <c r="K35" s="40"/>
      <c r="L35" s="40"/>
      <c r="M35" s="59"/>
      <c r="N35" s="13"/>
      <c r="O35" s="45"/>
      <c r="P35" s="14"/>
      <c r="Q35" s="13"/>
      <c r="R35" s="45"/>
      <c r="S35" s="14"/>
      <c r="T35" s="13"/>
      <c r="U35" s="45"/>
      <c r="V35" s="14"/>
      <c r="W35" s="13"/>
      <c r="X35" s="45"/>
      <c r="Y35" s="14"/>
      <c r="Z35" s="13"/>
      <c r="AA35" s="45"/>
      <c r="AB35" s="15"/>
    </row>
    <row r="36" spans="2:28" x14ac:dyDescent="0.15">
      <c r="B36" s="9" t="str">
        <f ca="1">IF(OR(C36="",E36="", F36="", G36="", H36=""), "", MAX($B$2:OFFSET(B36, -1, 0))+1)</f>
        <v/>
      </c>
      <c r="C36" s="10"/>
      <c r="D36" s="37"/>
      <c r="E36" s="11"/>
      <c r="F36" s="12"/>
      <c r="G36" s="11"/>
      <c r="H36" s="12"/>
      <c r="I36" s="10"/>
      <c r="J36" s="40"/>
      <c r="K36" s="40"/>
      <c r="L36" s="40"/>
      <c r="M36" s="59"/>
      <c r="N36" s="13"/>
      <c r="O36" s="45"/>
      <c r="P36" s="14"/>
      <c r="Q36" s="13"/>
      <c r="R36" s="45"/>
      <c r="S36" s="14"/>
      <c r="T36" s="13"/>
      <c r="U36" s="45"/>
      <c r="V36" s="14"/>
      <c r="W36" s="13"/>
      <c r="X36" s="45"/>
      <c r="Y36" s="14"/>
      <c r="Z36" s="13"/>
      <c r="AA36" s="45"/>
      <c r="AB36" s="15"/>
    </row>
    <row r="37" spans="2:28" x14ac:dyDescent="0.15">
      <c r="B37" s="9" t="str">
        <f ca="1">IF(OR(C37="",E37="", F37="", G37="", H37=""), "", MAX($B$2:OFFSET(B37, -1, 0))+1)</f>
        <v/>
      </c>
      <c r="C37" s="10"/>
      <c r="D37" s="37"/>
      <c r="E37" s="11"/>
      <c r="F37" s="12"/>
      <c r="G37" s="11"/>
      <c r="H37" s="12"/>
      <c r="I37" s="10"/>
      <c r="J37" s="40"/>
      <c r="K37" s="40"/>
      <c r="L37" s="40"/>
      <c r="M37" s="59"/>
      <c r="N37" s="13"/>
      <c r="O37" s="45"/>
      <c r="P37" s="14"/>
      <c r="Q37" s="13"/>
      <c r="R37" s="45"/>
      <c r="S37" s="14"/>
      <c r="T37" s="13"/>
      <c r="U37" s="45"/>
      <c r="V37" s="14"/>
      <c r="W37" s="13"/>
      <c r="X37" s="45"/>
      <c r="Y37" s="14"/>
      <c r="Z37" s="13"/>
      <c r="AA37" s="45"/>
      <c r="AB37" s="15"/>
    </row>
    <row r="38" spans="2:28" x14ac:dyDescent="0.15">
      <c r="B38" s="9" t="str">
        <f ca="1">IF(OR(C38="",E38="", F38="", G38="", H38=""), "", MAX($B$2:OFFSET(B38, -1, 0))+1)</f>
        <v/>
      </c>
      <c r="C38" s="10"/>
      <c r="D38" s="37"/>
      <c r="E38" s="11"/>
      <c r="F38" s="12"/>
      <c r="G38" s="11"/>
      <c r="H38" s="12"/>
      <c r="I38" s="10"/>
      <c r="J38" s="40"/>
      <c r="K38" s="40"/>
      <c r="L38" s="40"/>
      <c r="M38" s="59"/>
      <c r="N38" s="13"/>
      <c r="O38" s="45"/>
      <c r="P38" s="14"/>
      <c r="Q38" s="13"/>
      <c r="R38" s="45"/>
      <c r="S38" s="14"/>
      <c r="T38" s="13"/>
      <c r="U38" s="45"/>
      <c r="V38" s="14"/>
      <c r="W38" s="13"/>
      <c r="X38" s="45"/>
      <c r="Y38" s="14"/>
      <c r="Z38" s="13"/>
      <c r="AA38" s="45"/>
      <c r="AB38" s="15"/>
    </row>
    <row r="39" spans="2:28" x14ac:dyDescent="0.15">
      <c r="B39" s="9" t="str">
        <f ca="1">IF(OR(C39="",E39="", F39="", G39="", H39=""), "", MAX($B$2:OFFSET(B39, -1, 0))+1)</f>
        <v/>
      </c>
      <c r="C39" s="10"/>
      <c r="D39" s="37"/>
      <c r="E39" s="11"/>
      <c r="F39" s="12"/>
      <c r="G39" s="11"/>
      <c r="H39" s="12"/>
      <c r="I39" s="10"/>
      <c r="J39" s="40"/>
      <c r="K39" s="40"/>
      <c r="L39" s="40"/>
      <c r="M39" s="59"/>
      <c r="N39" s="13"/>
      <c r="O39" s="45"/>
      <c r="P39" s="14"/>
      <c r="Q39" s="13"/>
      <c r="R39" s="45"/>
      <c r="S39" s="14"/>
      <c r="T39" s="13"/>
      <c r="U39" s="45"/>
      <c r="V39" s="14"/>
      <c r="W39" s="13"/>
      <c r="X39" s="45"/>
      <c r="Y39" s="14"/>
      <c r="Z39" s="13"/>
      <c r="AA39" s="45"/>
      <c r="AB39" s="15"/>
    </row>
    <row r="40" spans="2:28" x14ac:dyDescent="0.15">
      <c r="B40" s="9" t="str">
        <f ca="1">IF(OR(C40="",E40="", F40="", G40="", H40=""), "", MAX($B$2:OFFSET(B40, -1, 0))+1)</f>
        <v/>
      </c>
      <c r="C40" s="10"/>
      <c r="D40" s="37"/>
      <c r="E40" s="11"/>
      <c r="F40" s="12"/>
      <c r="G40" s="11"/>
      <c r="H40" s="12"/>
      <c r="I40" s="10"/>
      <c r="J40" s="40"/>
      <c r="K40" s="40"/>
      <c r="L40" s="40"/>
      <c r="M40" s="59"/>
      <c r="N40" s="13"/>
      <c r="O40" s="45"/>
      <c r="P40" s="14"/>
      <c r="Q40" s="13"/>
      <c r="R40" s="45"/>
      <c r="S40" s="14"/>
      <c r="T40" s="13"/>
      <c r="U40" s="45"/>
      <c r="V40" s="14"/>
      <c r="W40" s="13"/>
      <c r="X40" s="45"/>
      <c r="Y40" s="14"/>
      <c r="Z40" s="13"/>
      <c r="AA40" s="45"/>
      <c r="AB40" s="15"/>
    </row>
    <row r="41" spans="2:28" x14ac:dyDescent="0.15">
      <c r="B41" s="9" t="str">
        <f ca="1">IF(OR(C41="",E41="", F41="", G41="", H41=""), "", MAX($B$2:OFFSET(B41, -1, 0))+1)</f>
        <v/>
      </c>
      <c r="C41" s="10"/>
      <c r="D41" s="37"/>
      <c r="E41" s="11"/>
      <c r="F41" s="12"/>
      <c r="G41" s="11"/>
      <c r="H41" s="12"/>
      <c r="I41" s="10"/>
      <c r="J41" s="40"/>
      <c r="K41" s="40"/>
      <c r="L41" s="40"/>
      <c r="M41" s="59"/>
      <c r="N41" s="13"/>
      <c r="O41" s="45"/>
      <c r="P41" s="14"/>
      <c r="Q41" s="13"/>
      <c r="R41" s="45"/>
      <c r="S41" s="14"/>
      <c r="T41" s="13"/>
      <c r="U41" s="45"/>
      <c r="V41" s="14"/>
      <c r="W41" s="13"/>
      <c r="X41" s="45"/>
      <c r="Y41" s="14"/>
      <c r="Z41" s="13"/>
      <c r="AA41" s="45"/>
      <c r="AB41" s="15"/>
    </row>
    <row r="42" spans="2:28" x14ac:dyDescent="0.15">
      <c r="B42" s="9" t="str">
        <f ca="1">IF(OR(C42="",E42="", F42="", G42="", H42=""), "", MAX($B$2:OFFSET(B42, -1, 0))+1)</f>
        <v/>
      </c>
      <c r="C42" s="10"/>
      <c r="D42" s="37"/>
      <c r="E42" s="11"/>
      <c r="F42" s="12"/>
      <c r="G42" s="11"/>
      <c r="H42" s="12"/>
      <c r="I42" s="10"/>
      <c r="J42" s="40"/>
      <c r="K42" s="40"/>
      <c r="L42" s="40"/>
      <c r="M42" s="59"/>
      <c r="N42" s="13"/>
      <c r="O42" s="45"/>
      <c r="P42" s="14"/>
      <c r="Q42" s="13"/>
      <c r="R42" s="45"/>
      <c r="S42" s="14"/>
      <c r="T42" s="13"/>
      <c r="U42" s="45"/>
      <c r="V42" s="14"/>
      <c r="W42" s="13"/>
      <c r="X42" s="45"/>
      <c r="Y42" s="14"/>
      <c r="Z42" s="13"/>
      <c r="AA42" s="45"/>
      <c r="AB42" s="15"/>
    </row>
    <row r="43" spans="2:28" x14ac:dyDescent="0.15">
      <c r="B43" s="9" t="str">
        <f ca="1">IF(OR(C43="",E43="", F43="", G43="", H43=""), "", MAX($B$2:OFFSET(B43, -1, 0))+1)</f>
        <v/>
      </c>
      <c r="C43" s="10"/>
      <c r="D43" s="37"/>
      <c r="E43" s="11"/>
      <c r="F43" s="12"/>
      <c r="G43" s="11"/>
      <c r="H43" s="12"/>
      <c r="I43" s="10"/>
      <c r="J43" s="40"/>
      <c r="K43" s="40"/>
      <c r="L43" s="40"/>
      <c r="M43" s="59"/>
      <c r="N43" s="13"/>
      <c r="O43" s="45"/>
      <c r="P43" s="14"/>
      <c r="Q43" s="13"/>
      <c r="R43" s="45"/>
      <c r="S43" s="14"/>
      <c r="T43" s="13"/>
      <c r="U43" s="45"/>
      <c r="V43" s="14"/>
      <c r="W43" s="13"/>
      <c r="X43" s="45"/>
      <c r="Y43" s="14"/>
      <c r="Z43" s="13"/>
      <c r="AA43" s="45"/>
      <c r="AB43" s="15"/>
    </row>
    <row r="44" spans="2:28" x14ac:dyDescent="0.15">
      <c r="B44" s="9" t="str">
        <f ca="1">IF(OR(C44="",E44="", F44="", G44="", H44=""), "", MAX($B$2:OFFSET(B44, -1, 0))+1)</f>
        <v/>
      </c>
      <c r="C44" s="10"/>
      <c r="D44" s="37"/>
      <c r="E44" s="11"/>
      <c r="F44" s="12"/>
      <c r="G44" s="11"/>
      <c r="H44" s="12"/>
      <c r="I44" s="10"/>
      <c r="J44" s="40"/>
      <c r="K44" s="40"/>
      <c r="L44" s="40"/>
      <c r="M44" s="59"/>
      <c r="N44" s="13"/>
      <c r="O44" s="45"/>
      <c r="P44" s="14"/>
      <c r="Q44" s="13"/>
      <c r="R44" s="45"/>
      <c r="S44" s="14"/>
      <c r="T44" s="13"/>
      <c r="U44" s="45"/>
      <c r="V44" s="14"/>
      <c r="W44" s="13"/>
      <c r="X44" s="45"/>
      <c r="Y44" s="14"/>
      <c r="Z44" s="13"/>
      <c r="AA44" s="45"/>
      <c r="AB44" s="15"/>
    </row>
    <row r="45" spans="2:28" x14ac:dyDescent="0.15">
      <c r="B45" s="9" t="str">
        <f ca="1">IF(OR(C45="",E45="", F45="", G45="", H45=""), "", MAX($B$2:OFFSET(B45, -1, 0))+1)</f>
        <v/>
      </c>
      <c r="C45" s="10"/>
      <c r="D45" s="37"/>
      <c r="E45" s="11"/>
      <c r="F45" s="12"/>
      <c r="G45" s="11"/>
      <c r="H45" s="12"/>
      <c r="I45" s="10"/>
      <c r="J45" s="40"/>
      <c r="K45" s="40"/>
      <c r="L45" s="40"/>
      <c r="M45" s="59"/>
      <c r="N45" s="13"/>
      <c r="O45" s="45"/>
      <c r="P45" s="14"/>
      <c r="Q45" s="13"/>
      <c r="R45" s="45"/>
      <c r="S45" s="14"/>
      <c r="T45" s="13"/>
      <c r="U45" s="45"/>
      <c r="V45" s="14"/>
      <c r="W45" s="13"/>
      <c r="X45" s="45"/>
      <c r="Y45" s="14"/>
      <c r="Z45" s="13"/>
      <c r="AA45" s="45"/>
      <c r="AB45" s="15"/>
    </row>
    <row r="46" spans="2:28" x14ac:dyDescent="0.15">
      <c r="B46" s="9" t="str">
        <f ca="1">IF(OR(C46="",E46="", F46="", G46="", H46=""), "", MAX($B$2:OFFSET(B46, -1, 0))+1)</f>
        <v/>
      </c>
      <c r="C46" s="10"/>
      <c r="D46" s="37"/>
      <c r="E46" s="11"/>
      <c r="F46" s="12"/>
      <c r="G46" s="11"/>
      <c r="H46" s="12"/>
      <c r="I46" s="10"/>
      <c r="J46" s="40"/>
      <c r="K46" s="40"/>
      <c r="L46" s="40"/>
      <c r="M46" s="59"/>
      <c r="N46" s="13"/>
      <c r="O46" s="45"/>
      <c r="P46" s="14"/>
      <c r="Q46" s="13"/>
      <c r="R46" s="45"/>
      <c r="S46" s="14"/>
      <c r="T46" s="13"/>
      <c r="U46" s="45"/>
      <c r="V46" s="14"/>
      <c r="W46" s="13"/>
      <c r="X46" s="45"/>
      <c r="Y46" s="14"/>
      <c r="Z46" s="13"/>
      <c r="AA46" s="45"/>
      <c r="AB46" s="15"/>
    </row>
    <row r="47" spans="2:28" x14ac:dyDescent="0.15">
      <c r="B47" s="9" t="str">
        <f ca="1">IF(OR(C47="",E47="", F47="", G47="", H47=""), "", MAX($B$2:OFFSET(B47, -1, 0))+1)</f>
        <v/>
      </c>
      <c r="C47" s="10"/>
      <c r="D47" s="37"/>
      <c r="E47" s="11"/>
      <c r="F47" s="12"/>
      <c r="G47" s="11"/>
      <c r="H47" s="12"/>
      <c r="I47" s="10"/>
      <c r="J47" s="40"/>
      <c r="K47" s="40"/>
      <c r="L47" s="40"/>
      <c r="M47" s="59"/>
      <c r="N47" s="13"/>
      <c r="O47" s="45"/>
      <c r="P47" s="14"/>
      <c r="Q47" s="13"/>
      <c r="R47" s="45"/>
      <c r="S47" s="14"/>
      <c r="T47" s="13"/>
      <c r="U47" s="45"/>
      <c r="V47" s="14"/>
      <c r="W47" s="13"/>
      <c r="X47" s="45"/>
      <c r="Y47" s="14"/>
      <c r="Z47" s="13"/>
      <c r="AA47" s="45"/>
      <c r="AB47" s="15"/>
    </row>
    <row r="48" spans="2:28" x14ac:dyDescent="0.15">
      <c r="B48" s="9" t="str">
        <f ca="1">IF(OR(C48="",E48="", F48="", G48="", H48=""), "", MAX($B$2:OFFSET(B48, -1, 0))+1)</f>
        <v/>
      </c>
      <c r="C48" s="10"/>
      <c r="D48" s="37"/>
      <c r="E48" s="11"/>
      <c r="F48" s="12"/>
      <c r="G48" s="11"/>
      <c r="H48" s="12"/>
      <c r="I48" s="10"/>
      <c r="J48" s="40"/>
      <c r="K48" s="40"/>
      <c r="L48" s="40"/>
      <c r="M48" s="59"/>
      <c r="N48" s="13"/>
      <c r="O48" s="45"/>
      <c r="P48" s="14"/>
      <c r="Q48" s="13"/>
      <c r="R48" s="45"/>
      <c r="S48" s="14"/>
      <c r="T48" s="13"/>
      <c r="U48" s="45"/>
      <c r="V48" s="14"/>
      <c r="W48" s="13"/>
      <c r="X48" s="45"/>
      <c r="Y48" s="14"/>
      <c r="Z48" s="13"/>
      <c r="AA48" s="45"/>
      <c r="AB48" s="15"/>
    </row>
    <row r="49" spans="2:28" x14ac:dyDescent="0.15">
      <c r="B49" s="9" t="str">
        <f ca="1">IF(OR(C49="",E49="", F49="", G49="", H49=""), "", MAX($B$2:OFFSET(B49, -1, 0))+1)</f>
        <v/>
      </c>
      <c r="C49" s="10"/>
      <c r="D49" s="37"/>
      <c r="E49" s="11"/>
      <c r="F49" s="12"/>
      <c r="G49" s="11"/>
      <c r="H49" s="12"/>
      <c r="I49" s="10"/>
      <c r="J49" s="40"/>
      <c r="K49" s="40"/>
      <c r="L49" s="40"/>
      <c r="M49" s="59"/>
      <c r="N49" s="13"/>
      <c r="O49" s="45"/>
      <c r="P49" s="14"/>
      <c r="Q49" s="13"/>
      <c r="R49" s="45"/>
      <c r="S49" s="14"/>
      <c r="T49" s="13"/>
      <c r="U49" s="45"/>
      <c r="V49" s="14"/>
      <c r="W49" s="13"/>
      <c r="X49" s="45"/>
      <c r="Y49" s="14"/>
      <c r="Z49" s="13"/>
      <c r="AA49" s="45"/>
      <c r="AB49" s="15"/>
    </row>
    <row r="50" spans="2:28" x14ac:dyDescent="0.15">
      <c r="B50" s="9" t="str">
        <f ca="1">IF(OR(C50="",E50="", F50="", G50="", H50=""), "", MAX($B$2:OFFSET(B50, -1, 0))+1)</f>
        <v/>
      </c>
      <c r="C50" s="10"/>
      <c r="D50" s="37"/>
      <c r="E50" s="11"/>
      <c r="F50" s="12"/>
      <c r="G50" s="11"/>
      <c r="H50" s="12"/>
      <c r="I50" s="10"/>
      <c r="J50" s="40"/>
      <c r="K50" s="40"/>
      <c r="L50" s="40"/>
      <c r="M50" s="59"/>
      <c r="N50" s="13"/>
      <c r="O50" s="45"/>
      <c r="P50" s="14"/>
      <c r="Q50" s="13"/>
      <c r="R50" s="45"/>
      <c r="S50" s="14"/>
      <c r="T50" s="13"/>
      <c r="U50" s="45"/>
      <c r="V50" s="14"/>
      <c r="W50" s="13"/>
      <c r="X50" s="45"/>
      <c r="Y50" s="14"/>
      <c r="Z50" s="13"/>
      <c r="AA50" s="45"/>
      <c r="AB50" s="15"/>
    </row>
    <row r="51" spans="2:28" x14ac:dyDescent="0.15">
      <c r="B51" s="9" t="str">
        <f ca="1">IF(OR(C51="",E51="", F51="", G51="", H51=""), "", MAX($B$2:OFFSET(B51, -1, 0))+1)</f>
        <v/>
      </c>
      <c r="C51" s="10"/>
      <c r="D51" s="37"/>
      <c r="E51" s="11"/>
      <c r="F51" s="12"/>
      <c r="G51" s="11"/>
      <c r="H51" s="12"/>
      <c r="I51" s="10"/>
      <c r="J51" s="40"/>
      <c r="K51" s="40"/>
      <c r="L51" s="40"/>
      <c r="M51" s="59"/>
      <c r="N51" s="13"/>
      <c r="O51" s="45"/>
      <c r="P51" s="14"/>
      <c r="Q51" s="13"/>
      <c r="R51" s="45"/>
      <c r="S51" s="14"/>
      <c r="T51" s="13"/>
      <c r="U51" s="45"/>
      <c r="V51" s="14"/>
      <c r="W51" s="13"/>
      <c r="X51" s="45"/>
      <c r="Y51" s="14"/>
      <c r="Z51" s="13"/>
      <c r="AA51" s="45"/>
      <c r="AB51" s="15"/>
    </row>
    <row r="52" spans="2:28" x14ac:dyDescent="0.15">
      <c r="B52" s="9" t="str">
        <f ca="1">IF(OR(C52="",E52="", F52="", G52="", H52=""), "", MAX($B$2:OFFSET(B52, -1, 0))+1)</f>
        <v/>
      </c>
      <c r="C52" s="10"/>
      <c r="D52" s="37"/>
      <c r="E52" s="11"/>
      <c r="F52" s="12"/>
      <c r="G52" s="11"/>
      <c r="H52" s="12"/>
      <c r="I52" s="10"/>
      <c r="J52" s="40"/>
      <c r="K52" s="40"/>
      <c r="L52" s="40"/>
      <c r="M52" s="59"/>
      <c r="N52" s="13"/>
      <c r="O52" s="45"/>
      <c r="P52" s="14"/>
      <c r="Q52" s="13"/>
      <c r="R52" s="45"/>
      <c r="S52" s="14"/>
      <c r="T52" s="13"/>
      <c r="U52" s="45"/>
      <c r="V52" s="14"/>
      <c r="W52" s="13"/>
      <c r="X52" s="45"/>
      <c r="Y52" s="14"/>
      <c r="Z52" s="13"/>
      <c r="AA52" s="45"/>
      <c r="AB52" s="15"/>
    </row>
    <row r="53" spans="2:28" x14ac:dyDescent="0.15">
      <c r="B53" s="9" t="str">
        <f ca="1">IF(OR(C53="",E53="", F53="", G53="", H53=""), "", MAX($B$2:OFFSET(B53, -1, 0))+1)</f>
        <v/>
      </c>
      <c r="C53" s="10"/>
      <c r="D53" s="37"/>
      <c r="E53" s="11"/>
      <c r="F53" s="12"/>
      <c r="G53" s="11"/>
      <c r="H53" s="12"/>
      <c r="I53" s="10"/>
      <c r="J53" s="40"/>
      <c r="K53" s="40"/>
      <c r="L53" s="40"/>
      <c r="M53" s="59"/>
      <c r="N53" s="13"/>
      <c r="O53" s="45"/>
      <c r="P53" s="14"/>
      <c r="Q53" s="13"/>
      <c r="R53" s="45"/>
      <c r="S53" s="14"/>
      <c r="T53" s="13"/>
      <c r="U53" s="45"/>
      <c r="V53" s="14"/>
      <c r="W53" s="13"/>
      <c r="X53" s="45"/>
      <c r="Y53" s="14"/>
      <c r="Z53" s="13"/>
      <c r="AA53" s="45"/>
      <c r="AB53" s="15"/>
    </row>
    <row r="54" spans="2:28" x14ac:dyDescent="0.15">
      <c r="B54" s="9" t="str">
        <f ca="1">IF(OR(C54="",E54="", F54="", G54="", H54=""), "", MAX($B$2:OFFSET(B54, -1, 0))+1)</f>
        <v/>
      </c>
      <c r="C54" s="10"/>
      <c r="D54" s="37"/>
      <c r="E54" s="11"/>
      <c r="F54" s="12"/>
      <c r="G54" s="11"/>
      <c r="H54" s="12"/>
      <c r="I54" s="10"/>
      <c r="J54" s="40"/>
      <c r="K54" s="40"/>
      <c r="L54" s="40"/>
      <c r="M54" s="59"/>
      <c r="N54" s="13"/>
      <c r="O54" s="45"/>
      <c r="P54" s="14"/>
      <c r="Q54" s="13"/>
      <c r="R54" s="45"/>
      <c r="S54" s="14"/>
      <c r="T54" s="13"/>
      <c r="U54" s="45"/>
      <c r="V54" s="14"/>
      <c r="W54" s="13"/>
      <c r="X54" s="45"/>
      <c r="Y54" s="14"/>
      <c r="Z54" s="13"/>
      <c r="AA54" s="45"/>
      <c r="AB54" s="15"/>
    </row>
    <row r="55" spans="2:28" x14ac:dyDescent="0.15">
      <c r="B55" s="9" t="str">
        <f ca="1">IF(OR(C55="",E55="", F55="", G55="", H55=""), "", MAX($B$2:OFFSET(B55, -1, 0))+1)</f>
        <v/>
      </c>
      <c r="C55" s="10"/>
      <c r="D55" s="37"/>
      <c r="E55" s="11"/>
      <c r="F55" s="12"/>
      <c r="G55" s="11"/>
      <c r="H55" s="12"/>
      <c r="I55" s="10"/>
      <c r="J55" s="40"/>
      <c r="K55" s="40"/>
      <c r="L55" s="40"/>
      <c r="M55" s="59"/>
      <c r="N55" s="13"/>
      <c r="O55" s="45"/>
      <c r="P55" s="14"/>
      <c r="Q55" s="13"/>
      <c r="R55" s="45"/>
      <c r="S55" s="14"/>
      <c r="T55" s="13"/>
      <c r="U55" s="45"/>
      <c r="V55" s="14"/>
      <c r="W55" s="13"/>
      <c r="X55" s="45"/>
      <c r="Y55" s="14"/>
      <c r="Z55" s="13"/>
      <c r="AA55" s="45"/>
      <c r="AB55" s="15"/>
    </row>
    <row r="56" spans="2:28" x14ac:dyDescent="0.15">
      <c r="B56" s="9" t="str">
        <f ca="1">IF(OR(C56="",E56="", F56="", G56="", H56=""), "", MAX($B$2:OFFSET(B56, -1, 0))+1)</f>
        <v/>
      </c>
      <c r="C56" s="10"/>
      <c r="D56" s="37"/>
      <c r="E56" s="11"/>
      <c r="F56" s="12"/>
      <c r="G56" s="11"/>
      <c r="H56" s="12"/>
      <c r="I56" s="10"/>
      <c r="J56" s="40"/>
      <c r="K56" s="40"/>
      <c r="L56" s="40"/>
      <c r="M56" s="59"/>
      <c r="N56" s="13"/>
      <c r="O56" s="45"/>
      <c r="P56" s="14"/>
      <c r="Q56" s="13"/>
      <c r="R56" s="45"/>
      <c r="S56" s="14"/>
      <c r="T56" s="13"/>
      <c r="U56" s="45"/>
      <c r="V56" s="14"/>
      <c r="W56" s="13"/>
      <c r="X56" s="45"/>
      <c r="Y56" s="14"/>
      <c r="Z56" s="13"/>
      <c r="AA56" s="45"/>
      <c r="AB56" s="15"/>
    </row>
    <row r="57" spans="2:28" x14ac:dyDescent="0.15">
      <c r="B57" s="9" t="str">
        <f ca="1">IF(OR(C57="",E57="", F57="", G57="", H57=""), "", MAX($B$2:OFFSET(B57, -1, 0))+1)</f>
        <v/>
      </c>
      <c r="C57" s="10"/>
      <c r="D57" s="37"/>
      <c r="E57" s="11"/>
      <c r="F57" s="12"/>
      <c r="G57" s="11"/>
      <c r="H57" s="12"/>
      <c r="I57" s="10"/>
      <c r="J57" s="40"/>
      <c r="K57" s="40"/>
      <c r="L57" s="40"/>
      <c r="M57" s="59"/>
      <c r="N57" s="13"/>
      <c r="O57" s="45"/>
      <c r="P57" s="14"/>
      <c r="Q57" s="13"/>
      <c r="R57" s="45"/>
      <c r="S57" s="14"/>
      <c r="T57" s="13"/>
      <c r="U57" s="45"/>
      <c r="V57" s="14"/>
      <c r="W57" s="13"/>
      <c r="X57" s="45"/>
      <c r="Y57" s="14"/>
      <c r="Z57" s="13"/>
      <c r="AA57" s="45"/>
      <c r="AB57" s="15"/>
    </row>
    <row r="58" spans="2:28" x14ac:dyDescent="0.15">
      <c r="B58" s="9" t="str">
        <f ca="1">IF(OR(C58="",E58="", F58="", G58="", H58=""), "", MAX($B$2:OFFSET(B58, -1, 0))+1)</f>
        <v/>
      </c>
      <c r="C58" s="10"/>
      <c r="D58" s="37"/>
      <c r="E58" s="11"/>
      <c r="F58" s="12"/>
      <c r="G58" s="11"/>
      <c r="H58" s="12"/>
      <c r="I58" s="10"/>
      <c r="J58" s="40"/>
      <c r="K58" s="40"/>
      <c r="L58" s="40"/>
      <c r="M58" s="59"/>
      <c r="N58" s="13"/>
      <c r="O58" s="45"/>
      <c r="P58" s="14"/>
      <c r="Q58" s="13"/>
      <c r="R58" s="45"/>
      <c r="S58" s="14"/>
      <c r="T58" s="13"/>
      <c r="U58" s="45"/>
      <c r="V58" s="14"/>
      <c r="W58" s="13"/>
      <c r="X58" s="45"/>
      <c r="Y58" s="14"/>
      <c r="Z58" s="13"/>
      <c r="AA58" s="45"/>
      <c r="AB58" s="15"/>
    </row>
    <row r="59" spans="2:28" x14ac:dyDescent="0.15">
      <c r="B59" s="9" t="str">
        <f ca="1">IF(OR(C59="",E59="", F59="", G59="", H59=""), "", MAX($B$2:OFFSET(B59, -1, 0))+1)</f>
        <v/>
      </c>
      <c r="C59" s="10"/>
      <c r="D59" s="37"/>
      <c r="E59" s="11"/>
      <c r="F59" s="12"/>
      <c r="G59" s="11"/>
      <c r="H59" s="12"/>
      <c r="I59" s="10"/>
      <c r="J59" s="40"/>
      <c r="K59" s="40"/>
      <c r="L59" s="40"/>
      <c r="M59" s="59"/>
      <c r="N59" s="13"/>
      <c r="O59" s="45"/>
      <c r="P59" s="14"/>
      <c r="Q59" s="13"/>
      <c r="R59" s="45"/>
      <c r="S59" s="14"/>
      <c r="T59" s="13"/>
      <c r="U59" s="45"/>
      <c r="V59" s="14"/>
      <c r="W59" s="13"/>
      <c r="X59" s="45"/>
      <c r="Y59" s="14"/>
      <c r="Z59" s="13"/>
      <c r="AA59" s="45"/>
      <c r="AB59" s="15"/>
    </row>
    <row r="60" spans="2:28" x14ac:dyDescent="0.15">
      <c r="B60" s="9" t="str">
        <f ca="1">IF(OR(C60="",E60="", F60="", G60="", H60=""), "", MAX($B$2:OFFSET(B60, -1, 0))+1)</f>
        <v/>
      </c>
      <c r="C60" s="10"/>
      <c r="D60" s="37"/>
      <c r="E60" s="11"/>
      <c r="F60" s="12"/>
      <c r="G60" s="11"/>
      <c r="H60" s="12"/>
      <c r="I60" s="10"/>
      <c r="J60" s="40"/>
      <c r="K60" s="40"/>
      <c r="L60" s="40"/>
      <c r="M60" s="59"/>
      <c r="N60" s="13"/>
      <c r="O60" s="45"/>
      <c r="P60" s="14"/>
      <c r="Q60" s="13"/>
      <c r="R60" s="45"/>
      <c r="S60" s="14"/>
      <c r="T60" s="13"/>
      <c r="U60" s="45"/>
      <c r="V60" s="14"/>
      <c r="W60" s="13"/>
      <c r="X60" s="45"/>
      <c r="Y60" s="14"/>
      <c r="Z60" s="13"/>
      <c r="AA60" s="45"/>
      <c r="AB60" s="15"/>
    </row>
    <row r="61" spans="2:28" x14ac:dyDescent="0.15">
      <c r="B61" s="9" t="str">
        <f ca="1">IF(OR(C61="",E61="", F61="", G61="", H61=""), "", MAX($B$2:OFFSET(B61, -1, 0))+1)</f>
        <v/>
      </c>
      <c r="C61" s="10"/>
      <c r="D61" s="37"/>
      <c r="E61" s="11"/>
      <c r="F61" s="12"/>
      <c r="G61" s="11"/>
      <c r="H61" s="12"/>
      <c r="I61" s="10"/>
      <c r="J61" s="40"/>
      <c r="K61" s="40"/>
      <c r="L61" s="40"/>
      <c r="M61" s="59"/>
      <c r="N61" s="13"/>
      <c r="O61" s="45"/>
      <c r="P61" s="14"/>
      <c r="Q61" s="13"/>
      <c r="R61" s="45"/>
      <c r="S61" s="14"/>
      <c r="T61" s="13"/>
      <c r="U61" s="45"/>
      <c r="V61" s="14"/>
      <c r="W61" s="13"/>
      <c r="X61" s="45"/>
      <c r="Y61" s="14"/>
      <c r="Z61" s="13"/>
      <c r="AA61" s="45"/>
      <c r="AB61" s="15"/>
    </row>
    <row r="62" spans="2:28" x14ac:dyDescent="0.15">
      <c r="B62" s="9" t="str">
        <f ca="1">IF(OR(C62="",E62="", F62="", G62="", H62=""), "", MAX($B$2:OFFSET(B62, -1, 0))+1)</f>
        <v/>
      </c>
      <c r="C62" s="10"/>
      <c r="D62" s="37"/>
      <c r="E62" s="11"/>
      <c r="F62" s="12"/>
      <c r="G62" s="11"/>
      <c r="H62" s="12"/>
      <c r="I62" s="10"/>
      <c r="J62" s="40"/>
      <c r="K62" s="40"/>
      <c r="L62" s="40"/>
      <c r="M62" s="59"/>
      <c r="N62" s="13"/>
      <c r="O62" s="45"/>
      <c r="P62" s="14"/>
      <c r="Q62" s="13"/>
      <c r="R62" s="45"/>
      <c r="S62" s="14"/>
      <c r="T62" s="13"/>
      <c r="U62" s="45"/>
      <c r="V62" s="14"/>
      <c r="W62" s="13"/>
      <c r="X62" s="45"/>
      <c r="Y62" s="14"/>
      <c r="Z62" s="13"/>
      <c r="AA62" s="45"/>
      <c r="AB62" s="15"/>
    </row>
    <row r="63" spans="2:28" x14ac:dyDescent="0.15">
      <c r="B63" s="9" t="str">
        <f ca="1">IF(OR(C63="",E63="", F63="", G63="", H63=""), "", MAX($B$2:OFFSET(B63, -1, 0))+1)</f>
        <v/>
      </c>
      <c r="C63" s="10"/>
      <c r="D63" s="37"/>
      <c r="E63" s="11"/>
      <c r="F63" s="12"/>
      <c r="G63" s="11"/>
      <c r="H63" s="12"/>
      <c r="I63" s="10"/>
      <c r="J63" s="40"/>
      <c r="K63" s="40"/>
      <c r="L63" s="40"/>
      <c r="M63" s="59"/>
      <c r="N63" s="13"/>
      <c r="O63" s="45"/>
      <c r="P63" s="14"/>
      <c r="Q63" s="13"/>
      <c r="R63" s="45"/>
      <c r="S63" s="14"/>
      <c r="T63" s="13"/>
      <c r="U63" s="45"/>
      <c r="V63" s="14"/>
      <c r="W63" s="13"/>
      <c r="X63" s="45"/>
      <c r="Y63" s="14"/>
      <c r="Z63" s="13"/>
      <c r="AA63" s="45"/>
      <c r="AB63" s="15"/>
    </row>
    <row r="64" spans="2:28" x14ac:dyDescent="0.15">
      <c r="B64" s="9" t="str">
        <f ca="1">IF(OR(C64="",E64="", F64="", G64="", H64=""), "", MAX($B$2:OFFSET(B64, -1, 0))+1)</f>
        <v/>
      </c>
      <c r="C64" s="10"/>
      <c r="D64" s="37"/>
      <c r="E64" s="11"/>
      <c r="F64" s="12"/>
      <c r="G64" s="11"/>
      <c r="H64" s="12"/>
      <c r="I64" s="10"/>
      <c r="J64" s="40"/>
      <c r="K64" s="40"/>
      <c r="L64" s="40"/>
      <c r="M64" s="59"/>
      <c r="N64" s="13"/>
      <c r="O64" s="45"/>
      <c r="P64" s="14"/>
      <c r="Q64" s="13"/>
      <c r="R64" s="45"/>
      <c r="S64" s="14"/>
      <c r="T64" s="13"/>
      <c r="U64" s="45"/>
      <c r="V64" s="14"/>
      <c r="W64" s="13"/>
      <c r="X64" s="45"/>
      <c r="Y64" s="14"/>
      <c r="Z64" s="13"/>
      <c r="AA64" s="45"/>
      <c r="AB64" s="15"/>
    </row>
    <row r="65" spans="2:28" x14ac:dyDescent="0.15">
      <c r="B65" s="9" t="str">
        <f ca="1">IF(OR(C65="",E65="", F65="", G65="", H65=""), "", MAX($B$2:OFFSET(B65, -1, 0))+1)</f>
        <v/>
      </c>
      <c r="C65" s="10"/>
      <c r="D65" s="37"/>
      <c r="E65" s="11"/>
      <c r="F65" s="12"/>
      <c r="G65" s="11"/>
      <c r="H65" s="12"/>
      <c r="I65" s="10"/>
      <c r="J65" s="40"/>
      <c r="K65" s="40"/>
      <c r="L65" s="40"/>
      <c r="M65" s="59"/>
      <c r="N65" s="13"/>
      <c r="O65" s="45"/>
      <c r="P65" s="14"/>
      <c r="Q65" s="13"/>
      <c r="R65" s="45"/>
      <c r="S65" s="14"/>
      <c r="T65" s="13"/>
      <c r="U65" s="45"/>
      <c r="V65" s="14"/>
      <c r="W65" s="13"/>
      <c r="X65" s="45"/>
      <c r="Y65" s="14"/>
      <c r="Z65" s="13"/>
      <c r="AA65" s="45"/>
      <c r="AB65" s="15"/>
    </row>
    <row r="66" spans="2:28" x14ac:dyDescent="0.15">
      <c r="B66" s="9" t="str">
        <f ca="1">IF(OR(C66="",E66="", F66="", G66="", H66=""), "", MAX($B$2:OFFSET(B66, -1, 0))+1)</f>
        <v/>
      </c>
      <c r="C66" s="10"/>
      <c r="D66" s="37"/>
      <c r="E66" s="11"/>
      <c r="F66" s="12"/>
      <c r="G66" s="11"/>
      <c r="H66" s="12"/>
      <c r="I66" s="10"/>
      <c r="J66" s="40"/>
      <c r="K66" s="40"/>
      <c r="L66" s="40"/>
      <c r="M66" s="59"/>
      <c r="N66" s="13"/>
      <c r="O66" s="45"/>
      <c r="P66" s="14"/>
      <c r="Q66" s="13"/>
      <c r="R66" s="45"/>
      <c r="S66" s="14"/>
      <c r="T66" s="13"/>
      <c r="U66" s="45"/>
      <c r="V66" s="14"/>
      <c r="W66" s="13"/>
      <c r="X66" s="45"/>
      <c r="Y66" s="14"/>
      <c r="Z66" s="13"/>
      <c r="AA66" s="45"/>
      <c r="AB66" s="15"/>
    </row>
    <row r="67" spans="2:28" x14ac:dyDescent="0.15">
      <c r="B67" s="9" t="str">
        <f ca="1">IF(OR(C67="",E67="", F67="", G67="", H67=""), "", MAX($B$2:OFFSET(B67, -1, 0))+1)</f>
        <v/>
      </c>
      <c r="C67" s="10"/>
      <c r="D67" s="37"/>
      <c r="E67" s="11"/>
      <c r="F67" s="12"/>
      <c r="G67" s="11"/>
      <c r="H67" s="12"/>
      <c r="I67" s="10"/>
      <c r="J67" s="40"/>
      <c r="K67" s="40"/>
      <c r="L67" s="40"/>
      <c r="M67" s="59"/>
      <c r="N67" s="13"/>
      <c r="O67" s="45"/>
      <c r="P67" s="14"/>
      <c r="Q67" s="13"/>
      <c r="R67" s="45"/>
      <c r="S67" s="14"/>
      <c r="T67" s="13"/>
      <c r="U67" s="45"/>
      <c r="V67" s="14"/>
      <c r="W67" s="13"/>
      <c r="X67" s="45"/>
      <c r="Y67" s="14"/>
      <c r="Z67" s="13"/>
      <c r="AA67" s="45"/>
      <c r="AB67" s="15"/>
    </row>
    <row r="68" spans="2:28" x14ac:dyDescent="0.15">
      <c r="B68" s="9" t="str">
        <f ca="1">IF(OR(C68="",E68="", F68="", G68="", H68=""), "", MAX($B$2:OFFSET(B68, -1, 0))+1)</f>
        <v/>
      </c>
      <c r="C68" s="10"/>
      <c r="D68" s="37"/>
      <c r="E68" s="11"/>
      <c r="F68" s="12"/>
      <c r="G68" s="11"/>
      <c r="H68" s="12"/>
      <c r="I68" s="10"/>
      <c r="J68" s="40"/>
      <c r="K68" s="40"/>
      <c r="L68" s="40"/>
      <c r="M68" s="59"/>
      <c r="N68" s="13"/>
      <c r="O68" s="45"/>
      <c r="P68" s="14"/>
      <c r="Q68" s="13"/>
      <c r="R68" s="45"/>
      <c r="S68" s="14"/>
      <c r="T68" s="13"/>
      <c r="U68" s="45"/>
      <c r="V68" s="14"/>
      <c r="W68" s="13"/>
      <c r="X68" s="45"/>
      <c r="Y68" s="14"/>
      <c r="Z68" s="13"/>
      <c r="AA68" s="45"/>
      <c r="AB68" s="15"/>
    </row>
    <row r="69" spans="2:28" x14ac:dyDescent="0.15">
      <c r="B69" s="9" t="str">
        <f ca="1">IF(OR(C69="",E69="", F69="", G69="", H69=""), "", MAX($B$2:OFFSET(B69, -1, 0))+1)</f>
        <v/>
      </c>
      <c r="C69" s="10"/>
      <c r="D69" s="37"/>
      <c r="E69" s="11"/>
      <c r="F69" s="12"/>
      <c r="G69" s="11"/>
      <c r="H69" s="12"/>
      <c r="I69" s="10"/>
      <c r="J69" s="40"/>
      <c r="K69" s="40"/>
      <c r="L69" s="40"/>
      <c r="M69" s="59"/>
      <c r="N69" s="13"/>
      <c r="O69" s="45"/>
      <c r="P69" s="14"/>
      <c r="Q69" s="13"/>
      <c r="R69" s="45"/>
      <c r="S69" s="14"/>
      <c r="T69" s="13"/>
      <c r="U69" s="45"/>
      <c r="V69" s="14"/>
      <c r="W69" s="13"/>
      <c r="X69" s="45"/>
      <c r="Y69" s="14"/>
      <c r="Z69" s="13"/>
      <c r="AA69" s="45"/>
      <c r="AB69" s="15"/>
    </row>
    <row r="70" spans="2:28" x14ac:dyDescent="0.15">
      <c r="B70" s="9" t="str">
        <f ca="1">IF(OR(C70="",E70="", F70="", G70="", H70=""), "", MAX($B$2:OFFSET(B70, -1, 0))+1)</f>
        <v/>
      </c>
      <c r="C70" s="10"/>
      <c r="D70" s="37"/>
      <c r="E70" s="11"/>
      <c r="F70" s="12"/>
      <c r="G70" s="11"/>
      <c r="H70" s="12"/>
      <c r="I70" s="10"/>
      <c r="J70" s="40"/>
      <c r="K70" s="40"/>
      <c r="L70" s="40"/>
      <c r="M70" s="59"/>
      <c r="N70" s="13"/>
      <c r="O70" s="45"/>
      <c r="P70" s="14"/>
      <c r="Q70" s="13"/>
      <c r="R70" s="45"/>
      <c r="S70" s="14"/>
      <c r="T70" s="13"/>
      <c r="U70" s="45"/>
      <c r="V70" s="14"/>
      <c r="W70" s="13"/>
      <c r="X70" s="45"/>
      <c r="Y70" s="14"/>
      <c r="Z70" s="13"/>
      <c r="AA70" s="45"/>
      <c r="AB70" s="15"/>
    </row>
    <row r="71" spans="2:28" x14ac:dyDescent="0.15">
      <c r="B71" s="9" t="str">
        <f ca="1">IF(OR(C71="",E71="", F71="", G71="", H71=""), "", MAX($B$2:OFFSET(B71, -1, 0))+1)</f>
        <v/>
      </c>
      <c r="C71" s="10"/>
      <c r="D71" s="37"/>
      <c r="E71" s="11"/>
      <c r="F71" s="12"/>
      <c r="G71" s="11"/>
      <c r="H71" s="12"/>
      <c r="I71" s="10"/>
      <c r="J71" s="40"/>
      <c r="K71" s="40"/>
      <c r="L71" s="40"/>
      <c r="M71" s="59"/>
      <c r="N71" s="13"/>
      <c r="O71" s="45"/>
      <c r="P71" s="14"/>
      <c r="Q71" s="13"/>
      <c r="R71" s="45"/>
      <c r="S71" s="14"/>
      <c r="T71" s="13"/>
      <c r="U71" s="45"/>
      <c r="V71" s="14"/>
      <c r="W71" s="13"/>
      <c r="X71" s="45"/>
      <c r="Y71" s="14"/>
      <c r="Z71" s="13"/>
      <c r="AA71" s="45"/>
      <c r="AB71" s="15"/>
    </row>
    <row r="72" spans="2:28" x14ac:dyDescent="0.15">
      <c r="B72" s="9" t="str">
        <f ca="1">IF(OR(C72="",E72="", F72="", G72="", H72=""), "", MAX($B$2:OFFSET(B72, -1, 0))+1)</f>
        <v/>
      </c>
      <c r="C72" s="10"/>
      <c r="D72" s="37"/>
      <c r="E72" s="11"/>
      <c r="F72" s="12"/>
      <c r="G72" s="11"/>
      <c r="H72" s="12"/>
      <c r="I72" s="10"/>
      <c r="J72" s="40"/>
      <c r="K72" s="40"/>
      <c r="L72" s="40"/>
      <c r="M72" s="59"/>
      <c r="N72" s="13"/>
      <c r="O72" s="45"/>
      <c r="P72" s="14"/>
      <c r="Q72" s="13"/>
      <c r="R72" s="45"/>
      <c r="S72" s="14"/>
      <c r="T72" s="13"/>
      <c r="U72" s="45"/>
      <c r="V72" s="14"/>
      <c r="W72" s="13"/>
      <c r="X72" s="45"/>
      <c r="Y72" s="14"/>
      <c r="Z72" s="13"/>
      <c r="AA72" s="45"/>
      <c r="AB72" s="15"/>
    </row>
    <row r="73" spans="2:28" x14ac:dyDescent="0.15">
      <c r="B73" s="9" t="str">
        <f ca="1">IF(OR(C73="",E73="", F73="", G73="", H73=""), "", MAX($B$2:OFFSET(B73, -1, 0))+1)</f>
        <v/>
      </c>
      <c r="C73" s="10"/>
      <c r="D73" s="37"/>
      <c r="E73" s="11"/>
      <c r="F73" s="12"/>
      <c r="G73" s="11"/>
      <c r="H73" s="12"/>
      <c r="I73" s="10"/>
      <c r="J73" s="40"/>
      <c r="K73" s="40"/>
      <c r="L73" s="40"/>
      <c r="M73" s="59"/>
      <c r="N73" s="13"/>
      <c r="O73" s="45"/>
      <c r="P73" s="14"/>
      <c r="Q73" s="13"/>
      <c r="R73" s="45"/>
      <c r="S73" s="14"/>
      <c r="T73" s="13"/>
      <c r="U73" s="45"/>
      <c r="V73" s="14"/>
      <c r="W73" s="13"/>
      <c r="X73" s="45"/>
      <c r="Y73" s="14"/>
      <c r="Z73" s="13"/>
      <c r="AA73" s="45"/>
      <c r="AB73" s="15"/>
    </row>
    <row r="74" spans="2:28" x14ac:dyDescent="0.15">
      <c r="B74" s="9" t="str">
        <f ca="1">IF(OR(C74="",E74="", F74="", G74="", H74=""), "", MAX($B$2:OFFSET(B74, -1, 0))+1)</f>
        <v/>
      </c>
      <c r="C74" s="10"/>
      <c r="D74" s="37"/>
      <c r="E74" s="11"/>
      <c r="F74" s="12"/>
      <c r="G74" s="11"/>
      <c r="H74" s="12"/>
      <c r="I74" s="10"/>
      <c r="J74" s="40"/>
      <c r="K74" s="40"/>
      <c r="L74" s="40"/>
      <c r="M74" s="59"/>
      <c r="N74" s="13"/>
      <c r="O74" s="45"/>
      <c r="P74" s="14"/>
      <c r="Q74" s="13"/>
      <c r="R74" s="45"/>
      <c r="S74" s="14"/>
      <c r="T74" s="13"/>
      <c r="U74" s="45"/>
      <c r="V74" s="14"/>
      <c r="W74" s="13"/>
      <c r="X74" s="45"/>
      <c r="Y74" s="14"/>
      <c r="Z74" s="13"/>
      <c r="AA74" s="45"/>
      <c r="AB74" s="15"/>
    </row>
    <row r="75" spans="2:28" x14ac:dyDescent="0.15">
      <c r="B75" s="9" t="str">
        <f ca="1">IF(OR(C75="",E75="", F75="", G75="", H75=""), "", MAX($B$2:OFFSET(B75, -1, 0))+1)</f>
        <v/>
      </c>
      <c r="C75" s="10"/>
      <c r="D75" s="37"/>
      <c r="E75" s="11"/>
      <c r="F75" s="12"/>
      <c r="G75" s="11"/>
      <c r="H75" s="12"/>
      <c r="I75" s="10"/>
      <c r="J75" s="40"/>
      <c r="K75" s="40"/>
      <c r="L75" s="40"/>
      <c r="M75" s="59"/>
      <c r="N75" s="13"/>
      <c r="O75" s="45"/>
      <c r="P75" s="14"/>
      <c r="Q75" s="13"/>
      <c r="R75" s="45"/>
      <c r="S75" s="14"/>
      <c r="T75" s="13"/>
      <c r="U75" s="45"/>
      <c r="V75" s="14"/>
      <c r="W75" s="13"/>
      <c r="X75" s="45"/>
      <c r="Y75" s="14"/>
      <c r="Z75" s="13"/>
      <c r="AA75" s="45"/>
      <c r="AB75" s="15"/>
    </row>
    <row r="76" spans="2:28" x14ac:dyDescent="0.15">
      <c r="B76" s="9" t="str">
        <f ca="1">IF(OR(C76="",E76="", F76="", G76="", H76=""), "", MAX($B$2:OFFSET(B76, -1, 0))+1)</f>
        <v/>
      </c>
      <c r="C76" s="10"/>
      <c r="D76" s="37"/>
      <c r="E76" s="11"/>
      <c r="F76" s="12"/>
      <c r="G76" s="11"/>
      <c r="H76" s="12"/>
      <c r="I76" s="10"/>
      <c r="J76" s="40"/>
      <c r="K76" s="40"/>
      <c r="L76" s="40"/>
      <c r="M76" s="59"/>
      <c r="N76" s="13"/>
      <c r="O76" s="45"/>
      <c r="P76" s="14"/>
      <c r="Q76" s="13"/>
      <c r="R76" s="45"/>
      <c r="S76" s="14"/>
      <c r="T76" s="13"/>
      <c r="U76" s="45"/>
      <c r="V76" s="14"/>
      <c r="W76" s="13"/>
      <c r="X76" s="45"/>
      <c r="Y76" s="14"/>
      <c r="Z76" s="13"/>
      <c r="AA76" s="45"/>
      <c r="AB76" s="15"/>
    </row>
    <row r="77" spans="2:28" x14ac:dyDescent="0.15">
      <c r="B77" s="9" t="str">
        <f ca="1">IF(OR(C77="",E77="", F77="", G77="", H77=""), "", MAX($B$2:OFFSET(B77, -1, 0))+1)</f>
        <v/>
      </c>
      <c r="C77" s="10"/>
      <c r="D77" s="37"/>
      <c r="E77" s="11"/>
      <c r="F77" s="12"/>
      <c r="G77" s="11"/>
      <c r="H77" s="12"/>
      <c r="I77" s="10"/>
      <c r="J77" s="40"/>
      <c r="K77" s="40"/>
      <c r="L77" s="40"/>
      <c r="M77" s="59"/>
      <c r="N77" s="13"/>
      <c r="O77" s="45"/>
      <c r="P77" s="14"/>
      <c r="Q77" s="13"/>
      <c r="R77" s="45"/>
      <c r="S77" s="14"/>
      <c r="T77" s="13"/>
      <c r="U77" s="45"/>
      <c r="V77" s="14"/>
      <c r="W77" s="13"/>
      <c r="X77" s="45"/>
      <c r="Y77" s="14"/>
      <c r="Z77" s="13"/>
      <c r="AA77" s="45"/>
      <c r="AB77" s="15"/>
    </row>
    <row r="78" spans="2:28" x14ac:dyDescent="0.15">
      <c r="B78" s="9" t="str">
        <f ca="1">IF(OR(C78="",E78="", F78="", G78="", H78=""), "", MAX($B$2:OFFSET(B78, -1, 0))+1)</f>
        <v/>
      </c>
      <c r="C78" s="10"/>
      <c r="D78" s="37"/>
      <c r="E78" s="11"/>
      <c r="F78" s="12"/>
      <c r="G78" s="11"/>
      <c r="H78" s="12"/>
      <c r="I78" s="10"/>
      <c r="J78" s="40"/>
      <c r="K78" s="40"/>
      <c r="L78" s="40"/>
      <c r="M78" s="59"/>
      <c r="N78" s="13"/>
      <c r="O78" s="45"/>
      <c r="P78" s="14"/>
      <c r="Q78" s="13"/>
      <c r="R78" s="45"/>
      <c r="S78" s="14"/>
      <c r="T78" s="13"/>
      <c r="U78" s="45"/>
      <c r="V78" s="14"/>
      <c r="W78" s="13"/>
      <c r="X78" s="45"/>
      <c r="Y78" s="14"/>
      <c r="Z78" s="13"/>
      <c r="AA78" s="45"/>
      <c r="AB78" s="15"/>
    </row>
    <row r="79" spans="2:28" x14ac:dyDescent="0.15">
      <c r="B79" s="9" t="str">
        <f ca="1">IF(OR(C79="",E79="", F79="", G79="", H79=""), "", MAX($B$2:OFFSET(B79, -1, 0))+1)</f>
        <v/>
      </c>
      <c r="C79" s="10"/>
      <c r="D79" s="37"/>
      <c r="E79" s="11"/>
      <c r="F79" s="12"/>
      <c r="G79" s="11"/>
      <c r="H79" s="12"/>
      <c r="I79" s="10"/>
      <c r="J79" s="40"/>
      <c r="K79" s="40"/>
      <c r="L79" s="40"/>
      <c r="M79" s="59"/>
      <c r="N79" s="13"/>
      <c r="O79" s="45"/>
      <c r="P79" s="14"/>
      <c r="Q79" s="13"/>
      <c r="R79" s="45"/>
      <c r="S79" s="14"/>
      <c r="T79" s="13"/>
      <c r="U79" s="45"/>
      <c r="V79" s="14"/>
      <c r="W79" s="13"/>
      <c r="X79" s="45"/>
      <c r="Y79" s="14"/>
      <c r="Z79" s="13"/>
      <c r="AA79" s="45"/>
      <c r="AB79" s="15"/>
    </row>
    <row r="80" spans="2:28" x14ac:dyDescent="0.15">
      <c r="B80" s="9" t="str">
        <f ca="1">IF(OR(C80="",E80="", F80="", G80="", H80=""), "", MAX($B$2:OFFSET(B80, -1, 0))+1)</f>
        <v/>
      </c>
      <c r="C80" s="10"/>
      <c r="D80" s="37"/>
      <c r="E80" s="11"/>
      <c r="F80" s="12"/>
      <c r="G80" s="11"/>
      <c r="H80" s="12"/>
      <c r="I80" s="10"/>
      <c r="J80" s="40"/>
      <c r="K80" s="40"/>
      <c r="L80" s="40"/>
      <c r="M80" s="59"/>
      <c r="N80" s="13"/>
      <c r="O80" s="45"/>
      <c r="P80" s="14"/>
      <c r="Q80" s="13"/>
      <c r="R80" s="45"/>
      <c r="S80" s="14"/>
      <c r="T80" s="13"/>
      <c r="U80" s="45"/>
      <c r="V80" s="14"/>
      <c r="W80" s="13"/>
      <c r="X80" s="45"/>
      <c r="Y80" s="14"/>
      <c r="Z80" s="13"/>
      <c r="AA80" s="45"/>
      <c r="AB80" s="15"/>
    </row>
    <row r="81" spans="2:28" x14ac:dyDescent="0.15">
      <c r="B81" s="9" t="str">
        <f ca="1">IF(OR(C81="",E81="", F81="", G81="", H81=""), "", MAX($B$2:OFFSET(B81, -1, 0))+1)</f>
        <v/>
      </c>
      <c r="C81" s="10"/>
      <c r="D81" s="37"/>
      <c r="E81" s="11"/>
      <c r="F81" s="12"/>
      <c r="G81" s="11"/>
      <c r="H81" s="12"/>
      <c r="I81" s="10"/>
      <c r="J81" s="40"/>
      <c r="K81" s="40"/>
      <c r="L81" s="40"/>
      <c r="M81" s="59"/>
      <c r="N81" s="13"/>
      <c r="O81" s="45"/>
      <c r="P81" s="14"/>
      <c r="Q81" s="13"/>
      <c r="R81" s="45"/>
      <c r="S81" s="14"/>
      <c r="T81" s="13"/>
      <c r="U81" s="45"/>
      <c r="V81" s="14"/>
      <c r="W81" s="13"/>
      <c r="X81" s="45"/>
      <c r="Y81" s="14"/>
      <c r="Z81" s="13"/>
      <c r="AA81" s="45"/>
      <c r="AB81" s="15"/>
    </row>
    <row r="82" spans="2:28" x14ac:dyDescent="0.15">
      <c r="B82" s="9" t="str">
        <f ca="1">IF(OR(C82="",E82="", F82="", G82="", H82=""), "", MAX($B$2:OFFSET(B82, -1, 0))+1)</f>
        <v/>
      </c>
      <c r="C82" s="10"/>
      <c r="D82" s="37"/>
      <c r="E82" s="11"/>
      <c r="F82" s="12"/>
      <c r="G82" s="11"/>
      <c r="H82" s="12"/>
      <c r="I82" s="10"/>
      <c r="J82" s="40"/>
      <c r="K82" s="40"/>
      <c r="L82" s="40"/>
      <c r="M82" s="59"/>
      <c r="N82" s="13"/>
      <c r="O82" s="45"/>
      <c r="P82" s="14"/>
      <c r="Q82" s="13"/>
      <c r="R82" s="45"/>
      <c r="S82" s="14"/>
      <c r="T82" s="13"/>
      <c r="U82" s="45"/>
      <c r="V82" s="14"/>
      <c r="W82" s="13"/>
      <c r="X82" s="45"/>
      <c r="Y82" s="14"/>
      <c r="Z82" s="13"/>
      <c r="AA82" s="45"/>
      <c r="AB82" s="15"/>
    </row>
    <row r="83" spans="2:28" x14ac:dyDescent="0.15">
      <c r="B83" s="9" t="str">
        <f ca="1">IF(OR(C83="",E83="", F83="", G83="", H83=""), "", MAX($B$2:OFFSET(B83, -1, 0))+1)</f>
        <v/>
      </c>
      <c r="C83" s="10"/>
      <c r="D83" s="37"/>
      <c r="E83" s="11"/>
      <c r="F83" s="12"/>
      <c r="G83" s="11"/>
      <c r="H83" s="12"/>
      <c r="I83" s="10"/>
      <c r="J83" s="40"/>
      <c r="K83" s="40"/>
      <c r="L83" s="40"/>
      <c r="M83" s="59"/>
      <c r="N83" s="13"/>
      <c r="O83" s="45"/>
      <c r="P83" s="14"/>
      <c r="Q83" s="13"/>
      <c r="R83" s="45"/>
      <c r="S83" s="14"/>
      <c r="T83" s="13"/>
      <c r="U83" s="45"/>
      <c r="V83" s="14"/>
      <c r="W83" s="13"/>
      <c r="X83" s="45"/>
      <c r="Y83" s="14"/>
      <c r="Z83" s="13"/>
      <c r="AA83" s="45"/>
      <c r="AB83" s="15"/>
    </row>
    <row r="84" spans="2:28" x14ac:dyDescent="0.15">
      <c r="B84" s="9" t="str">
        <f ca="1">IF(OR(C84="",E84="", F84="", G84="", H84=""), "", MAX($B$2:OFFSET(B84, -1, 0))+1)</f>
        <v/>
      </c>
      <c r="C84" s="10"/>
      <c r="D84" s="37"/>
      <c r="E84" s="11"/>
      <c r="F84" s="12"/>
      <c r="G84" s="11"/>
      <c r="H84" s="12"/>
      <c r="I84" s="10"/>
      <c r="J84" s="40"/>
      <c r="K84" s="40"/>
      <c r="L84" s="40"/>
      <c r="M84" s="59"/>
      <c r="N84" s="13"/>
      <c r="O84" s="45"/>
      <c r="P84" s="14"/>
      <c r="Q84" s="13"/>
      <c r="R84" s="45"/>
      <c r="S84" s="14"/>
      <c r="T84" s="13"/>
      <c r="U84" s="45"/>
      <c r="V84" s="14"/>
      <c r="W84" s="13"/>
      <c r="X84" s="45"/>
      <c r="Y84" s="14"/>
      <c r="Z84" s="13"/>
      <c r="AA84" s="45"/>
      <c r="AB84" s="15"/>
    </row>
    <row r="85" spans="2:28" x14ac:dyDescent="0.15">
      <c r="B85" s="9" t="str">
        <f ca="1">IF(OR(C85="",E85="", F85="", G85="", H85=""), "", MAX($B$2:OFFSET(B85, -1, 0))+1)</f>
        <v/>
      </c>
      <c r="C85" s="10"/>
      <c r="D85" s="37"/>
      <c r="E85" s="11"/>
      <c r="F85" s="12"/>
      <c r="G85" s="11"/>
      <c r="H85" s="12"/>
      <c r="I85" s="10"/>
      <c r="J85" s="40"/>
      <c r="K85" s="40"/>
      <c r="L85" s="40"/>
      <c r="M85" s="59"/>
      <c r="N85" s="13"/>
      <c r="O85" s="45"/>
      <c r="P85" s="14"/>
      <c r="Q85" s="13"/>
      <c r="R85" s="45"/>
      <c r="S85" s="14"/>
      <c r="T85" s="13"/>
      <c r="U85" s="45"/>
      <c r="V85" s="14"/>
      <c r="W85" s="13"/>
      <c r="X85" s="45"/>
      <c r="Y85" s="14"/>
      <c r="Z85" s="13"/>
      <c r="AA85" s="45"/>
      <c r="AB85" s="15"/>
    </row>
    <row r="86" spans="2:28" x14ac:dyDescent="0.15">
      <c r="B86" s="9" t="str">
        <f ca="1">IF(OR(C86="",E86="", F86="", G86="", H86=""), "", MAX($B$2:OFFSET(B86, -1, 0))+1)</f>
        <v/>
      </c>
      <c r="C86" s="10"/>
      <c r="D86" s="37"/>
      <c r="E86" s="11"/>
      <c r="F86" s="12"/>
      <c r="G86" s="11"/>
      <c r="H86" s="12"/>
      <c r="I86" s="10"/>
      <c r="J86" s="40"/>
      <c r="K86" s="40"/>
      <c r="L86" s="40"/>
      <c r="M86" s="59"/>
      <c r="N86" s="13"/>
      <c r="O86" s="45"/>
      <c r="P86" s="14"/>
      <c r="Q86" s="13"/>
      <c r="R86" s="45"/>
      <c r="S86" s="14"/>
      <c r="T86" s="13"/>
      <c r="U86" s="45"/>
      <c r="V86" s="14"/>
      <c r="W86" s="13"/>
      <c r="X86" s="45"/>
      <c r="Y86" s="14"/>
      <c r="Z86" s="13"/>
      <c r="AA86" s="45"/>
      <c r="AB86" s="15"/>
    </row>
    <row r="87" spans="2:28" x14ac:dyDescent="0.15">
      <c r="B87" s="9" t="str">
        <f ca="1">IF(OR(C87="",E87="", F87="", G87="", H87=""), "", MAX($B$2:OFFSET(B87, -1, 0))+1)</f>
        <v/>
      </c>
      <c r="C87" s="10"/>
      <c r="D87" s="37"/>
      <c r="E87" s="11"/>
      <c r="F87" s="12"/>
      <c r="G87" s="11"/>
      <c r="H87" s="12"/>
      <c r="I87" s="10"/>
      <c r="J87" s="40"/>
      <c r="K87" s="40"/>
      <c r="L87" s="40"/>
      <c r="M87" s="59"/>
      <c r="N87" s="13"/>
      <c r="O87" s="45"/>
      <c r="P87" s="14"/>
      <c r="Q87" s="13"/>
      <c r="R87" s="45"/>
      <c r="S87" s="14"/>
      <c r="T87" s="13"/>
      <c r="U87" s="45"/>
      <c r="V87" s="14"/>
      <c r="W87" s="13"/>
      <c r="X87" s="45"/>
      <c r="Y87" s="14"/>
      <c r="Z87" s="13"/>
      <c r="AA87" s="45"/>
      <c r="AB87" s="15"/>
    </row>
    <row r="88" spans="2:28" x14ac:dyDescent="0.15">
      <c r="B88" s="9" t="str">
        <f ca="1">IF(OR(C88="",E88="", F88="", G88="", H88=""), "", MAX($B$2:OFFSET(B88, -1, 0))+1)</f>
        <v/>
      </c>
      <c r="C88" s="10"/>
      <c r="D88" s="37"/>
      <c r="E88" s="11"/>
      <c r="F88" s="12"/>
      <c r="G88" s="11"/>
      <c r="H88" s="12"/>
      <c r="I88" s="10"/>
      <c r="J88" s="40"/>
      <c r="K88" s="40"/>
      <c r="L88" s="40"/>
      <c r="M88" s="59"/>
      <c r="N88" s="13"/>
      <c r="O88" s="45"/>
      <c r="P88" s="14"/>
      <c r="Q88" s="13"/>
      <c r="R88" s="45"/>
      <c r="S88" s="14"/>
      <c r="T88" s="13"/>
      <c r="U88" s="45"/>
      <c r="V88" s="14"/>
      <c r="W88" s="13"/>
      <c r="X88" s="45"/>
      <c r="Y88" s="14"/>
      <c r="Z88" s="13"/>
      <c r="AA88" s="45"/>
      <c r="AB88" s="15"/>
    </row>
    <row r="89" spans="2:28" x14ac:dyDescent="0.15">
      <c r="B89" s="9" t="str">
        <f ca="1">IF(OR(C89="",E89="", F89="", G89="", H89=""), "", MAX($B$2:OFFSET(B89, -1, 0))+1)</f>
        <v/>
      </c>
      <c r="C89" s="10"/>
      <c r="D89" s="37"/>
      <c r="E89" s="11"/>
      <c r="F89" s="12"/>
      <c r="G89" s="11"/>
      <c r="H89" s="12"/>
      <c r="I89" s="10"/>
      <c r="J89" s="40"/>
      <c r="K89" s="40"/>
      <c r="L89" s="40"/>
      <c r="M89" s="59"/>
      <c r="N89" s="13"/>
      <c r="O89" s="45"/>
      <c r="P89" s="14"/>
      <c r="Q89" s="13"/>
      <c r="R89" s="45"/>
      <c r="S89" s="14"/>
      <c r="T89" s="13"/>
      <c r="U89" s="45"/>
      <c r="V89" s="14"/>
      <c r="W89" s="13"/>
      <c r="X89" s="45"/>
      <c r="Y89" s="14"/>
      <c r="Z89" s="13"/>
      <c r="AA89" s="45"/>
      <c r="AB89" s="15"/>
    </row>
    <row r="90" spans="2:28" x14ac:dyDescent="0.15">
      <c r="B90" s="9" t="str">
        <f ca="1">IF(OR(C90="",E90="", F90="", G90="", H90=""), "", MAX($B$2:OFFSET(B90, -1, 0))+1)</f>
        <v/>
      </c>
      <c r="C90" s="10"/>
      <c r="D90" s="37"/>
      <c r="E90" s="11"/>
      <c r="F90" s="12"/>
      <c r="G90" s="11"/>
      <c r="H90" s="12"/>
      <c r="I90" s="10"/>
      <c r="J90" s="40"/>
      <c r="K90" s="40"/>
      <c r="L90" s="40"/>
      <c r="M90" s="59"/>
      <c r="N90" s="13"/>
      <c r="O90" s="45"/>
      <c r="P90" s="14"/>
      <c r="Q90" s="13"/>
      <c r="R90" s="45"/>
      <c r="S90" s="14"/>
      <c r="T90" s="13"/>
      <c r="U90" s="45"/>
      <c r="V90" s="14"/>
      <c r="W90" s="13"/>
      <c r="X90" s="45"/>
      <c r="Y90" s="14"/>
      <c r="Z90" s="13"/>
      <c r="AA90" s="45"/>
      <c r="AB90" s="15"/>
    </row>
    <row r="91" spans="2:28" x14ac:dyDescent="0.15">
      <c r="B91" s="9" t="str">
        <f ca="1">IF(OR(C91="",E91="", F91="", G91="", H91=""), "", MAX($B$2:OFFSET(B91, -1, 0))+1)</f>
        <v/>
      </c>
      <c r="C91" s="10"/>
      <c r="D91" s="37"/>
      <c r="E91" s="11"/>
      <c r="F91" s="12"/>
      <c r="G91" s="11"/>
      <c r="H91" s="12"/>
      <c r="I91" s="10"/>
      <c r="J91" s="40"/>
      <c r="K91" s="40"/>
      <c r="L91" s="40"/>
      <c r="M91" s="59"/>
      <c r="N91" s="13"/>
      <c r="O91" s="45"/>
      <c r="P91" s="14"/>
      <c r="Q91" s="13"/>
      <c r="R91" s="45"/>
      <c r="S91" s="14"/>
      <c r="T91" s="13"/>
      <c r="U91" s="45"/>
      <c r="V91" s="14"/>
      <c r="W91" s="13"/>
      <c r="X91" s="45"/>
      <c r="Y91" s="14"/>
      <c r="Z91" s="13"/>
      <c r="AA91" s="45"/>
      <c r="AB91" s="15"/>
    </row>
    <row r="92" spans="2:28" x14ac:dyDescent="0.15">
      <c r="B92" s="9" t="str">
        <f ca="1">IF(OR(C92="",E92="", F92="", G92="", H92=""), "", MAX($B$2:OFFSET(B92, -1, 0))+1)</f>
        <v/>
      </c>
      <c r="C92" s="10"/>
      <c r="D92" s="37"/>
      <c r="E92" s="11"/>
      <c r="F92" s="12"/>
      <c r="G92" s="11"/>
      <c r="H92" s="12"/>
      <c r="I92" s="10"/>
      <c r="J92" s="40"/>
      <c r="K92" s="40"/>
      <c r="L92" s="40"/>
      <c r="M92" s="59"/>
      <c r="N92" s="13"/>
      <c r="O92" s="45"/>
      <c r="P92" s="14"/>
      <c r="Q92" s="13"/>
      <c r="R92" s="45"/>
      <c r="S92" s="14"/>
      <c r="T92" s="13"/>
      <c r="U92" s="45"/>
      <c r="V92" s="14"/>
      <c r="W92" s="13"/>
      <c r="X92" s="45"/>
      <c r="Y92" s="14"/>
      <c r="Z92" s="13"/>
      <c r="AA92" s="45"/>
      <c r="AB92" s="15"/>
    </row>
    <row r="93" spans="2:28" x14ac:dyDescent="0.15">
      <c r="B93" s="9" t="str">
        <f ca="1">IF(OR(C93="",E93="", F93="", G93="", H93=""), "", MAX($B$2:OFFSET(B93, -1, 0))+1)</f>
        <v/>
      </c>
      <c r="C93" s="10"/>
      <c r="D93" s="37"/>
      <c r="E93" s="11"/>
      <c r="F93" s="12"/>
      <c r="G93" s="11"/>
      <c r="H93" s="12"/>
      <c r="I93" s="10"/>
      <c r="J93" s="40"/>
      <c r="K93" s="40"/>
      <c r="L93" s="40"/>
      <c r="M93" s="59"/>
      <c r="N93" s="13"/>
      <c r="O93" s="45"/>
      <c r="P93" s="14"/>
      <c r="Q93" s="13"/>
      <c r="R93" s="45"/>
      <c r="S93" s="14"/>
      <c r="T93" s="13"/>
      <c r="U93" s="45"/>
      <c r="V93" s="14"/>
      <c r="W93" s="13"/>
      <c r="X93" s="45"/>
      <c r="Y93" s="14"/>
      <c r="Z93" s="13"/>
      <c r="AA93" s="45"/>
      <c r="AB93" s="15"/>
    </row>
    <row r="94" spans="2:28" x14ac:dyDescent="0.15">
      <c r="B94" s="9" t="str">
        <f ca="1">IF(OR(C94="",E94="", F94="", G94="", H94=""), "", MAX($B$2:OFFSET(B94, -1, 0))+1)</f>
        <v/>
      </c>
      <c r="C94" s="10"/>
      <c r="D94" s="37"/>
      <c r="E94" s="11"/>
      <c r="F94" s="12"/>
      <c r="G94" s="11"/>
      <c r="H94" s="12"/>
      <c r="I94" s="10"/>
      <c r="J94" s="40"/>
      <c r="K94" s="40"/>
      <c r="L94" s="40"/>
      <c r="M94" s="59"/>
      <c r="N94" s="13"/>
      <c r="O94" s="45"/>
      <c r="P94" s="14"/>
      <c r="Q94" s="13"/>
      <c r="R94" s="45"/>
      <c r="S94" s="14"/>
      <c r="T94" s="13"/>
      <c r="U94" s="45"/>
      <c r="V94" s="14"/>
      <c r="W94" s="13"/>
      <c r="X94" s="45"/>
      <c r="Y94" s="14"/>
      <c r="Z94" s="13"/>
      <c r="AA94" s="45"/>
      <c r="AB94" s="15"/>
    </row>
    <row r="95" spans="2:28" x14ac:dyDescent="0.15">
      <c r="B95" s="9" t="str">
        <f ca="1">IF(OR(C95="",E95="", F95="", G95="", H95=""), "", MAX($B$2:OFFSET(B95, -1, 0))+1)</f>
        <v/>
      </c>
      <c r="C95" s="10"/>
      <c r="D95" s="37"/>
      <c r="E95" s="11"/>
      <c r="F95" s="12"/>
      <c r="G95" s="11"/>
      <c r="H95" s="12"/>
      <c r="I95" s="10"/>
      <c r="J95" s="40"/>
      <c r="K95" s="40"/>
      <c r="L95" s="40"/>
      <c r="M95" s="59"/>
      <c r="N95" s="13"/>
      <c r="O95" s="45"/>
      <c r="P95" s="14"/>
      <c r="Q95" s="13"/>
      <c r="R95" s="45"/>
      <c r="S95" s="14"/>
      <c r="T95" s="13"/>
      <c r="U95" s="45"/>
      <c r="V95" s="14"/>
      <c r="W95" s="13"/>
      <c r="X95" s="45"/>
      <c r="Y95" s="14"/>
      <c r="Z95" s="13"/>
      <c r="AA95" s="45"/>
      <c r="AB95" s="15"/>
    </row>
    <row r="96" spans="2:28" x14ac:dyDescent="0.15">
      <c r="B96" s="9" t="str">
        <f ca="1">IF(OR(C96="",E96="", F96="", G96="", H96=""), "", MAX($B$2:OFFSET(B96, -1, 0))+1)</f>
        <v/>
      </c>
      <c r="C96" s="10"/>
      <c r="D96" s="37"/>
      <c r="E96" s="11"/>
      <c r="F96" s="12"/>
      <c r="G96" s="11"/>
      <c r="H96" s="12"/>
      <c r="I96" s="10"/>
      <c r="J96" s="40"/>
      <c r="K96" s="40"/>
      <c r="L96" s="40"/>
      <c r="M96" s="59"/>
      <c r="N96" s="13"/>
      <c r="O96" s="45"/>
      <c r="P96" s="14"/>
      <c r="Q96" s="13"/>
      <c r="R96" s="45"/>
      <c r="S96" s="14"/>
      <c r="T96" s="13"/>
      <c r="U96" s="45"/>
      <c r="V96" s="14"/>
      <c r="W96" s="13"/>
      <c r="X96" s="45"/>
      <c r="Y96" s="14"/>
      <c r="Z96" s="13"/>
      <c r="AA96" s="45"/>
      <c r="AB96" s="15"/>
    </row>
    <row r="97" spans="2:28" x14ac:dyDescent="0.15">
      <c r="B97" s="9" t="str">
        <f ca="1">IF(OR(C97="",E97="", F97="", G97="", H97=""), "", MAX($B$2:OFFSET(B97, -1, 0))+1)</f>
        <v/>
      </c>
      <c r="C97" s="10"/>
      <c r="D97" s="37"/>
      <c r="E97" s="11"/>
      <c r="F97" s="12"/>
      <c r="G97" s="11"/>
      <c r="H97" s="12"/>
      <c r="I97" s="10"/>
      <c r="J97" s="40"/>
      <c r="K97" s="40"/>
      <c r="L97" s="40"/>
      <c r="M97" s="59"/>
      <c r="N97" s="13"/>
      <c r="O97" s="45"/>
      <c r="P97" s="14"/>
      <c r="Q97" s="13"/>
      <c r="R97" s="45"/>
      <c r="S97" s="14"/>
      <c r="T97" s="13"/>
      <c r="U97" s="45"/>
      <c r="V97" s="14"/>
      <c r="W97" s="13"/>
      <c r="X97" s="45"/>
      <c r="Y97" s="14"/>
      <c r="Z97" s="13"/>
      <c r="AA97" s="45"/>
      <c r="AB97" s="15"/>
    </row>
    <row r="98" spans="2:28" x14ac:dyDescent="0.15">
      <c r="B98" s="9" t="str">
        <f ca="1">IF(OR(C98="",E98="", F98="", G98="", H98=""), "", MAX($B$2:OFFSET(B98, -1, 0))+1)</f>
        <v/>
      </c>
      <c r="C98" s="10"/>
      <c r="D98" s="37"/>
      <c r="E98" s="11"/>
      <c r="F98" s="12"/>
      <c r="G98" s="11"/>
      <c r="H98" s="12"/>
      <c r="I98" s="10"/>
      <c r="J98" s="40"/>
      <c r="K98" s="40"/>
      <c r="L98" s="40"/>
      <c r="M98" s="59"/>
      <c r="N98" s="13"/>
      <c r="O98" s="45"/>
      <c r="P98" s="14"/>
      <c r="Q98" s="13"/>
      <c r="R98" s="45"/>
      <c r="S98" s="14"/>
      <c r="T98" s="13"/>
      <c r="U98" s="45"/>
      <c r="V98" s="14"/>
      <c r="W98" s="13"/>
      <c r="X98" s="45"/>
      <c r="Y98" s="14"/>
      <c r="Z98" s="13"/>
      <c r="AA98" s="45"/>
      <c r="AB98" s="15"/>
    </row>
    <row r="99" spans="2:28" x14ac:dyDescent="0.15">
      <c r="B99" s="9" t="str">
        <f ca="1">IF(OR(C99="",E99="", F99="", G99="", H99=""), "", MAX($B$2:OFFSET(B99, -1, 0))+1)</f>
        <v/>
      </c>
      <c r="C99" s="10"/>
      <c r="D99" s="37"/>
      <c r="E99" s="11"/>
      <c r="F99" s="12"/>
      <c r="G99" s="11"/>
      <c r="H99" s="12"/>
      <c r="I99" s="10"/>
      <c r="J99" s="40"/>
      <c r="K99" s="40"/>
      <c r="L99" s="40"/>
      <c r="M99" s="59"/>
      <c r="N99" s="13"/>
      <c r="O99" s="45"/>
      <c r="P99" s="14"/>
      <c r="Q99" s="13"/>
      <c r="R99" s="45"/>
      <c r="S99" s="14"/>
      <c r="T99" s="13"/>
      <c r="U99" s="45"/>
      <c r="V99" s="14"/>
      <c r="W99" s="13"/>
      <c r="X99" s="45"/>
      <c r="Y99" s="14"/>
      <c r="Z99" s="13"/>
      <c r="AA99" s="45"/>
      <c r="AB99" s="15"/>
    </row>
    <row r="100" spans="2:28" x14ac:dyDescent="0.15">
      <c r="B100" s="9" t="str">
        <f ca="1">IF(OR(C100="",E100="", F100="", G100="", H100=""), "", MAX($B$2:OFFSET(B100, -1, 0))+1)</f>
        <v/>
      </c>
      <c r="C100" s="10"/>
      <c r="D100" s="37"/>
      <c r="E100" s="11"/>
      <c r="F100" s="12"/>
      <c r="G100" s="11"/>
      <c r="H100" s="12"/>
      <c r="I100" s="10"/>
      <c r="J100" s="40"/>
      <c r="K100" s="40"/>
      <c r="L100" s="40"/>
      <c r="M100" s="59"/>
      <c r="N100" s="13"/>
      <c r="O100" s="45"/>
      <c r="P100" s="14"/>
      <c r="Q100" s="13"/>
      <c r="R100" s="45"/>
      <c r="S100" s="14"/>
      <c r="T100" s="13"/>
      <c r="U100" s="45"/>
      <c r="V100" s="14"/>
      <c r="W100" s="13"/>
      <c r="X100" s="45"/>
      <c r="Y100" s="14"/>
      <c r="Z100" s="13"/>
      <c r="AA100" s="45"/>
      <c r="AB100" s="15"/>
    </row>
    <row r="101" spans="2:28" x14ac:dyDescent="0.15">
      <c r="B101" s="9" t="str">
        <f ca="1">IF(OR(C101="",E101="", F101="", G101="", H101=""), "", MAX($B$2:OFFSET(B101, -1, 0))+1)</f>
        <v/>
      </c>
      <c r="C101" s="10"/>
      <c r="D101" s="37"/>
      <c r="E101" s="11"/>
      <c r="F101" s="12"/>
      <c r="G101" s="11"/>
      <c r="H101" s="12"/>
      <c r="I101" s="10"/>
      <c r="J101" s="40"/>
      <c r="K101" s="40"/>
      <c r="L101" s="40"/>
      <c r="M101" s="59"/>
      <c r="N101" s="13"/>
      <c r="O101" s="45"/>
      <c r="P101" s="14"/>
      <c r="Q101" s="13"/>
      <c r="R101" s="45"/>
      <c r="S101" s="14"/>
      <c r="T101" s="13"/>
      <c r="U101" s="45"/>
      <c r="V101" s="14"/>
      <c r="W101" s="13"/>
      <c r="X101" s="45"/>
      <c r="Y101" s="14"/>
      <c r="Z101" s="13"/>
      <c r="AA101" s="45"/>
      <c r="AB101" s="15"/>
    </row>
    <row r="102" spans="2:28" x14ac:dyDescent="0.15">
      <c r="B102" s="9" t="str">
        <f ca="1">IF(OR(C102="",E102="", F102="", G102="", H102=""), "", MAX($B$2:OFFSET(B102, -1, 0))+1)</f>
        <v/>
      </c>
      <c r="C102" s="10"/>
      <c r="D102" s="37"/>
      <c r="E102" s="11"/>
      <c r="F102" s="12"/>
      <c r="G102" s="11"/>
      <c r="H102" s="12"/>
      <c r="I102" s="10"/>
      <c r="J102" s="40"/>
      <c r="K102" s="40"/>
      <c r="L102" s="40"/>
      <c r="M102" s="59"/>
      <c r="N102" s="13"/>
      <c r="O102" s="45"/>
      <c r="P102" s="14"/>
      <c r="Q102" s="13"/>
      <c r="R102" s="45"/>
      <c r="S102" s="14"/>
      <c r="T102" s="13"/>
      <c r="U102" s="45"/>
      <c r="V102" s="14"/>
      <c r="W102" s="13"/>
      <c r="X102" s="45"/>
      <c r="Y102" s="14"/>
      <c r="Z102" s="13"/>
      <c r="AA102" s="45"/>
      <c r="AB102" s="15"/>
    </row>
    <row r="103" spans="2:28" ht="14.25" thickBot="1" x14ac:dyDescent="0.2">
      <c r="B103" s="21" t="s">
        <v>42</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3"/>
    </row>
    <row r="104" spans="2:28" ht="14.25" thickTop="1" x14ac:dyDescent="0.15"/>
  </sheetData>
  <phoneticPr fontId="1"/>
  <conditionalFormatting sqref="N3:N102 Q3:Q102 T3:T102 W3:W102 Z3:Z102">
    <cfRule type="expression" dxfId="1" priority="2">
      <formula>AND($C3&lt;&gt;"",VLOOKUP(N3,OFFSET(Competition_Events,0,1),4,FALSE),$C3&lt;&gt;VLOOKUP(N3,OFFSET(Competition_Events,0,1),8,FALSE))</formula>
    </cfRule>
  </conditionalFormatting>
  <conditionalFormatting sqref="N2:AB102">
    <cfRule type="expression" dxfId="0" priority="1" stopIfTrue="1">
      <formula>COLUMN() &gt;= 13+3*Max_Entry_Count+1</formula>
    </cfRule>
  </conditionalFormatting>
  <dataValidations count="6">
    <dataValidation type="list" allowBlank="1" showInputMessage="1" showErrorMessage="1" sqref="C3:C102" xr:uid="{94981293-7559-4F3A-ADF5-DB85E9933220}">
      <formula1>"男子,女子"</formula1>
    </dataValidation>
    <dataValidation imeMode="fullKatakana" allowBlank="1" showInputMessage="1" showErrorMessage="1" sqref="G3:H102 K3:K102" xr:uid="{D11DDAF7-A94B-4EDD-8ABE-12497ECC500E}"/>
    <dataValidation type="list" allowBlank="1" showInputMessage="1" showErrorMessage="1" sqref="Z3:Z102 W3:W102 T3:T102 Q3:Q102 N3:N102" xr:uid="{D42B3900-9D56-4A03-8CFE-51636B6FEE0D}">
      <formula1>OFFSET(Competition_Events,1,1,ROWS(Competition_Events)-1,1)</formula1>
    </dataValidation>
    <dataValidation type="list" allowBlank="1" showInputMessage="1" showErrorMessage="1" sqref="L3:L102" xr:uid="{17FABB69-550C-49AC-8921-C13019A8DF52}">
      <formula1>Prefectures</formula1>
    </dataValidation>
    <dataValidation imeMode="disabled" allowBlank="1" showInputMessage="1" showErrorMessage="1" sqref="AA3:AA102 X3:X102 U3:U102 R3:R102 O3:O102" xr:uid="{446C7582-9263-4FCB-870A-A773CE9A34EE}"/>
    <dataValidation type="date" operator="lessThan" allowBlank="1" showInputMessage="1" showErrorMessage="1" sqref="M3:M102" xr:uid="{C55F4FAA-0989-4302-8093-B98695F8A3F1}">
      <formula1>TODAY()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B149-F841-4474-B18A-FD00291CAF44}">
  <sheetPr codeName="Sheet4"/>
  <dimension ref="A1:Z503"/>
  <sheetViews>
    <sheetView showGridLines="0" workbookViewId="0">
      <pane ySplit="3" topLeftCell="A4" activePane="bottomLeft" state="frozen"/>
      <selection activeCell="C2" sqref="C2"/>
      <selection pane="bottomLeft" activeCell="K4" sqref="K4"/>
    </sheetView>
  </sheetViews>
  <sheetFormatPr defaultRowHeight="13.5" x14ac:dyDescent="0.15"/>
  <cols>
    <col min="1" max="2" width="9" style="1" hidden="1" customWidth="1"/>
    <col min="3" max="3" width="2.625" style="1" customWidth="1"/>
    <col min="4" max="4" width="9" style="1" customWidth="1"/>
    <col min="5" max="5" width="9.75" style="1" bestFit="1" customWidth="1"/>
    <col min="6" max="6" width="13.75" style="1" bestFit="1" customWidth="1"/>
    <col min="7" max="8" width="20.625" style="1" customWidth="1"/>
    <col min="9" max="9" width="5.25" style="1" bestFit="1" customWidth="1"/>
    <col min="10" max="11" width="20.625" style="1" customWidth="1"/>
    <col min="12" max="12" width="13" style="1" bestFit="1" customWidth="1"/>
    <col min="13" max="13" width="13.75" style="1" bestFit="1" customWidth="1"/>
    <col min="14" max="14" width="20.625" style="1" customWidth="1"/>
    <col min="15" max="15" width="13" style="1" bestFit="1" customWidth="1"/>
    <col min="16" max="16" width="20.625" style="1" customWidth="1"/>
    <col min="17" max="17" width="15.125" style="1" bestFit="1" customWidth="1"/>
    <col min="18" max="18" width="11" style="1" hidden="1" customWidth="1"/>
    <col min="19" max="19" width="13" style="1" hidden="1" customWidth="1"/>
    <col min="20" max="20" width="17.125" style="1" hidden="1" customWidth="1"/>
    <col min="21" max="21" width="19.25" style="1" hidden="1" customWidth="1"/>
    <col min="22" max="22" width="9" style="1" customWidth="1"/>
    <col min="23" max="26" width="9" style="1" hidden="1" customWidth="1"/>
    <col min="27" max="16384" width="9" style="1"/>
  </cols>
  <sheetData>
    <row r="1" spans="1:26" hidden="1" x14ac:dyDescent="0.15">
      <c r="B1" s="1">
        <v>12</v>
      </c>
      <c r="E1" s="1">
        <v>1</v>
      </c>
      <c r="F1" s="1">
        <v>2</v>
      </c>
      <c r="I1" s="1">
        <v>7</v>
      </c>
      <c r="J1" s="1">
        <v>8</v>
      </c>
      <c r="K1" s="1">
        <v>9</v>
      </c>
      <c r="L1" s="1">
        <v>10</v>
      </c>
      <c r="M1" s="1">
        <v>11</v>
      </c>
      <c r="N1" s="1">
        <v>12</v>
      </c>
      <c r="O1" s="1">
        <v>13</v>
      </c>
      <c r="P1" s="1">
        <v>14</v>
      </c>
      <c r="W1" s="1">
        <v>3</v>
      </c>
      <c r="X1" s="1">
        <v>4</v>
      </c>
      <c r="Y1" s="1">
        <v>5</v>
      </c>
      <c r="Z1" s="1">
        <v>6</v>
      </c>
    </row>
    <row r="2" spans="1:26" ht="184.5" customHeight="1" x14ac:dyDescent="0.15"/>
    <row r="3" spans="1:26" x14ac:dyDescent="0.15">
      <c r="D3" s="60" t="s">
        <v>40</v>
      </c>
      <c r="E3" s="60" t="s">
        <v>6</v>
      </c>
      <c r="F3" s="60" t="s">
        <v>13</v>
      </c>
      <c r="G3" s="60" t="s">
        <v>31</v>
      </c>
      <c r="H3" s="60" t="s">
        <v>32</v>
      </c>
      <c r="I3" s="60" t="s">
        <v>9</v>
      </c>
      <c r="J3" s="60" t="s">
        <v>12</v>
      </c>
      <c r="K3" s="60" t="s">
        <v>292</v>
      </c>
      <c r="L3" s="60" t="s">
        <v>45</v>
      </c>
      <c r="M3" s="60" t="s">
        <v>193</v>
      </c>
      <c r="N3" s="60" t="s">
        <v>33</v>
      </c>
      <c r="O3" s="60" t="s">
        <v>34</v>
      </c>
      <c r="P3" s="60" t="s">
        <v>35</v>
      </c>
      <c r="Q3" s="61" t="s">
        <v>103</v>
      </c>
      <c r="R3" s="61" t="s">
        <v>107</v>
      </c>
      <c r="S3" s="60" t="s">
        <v>184</v>
      </c>
      <c r="T3" s="60" t="s">
        <v>185</v>
      </c>
      <c r="U3" s="60" t="s">
        <v>183</v>
      </c>
    </row>
    <row r="4" spans="1:26" x14ac:dyDescent="0.15">
      <c r="A4" s="17">
        <f>TRUNC((ROWS($D$3:D4)-2)/Max_Entry_Count)+1</f>
        <v>1</v>
      </c>
      <c r="B4" s="17">
        <f ca="1">IF($A4&gt;=ROWS(Entries)-2,"",IF(OFFSET('(2)出場選手'!$B$2,$A4,B$1+3*(MOD(ROWS($D$3:D4)-2,Max_Entry_Count)))="","",MOD(ROWS($D$3:D4)-2,Max_Entry_Count)))</f>
        <v>0</v>
      </c>
      <c r="D4" s="26" t="str">
        <f ca="1">IF(OR($A4&gt;=ROWS(Entries)-2,$B4=""),"",'(1)鑑'!$E$6&amp;"-"&amp;OFFSET('(2)出場選手'!$B$2,$A4,D$1))</f>
        <v>Orcheria-1</v>
      </c>
      <c r="E4" s="26" t="str">
        <f ca="1">IF($D4="","",OFFSET('(2)出場選手'!$B$2,$A4,E$1))</f>
        <v>女子</v>
      </c>
      <c r="F4" s="26" t="str">
        <f ca="1">IF($D4="","",IF(OFFSET('(2)出場選手'!$B$2,$A4,F$1)="","",OFFSET('(2)出場選手'!$B$2,$A4,F$1)))</f>
        <v>8101</v>
      </c>
      <c r="G4" s="26" t="str">
        <f t="shared" ref="G4:G67" ca="1" si="0">IF($D4="","",$W4&amp;"　"&amp;$X4)</f>
        <v>空野　みなも</v>
      </c>
      <c r="H4" s="26" t="str">
        <f t="shared" ref="H4:H67" ca="1" si="1">IF($D4="","",ASC(TRIM($Y4)&amp;"　"&amp;TRIM($Z4)))</f>
        <v>ｿﾗﾉ ﾐﾅﾓ</v>
      </c>
      <c r="I4" s="26" t="str">
        <f ca="1">IF($D4="","",IF(OFFSET('(2)出場選手'!$B$2,$A4,I$1)="","",OFFSET('(2)出場選手'!$B$2,$A4,I$1)))</f>
        <v>中2</v>
      </c>
      <c r="J4" s="26" t="str">
        <f ca="1">IF($D4="","",IF(OFFSET('(2)出場選手'!$B$2,$A4,J$1)="",'(1)鑑'!$E$6,OFFSET('(2)出場選手'!$B$2,$A4,J$1)))</f>
        <v>Orcheria</v>
      </c>
      <c r="K4" s="26" t="str">
        <f ca="1">IF($D4="","",TRIM(ASC(IF(OFFSET('(2)出場選手'!$B$2,$A4,K$1)="",'(1)鑑'!$E$7,OFFSET('(2)出場選手'!$B$2,$A4,K$1)))))</f>
        <v>ｵﾙｹﾘｱ</v>
      </c>
      <c r="L4" s="26" t="str">
        <f ca="1">IF($D4="","",SUBSTITUTE(SUBSTITUTE(SUBSTITUTE(IF(OFFSET('(2)出場選手'!$B$2,$A4,L$1)="",'(1)鑑'!$E$8,OFFSET('(2)出場選手'!$B$2,$A4,L$1)),"県",""),"府",""),"東京都","東京"))</f>
        <v>長崎</v>
      </c>
      <c r="M4" s="57">
        <f ca="1">IF($D4="","",IF(OFFSET('(2)出場選手'!$B$2,$A4,M$1)="","",OFFSET('(2)出場選手'!$B$2,$A4,M$1)))</f>
        <v>41093</v>
      </c>
      <c r="N4" s="26" t="str">
        <f ca="1">IF($D4="","",OFFSET('(2)出場選手'!$B$2,$A4,N$1+3*$B4))</f>
        <v>女子300mH</v>
      </c>
      <c r="O4" s="26" t="str">
        <f ca="1">IF($D4="","",IF(OFFSET('(2)出場選手'!$B$2,$A4,O$1+3*$B4)="","",OFFSET('(2)出場選手'!$B$2,$A4,O$1+3*$B4)))</f>
        <v>51.84</v>
      </c>
      <c r="P4" s="26" t="str">
        <f ca="1">IF($D4="","",IF(OFFSET('(2)出場選手'!$B$2,$A4,P$1+3*$B4)="","",OFFSET('(2)出場選手'!$B$2,$A4,P$1+3*$B4)))</f>
        <v/>
      </c>
      <c r="Q4" s="43">
        <f ca="1">IF(D4="","",VLOOKUP(N4,OFFSET(Competition_Events,0,1),11,FALSE)*IF($S4="リレー",IF(COUNTIF($T$3:$T4,$T4)&gt;1,0,1),1))</f>
        <v>900</v>
      </c>
      <c r="R4" s="26">
        <f t="shared" ref="R4:R67" ca="1" si="2">IF($D4="","",VLOOKUP($N4,OFFSET(Competition_Events,0,1),3,FALSE))</f>
        <v>21</v>
      </c>
      <c r="S4" s="26" t="str">
        <f t="shared" ref="S4:S67" ca="1" si="3">IF($D4="","",VLOOKUP($R4,Competition_Events,7,FALSE))</f>
        <v>トラック</v>
      </c>
      <c r="T4" s="26" t="str">
        <f t="shared" ref="T4:T67" ca="1" si="4">IF($D4="","",$N4&amp;"//"&amp;$P4)</f>
        <v>女子300mH//</v>
      </c>
      <c r="U4" s="26">
        <f t="shared" ref="U4:U67" ca="1" si="5">IF($D4="","",IFERROR(CHOOSE(VLOOKUP($R4,Competition_Events,6,FALSE),SUBSTITUTE(O4,"点","")*1,SUBSTITUTE(O4,"m",".")*100,SUBSTITUTE(SUBSTITUTE("0:"&amp;O4,"'",":"),"""",".")/"0:00:00.01"*-1,SUBSTITUTE(O4,"m",".")*100,SUBSTITUTE(SUBSTITUTE(O4,"'",":"),"""",".")/"0:00:00.01"*-1),-8640000))</f>
        <v>-5184</v>
      </c>
      <c r="W4" s="17" t="str">
        <f ca="1">IF($D4="","",OFFSET('(2)出場選手'!$B$2,$A4,W$1))</f>
        <v>空野</v>
      </c>
      <c r="X4" s="17" t="str">
        <f ca="1">IF($D4="","",OFFSET('(2)出場選手'!$B$2,$A4,X$1))</f>
        <v>みなも</v>
      </c>
      <c r="Y4" s="17" t="str">
        <f ca="1">IF($D4="","",OFFSET('(2)出場選手'!$B$2,$A4,Y$1))</f>
        <v>ソラノ</v>
      </c>
      <c r="Z4" s="17" t="str">
        <f ca="1">IF($D4="","",OFFSET('(2)出場選手'!$B$2,$A4,Z$1))</f>
        <v>ミナモ</v>
      </c>
    </row>
    <row r="5" spans="1:26" x14ac:dyDescent="0.15">
      <c r="A5" s="17">
        <f>TRUNC((ROWS($D$3:D5)-2)/Max_Entry_Count)+1</f>
        <v>1</v>
      </c>
      <c r="B5" s="17">
        <f ca="1">IF($A5&gt;=ROWS(Entries)-2,"",IF(OFFSET('(2)出場選手'!$B$2,$A5,B$1+3*(MOD(ROWS($D$3:D5)-2,Max_Entry_Count)))="","",MOD(ROWS($D$3:D5)-2,Max_Entry_Count)))</f>
        <v>1</v>
      </c>
      <c r="D5" s="26" t="str">
        <f ca="1">IF(OR($A5&gt;=ROWS(Entries)-2,$B5=""),"",'(1)鑑'!$E$6&amp;"-"&amp;OFFSET('(2)出場選手'!$B$2,$A5,D$1))</f>
        <v>Orcheria-1</v>
      </c>
      <c r="E5" s="26" t="str">
        <f ca="1">IF($D5="","",OFFSET('(2)出場選手'!$B$2,$A5,E$1))</f>
        <v>女子</v>
      </c>
      <c r="F5" s="26" t="str">
        <f ca="1">IF($D5="","",IF(OFFSET('(2)出場選手'!$B$2,$A5,F$1)="","",OFFSET('(2)出場選手'!$B$2,$A5,F$1)))</f>
        <v>8101</v>
      </c>
      <c r="G5" s="26" t="str">
        <f t="shared" ca="1" si="0"/>
        <v>空野　みなも</v>
      </c>
      <c r="H5" s="26" t="str">
        <f t="shared" ca="1" si="1"/>
        <v>ｿﾗﾉ ﾐﾅﾓ</v>
      </c>
      <c r="I5" s="26" t="str">
        <f ca="1">IF($D5="","",IF(OFFSET('(2)出場選手'!$B$2,$A5,I$1)="","",OFFSET('(2)出場選手'!$B$2,$A5,I$1)))</f>
        <v>中2</v>
      </c>
      <c r="J5" s="26" t="str">
        <f ca="1">IF($D5="","",IF(OFFSET('(2)出場選手'!$B$2,$A5,J$1)="",'(1)鑑'!$E$6,OFFSET('(2)出場選手'!$B$2,$A5,J$1)))</f>
        <v>Orcheria</v>
      </c>
      <c r="K5" s="26" t="str">
        <f ca="1">IF($D5="","",TRIM(ASC(IF(OFFSET('(2)出場選手'!$B$2,$A5,K$1)="",'(1)鑑'!$E$7,OFFSET('(2)出場選手'!$B$2,$A5,K$1)))))</f>
        <v>ｵﾙｹﾘｱ</v>
      </c>
      <c r="L5" s="26" t="str">
        <f ca="1">IF($D5="","",SUBSTITUTE(SUBSTITUTE(SUBSTITUTE(IF(OFFSET('(2)出場選手'!$B$2,$A5,L$1)="",'(1)鑑'!$E$8,OFFSET('(2)出場選手'!$B$2,$A5,L$1)),"県",""),"府",""),"東京都","東京"))</f>
        <v>長崎</v>
      </c>
      <c r="M5" s="57">
        <f ca="1">IF($D5="","",IF(OFFSET('(2)出場選手'!$B$2,$A5,M$1)="","",OFFSET('(2)出場選手'!$B$2,$A5,M$1)))</f>
        <v>41093</v>
      </c>
      <c r="N5" s="26" t="str">
        <f ca="1">IF($D5="","",OFFSET('(2)出場選手'!$B$2,$A5,N$1+3*$B5))</f>
        <v>女子走幅跳</v>
      </c>
      <c r="O5" s="26" t="str">
        <f ca="1">IF($D5="","",IF(OFFSET('(2)出場選手'!$B$2,$A5,O$1+3*$B5)="","",OFFSET('(2)出場選手'!$B$2,$A5,O$1+3*$B5)))</f>
        <v>5m18</v>
      </c>
      <c r="P5" s="26" t="str">
        <f ca="1">IF($D5="","",IF(OFFSET('(2)出場選手'!$B$2,$A5,P$1+3*$B5)="","",OFFSET('(2)出場選手'!$B$2,$A5,P$1+3*$B5)))</f>
        <v/>
      </c>
      <c r="Q5" s="43">
        <f ca="1">IF(D5="","",VLOOKUP(N5,OFFSET(Competition_Events,0,1),11,FALSE)*IF($S5="リレー",IF(COUNTIF($T$3:$T5,$T5)&gt;1,0,1),1))</f>
        <v>900</v>
      </c>
      <c r="R5" s="26">
        <f t="shared" ca="1" si="2"/>
        <v>25</v>
      </c>
      <c r="S5" s="26" t="str">
        <f t="shared" ca="1" si="3"/>
        <v>フィールド</v>
      </c>
      <c r="T5" s="26" t="str">
        <f t="shared" ca="1" si="4"/>
        <v>女子走幅跳//</v>
      </c>
      <c r="U5" s="26">
        <f t="shared" ca="1" si="5"/>
        <v>518</v>
      </c>
      <c r="W5" s="17" t="str">
        <f ca="1">IF($D5="","",OFFSET('(2)出場選手'!$B$2,$A5,W$1))</f>
        <v>空野</v>
      </c>
      <c r="X5" s="17" t="str">
        <f ca="1">IF($D5="","",OFFSET('(2)出場選手'!$B$2,$A5,X$1))</f>
        <v>みなも</v>
      </c>
      <c r="Y5" s="17" t="str">
        <f ca="1">IF($D5="","",OFFSET('(2)出場選手'!$B$2,$A5,Y$1))</f>
        <v>ソラノ</v>
      </c>
      <c r="Z5" s="17" t="str">
        <f ca="1">IF($D5="","",OFFSET('(2)出場選手'!$B$2,$A5,Z$1))</f>
        <v>ミナモ</v>
      </c>
    </row>
    <row r="6" spans="1:26" x14ac:dyDescent="0.15">
      <c r="A6" s="17">
        <f>TRUNC((ROWS($D$3:D6)-2)/Max_Entry_Count)+1</f>
        <v>1</v>
      </c>
      <c r="B6" s="17" t="str">
        <f ca="1">IF($A6&gt;=ROWS(Entries)-2,"",IF(OFFSET('(2)出場選手'!$B$2,$A6,B$1+3*(MOD(ROWS($D$3:D6)-2,Max_Entry_Count)))="","",MOD(ROWS($D$3:D6)-2,Max_Entry_Count)))</f>
        <v/>
      </c>
      <c r="D6" s="26" t="str">
        <f ca="1">IF(OR($A6&gt;=ROWS(Entries)-2,$B6=""),"",'(1)鑑'!$E$6&amp;"-"&amp;OFFSET('(2)出場選手'!$B$2,$A6,D$1))</f>
        <v/>
      </c>
      <c r="E6" s="26" t="str">
        <f ca="1">IF($D6="","",OFFSET('(2)出場選手'!$B$2,$A6,E$1))</f>
        <v/>
      </c>
      <c r="F6" s="26" t="str">
        <f ca="1">IF($D6="","",IF(OFFSET('(2)出場選手'!$B$2,$A6,F$1)="","",OFFSET('(2)出場選手'!$B$2,$A6,F$1)))</f>
        <v/>
      </c>
      <c r="G6" s="26" t="str">
        <f t="shared" ca="1" si="0"/>
        <v/>
      </c>
      <c r="H6" s="26" t="str">
        <f t="shared" ca="1" si="1"/>
        <v/>
      </c>
      <c r="I6" s="26" t="str">
        <f ca="1">IF($D6="","",IF(OFFSET('(2)出場選手'!$B$2,$A6,I$1)="","",OFFSET('(2)出場選手'!$B$2,$A6,I$1)))</f>
        <v/>
      </c>
      <c r="J6" s="26" t="str">
        <f ca="1">IF($D6="","",IF(OFFSET('(2)出場選手'!$B$2,$A6,J$1)="",'(1)鑑'!$E$6,OFFSET('(2)出場選手'!$B$2,$A6,J$1)))</f>
        <v/>
      </c>
      <c r="K6" s="26" t="str">
        <f ca="1">IF($D6="","",TRIM(ASC(IF(OFFSET('(2)出場選手'!$B$2,$A6,K$1)="",'(1)鑑'!$E$7,OFFSET('(2)出場選手'!$B$2,$A6,K$1)))))</f>
        <v/>
      </c>
      <c r="L6" s="26" t="str">
        <f ca="1">IF($D6="","",SUBSTITUTE(SUBSTITUTE(SUBSTITUTE(IF(OFFSET('(2)出場選手'!$B$2,$A6,L$1)="",'(1)鑑'!$E$8,OFFSET('(2)出場選手'!$B$2,$A6,L$1)),"県",""),"府",""),"東京都","東京"))</f>
        <v/>
      </c>
      <c r="M6" s="57" t="str">
        <f ca="1">IF($D6="","",IF(OFFSET('(2)出場選手'!$B$2,$A6,M$1)="","",OFFSET('(2)出場選手'!$B$2,$A6,M$1)))</f>
        <v/>
      </c>
      <c r="N6" s="26" t="str">
        <f ca="1">IF($D6="","",OFFSET('(2)出場選手'!$B$2,$A6,N$1+3*$B6))</f>
        <v/>
      </c>
      <c r="O6" s="26" t="str">
        <f ca="1">IF($D6="","",IF(OFFSET('(2)出場選手'!$B$2,$A6,O$1+3*$B6)="","",OFFSET('(2)出場選手'!$B$2,$A6,O$1+3*$B6)))</f>
        <v/>
      </c>
      <c r="P6" s="26" t="str">
        <f ca="1">IF($D6="","",IF(OFFSET('(2)出場選手'!$B$2,$A6,P$1+3*$B6)="","",OFFSET('(2)出場選手'!$B$2,$A6,P$1+3*$B6)))</f>
        <v/>
      </c>
      <c r="Q6" s="43" t="str">
        <f ca="1">IF(D6="","",VLOOKUP(N6,OFFSET(Competition_Events,0,1),11,FALSE)*IF($S6="リレー",IF(COUNTIF($T$3:$T6,$T6)&gt;1,0,1),1))</f>
        <v/>
      </c>
      <c r="R6" s="26" t="str">
        <f t="shared" ca="1" si="2"/>
        <v/>
      </c>
      <c r="S6" s="26" t="str">
        <f t="shared" ca="1" si="3"/>
        <v/>
      </c>
      <c r="T6" s="26" t="str">
        <f t="shared" ca="1" si="4"/>
        <v/>
      </c>
      <c r="U6" s="26" t="str">
        <f t="shared" ca="1" si="5"/>
        <v/>
      </c>
      <c r="W6" s="17" t="str">
        <f ca="1">IF($D6="","",OFFSET('(2)出場選手'!$B$2,$A6,W$1))</f>
        <v/>
      </c>
      <c r="X6" s="17" t="str">
        <f ca="1">IF($D6="","",OFFSET('(2)出場選手'!$B$2,$A6,X$1))</f>
        <v/>
      </c>
      <c r="Y6" s="17" t="str">
        <f ca="1">IF($D6="","",OFFSET('(2)出場選手'!$B$2,$A6,Y$1))</f>
        <v/>
      </c>
      <c r="Z6" s="17" t="str">
        <f ca="1">IF($D6="","",OFFSET('(2)出場選手'!$B$2,$A6,Z$1))</f>
        <v/>
      </c>
    </row>
    <row r="7" spans="1:26" x14ac:dyDescent="0.15">
      <c r="A7" s="17">
        <f>TRUNC((ROWS($D$3:D7)-2)/Max_Entry_Count)+1</f>
        <v>2</v>
      </c>
      <c r="B7" s="17">
        <f ca="1">IF($A7&gt;=ROWS(Entries)-2,"",IF(OFFSET('(2)出場選手'!$B$2,$A7,B$1+3*(MOD(ROWS($D$3:D7)-2,Max_Entry_Count)))="","",MOD(ROWS($D$3:D7)-2,Max_Entry_Count)))</f>
        <v>0</v>
      </c>
      <c r="D7" s="26" t="str">
        <f ca="1">IF(OR($A7&gt;=ROWS(Entries)-2,$B7=""),"",'(1)鑑'!$E$6&amp;"-"&amp;OFFSET('(2)出場選手'!$B$2,$A7,D$1))</f>
        <v>Orcheria-2</v>
      </c>
      <c r="E7" s="26" t="str">
        <f ca="1">IF($D7="","",OFFSET('(2)出場選手'!$B$2,$A7,E$1))</f>
        <v>女子</v>
      </c>
      <c r="F7" s="26" t="str">
        <f ca="1">IF($D7="","",IF(OFFSET('(2)出場選手'!$B$2,$A7,F$1)="","",OFFSET('(2)出場選手'!$B$2,$A7,F$1)))</f>
        <v>8102</v>
      </c>
      <c r="G7" s="26" t="str">
        <f t="shared" ca="1" si="0"/>
        <v>識辺　佳賀里</v>
      </c>
      <c r="H7" s="26" t="str">
        <f t="shared" ca="1" si="1"/>
        <v>ｼﾙﾍﾞ ｶｶﾞﾘ</v>
      </c>
      <c r="I7" s="26" t="str">
        <f ca="1">IF($D7="","",IF(OFFSET('(2)出場選手'!$B$2,$A7,I$1)="","",OFFSET('(2)出場選手'!$B$2,$A7,I$1)))</f>
        <v>中2</v>
      </c>
      <c r="J7" s="26" t="str">
        <f ca="1">IF($D7="","",IF(OFFSET('(2)出場選手'!$B$2,$A7,J$1)="",'(1)鑑'!$E$6,OFFSET('(2)出場選手'!$B$2,$A7,J$1)))</f>
        <v>Orcheria</v>
      </c>
      <c r="K7" s="26" t="str">
        <f ca="1">IF($D7="","",TRIM(ASC(IF(OFFSET('(2)出場選手'!$B$2,$A7,K$1)="",'(1)鑑'!$E$7,OFFSET('(2)出場選手'!$B$2,$A7,K$1)))))</f>
        <v>ｵﾙｹﾘｱ</v>
      </c>
      <c r="L7" s="26" t="str">
        <f ca="1">IF($D7="","",SUBSTITUTE(SUBSTITUTE(SUBSTITUTE(IF(OFFSET('(2)出場選手'!$B$2,$A7,L$1)="",'(1)鑑'!$E$8,OFFSET('(2)出場選手'!$B$2,$A7,L$1)),"県",""),"府",""),"東京都","東京"))</f>
        <v>長崎</v>
      </c>
      <c r="M7" s="57">
        <f ca="1">IF($D7="","",IF(OFFSET('(2)出場選手'!$B$2,$A7,M$1)="","",OFFSET('(2)出場選手'!$B$2,$A7,M$1)))</f>
        <v>41129</v>
      </c>
      <c r="N7" s="26" t="str">
        <f ca="1">IF($D7="","",OFFSET('(2)出場選手'!$B$2,$A7,N$1+3*$B7))</f>
        <v>女子200m</v>
      </c>
      <c r="O7" s="26" t="str">
        <f ca="1">IF($D7="","",IF(OFFSET('(2)出場選手'!$B$2,$A7,O$1+3*$B7)="","",OFFSET('(2)出場選手'!$B$2,$A7,O$1+3*$B7)))</f>
        <v>26.82</v>
      </c>
      <c r="P7" s="26" t="str">
        <f ca="1">IF($D7="","",IF(OFFSET('(2)出場選手'!$B$2,$A7,P$1+3*$B7)="","",OFFSET('(2)出場選手'!$B$2,$A7,P$1+3*$B7)))</f>
        <v/>
      </c>
      <c r="Q7" s="43">
        <f ca="1">IF(D7="","",VLOOKUP(N7,OFFSET(Competition_Events,0,1),11,FALSE)*IF($S7="リレー",IF(COUNTIF($T$3:$T7,$T7)&gt;1,0,1),1))</f>
        <v>900</v>
      </c>
      <c r="R7" s="26">
        <f t="shared" ca="1" si="2"/>
        <v>16</v>
      </c>
      <c r="S7" s="26" t="str">
        <f t="shared" ca="1" si="3"/>
        <v>トラック</v>
      </c>
      <c r="T7" s="26" t="str">
        <f t="shared" ca="1" si="4"/>
        <v>女子200m//</v>
      </c>
      <c r="U7" s="26">
        <f t="shared" ca="1" si="5"/>
        <v>-2682</v>
      </c>
      <c r="W7" s="17" t="str">
        <f ca="1">IF($D7="","",OFFSET('(2)出場選手'!$B$2,$A7,W$1))</f>
        <v>識辺</v>
      </c>
      <c r="X7" s="17" t="str">
        <f ca="1">IF($D7="","",OFFSET('(2)出場選手'!$B$2,$A7,X$1))</f>
        <v>佳賀里</v>
      </c>
      <c r="Y7" s="17" t="str">
        <f ca="1">IF($D7="","",OFFSET('(2)出場選手'!$B$2,$A7,Y$1))</f>
        <v>シルベ</v>
      </c>
      <c r="Z7" s="17" t="str">
        <f ca="1">IF($D7="","",OFFSET('(2)出場選手'!$B$2,$A7,Z$1))</f>
        <v>カガリ</v>
      </c>
    </row>
    <row r="8" spans="1:26" x14ac:dyDescent="0.15">
      <c r="A8" s="17">
        <f>TRUNC((ROWS($D$3:D8)-2)/Max_Entry_Count)+1</f>
        <v>2</v>
      </c>
      <c r="B8" s="17">
        <f ca="1">IF($A8&gt;=ROWS(Entries)-2,"",IF(OFFSET('(2)出場選手'!$B$2,$A8,B$1+3*(MOD(ROWS($D$3:D8)-2,Max_Entry_Count)))="","",MOD(ROWS($D$3:D8)-2,Max_Entry_Count)))</f>
        <v>1</v>
      </c>
      <c r="D8" s="26" t="str">
        <f ca="1">IF(OR($A8&gt;=ROWS(Entries)-2,$B8=""),"",'(1)鑑'!$E$6&amp;"-"&amp;OFFSET('(2)出場選手'!$B$2,$A8,D$1))</f>
        <v>Orcheria-2</v>
      </c>
      <c r="E8" s="26" t="str">
        <f ca="1">IF($D8="","",OFFSET('(2)出場選手'!$B$2,$A8,E$1))</f>
        <v>女子</v>
      </c>
      <c r="F8" s="26" t="str">
        <f ca="1">IF($D8="","",IF(OFFSET('(2)出場選手'!$B$2,$A8,F$1)="","",OFFSET('(2)出場選手'!$B$2,$A8,F$1)))</f>
        <v>8102</v>
      </c>
      <c r="G8" s="26" t="str">
        <f t="shared" ca="1" si="0"/>
        <v>識辺　佳賀里</v>
      </c>
      <c r="H8" s="26" t="str">
        <f t="shared" ca="1" si="1"/>
        <v>ｼﾙﾍﾞ ｶｶﾞﾘ</v>
      </c>
      <c r="I8" s="26" t="str">
        <f ca="1">IF($D8="","",IF(OFFSET('(2)出場選手'!$B$2,$A8,I$1)="","",OFFSET('(2)出場選手'!$B$2,$A8,I$1)))</f>
        <v>中2</v>
      </c>
      <c r="J8" s="26" t="str">
        <f ca="1">IF($D8="","",IF(OFFSET('(2)出場選手'!$B$2,$A8,J$1)="",'(1)鑑'!$E$6,OFFSET('(2)出場選手'!$B$2,$A8,J$1)))</f>
        <v>Orcheria</v>
      </c>
      <c r="K8" s="26" t="str">
        <f ca="1">IF($D8="","",TRIM(ASC(IF(OFFSET('(2)出場選手'!$B$2,$A8,K$1)="",'(1)鑑'!$E$7,OFFSET('(2)出場選手'!$B$2,$A8,K$1)))))</f>
        <v>ｵﾙｹﾘｱ</v>
      </c>
      <c r="L8" s="26" t="str">
        <f ca="1">IF($D8="","",SUBSTITUTE(SUBSTITUTE(SUBSTITUTE(IF(OFFSET('(2)出場選手'!$B$2,$A8,L$1)="",'(1)鑑'!$E$8,OFFSET('(2)出場選手'!$B$2,$A8,L$1)),"県",""),"府",""),"東京都","東京"))</f>
        <v>長崎</v>
      </c>
      <c r="M8" s="57">
        <f ca="1">IF($D8="","",IF(OFFSET('(2)出場選手'!$B$2,$A8,M$1)="","",OFFSET('(2)出場選手'!$B$2,$A8,M$1)))</f>
        <v>41129</v>
      </c>
      <c r="N8" s="26" t="str">
        <f ca="1">IF($D8="","",OFFSET('(2)出場選手'!$B$2,$A8,N$1+3*$B8))</f>
        <v>女子400m</v>
      </c>
      <c r="O8" s="26" t="str">
        <f ca="1">IF($D8="","",IF(OFFSET('(2)出場選手'!$B$2,$A8,O$1+3*$B8)="","",OFFSET('(2)出場選手'!$B$2,$A8,O$1+3*$B8)))</f>
        <v>1:00.76</v>
      </c>
      <c r="P8" s="26" t="str">
        <f ca="1">IF($D8="","",IF(OFFSET('(2)出場選手'!$B$2,$A8,P$1+3*$B8)="","",OFFSET('(2)出場選手'!$B$2,$A8,P$1+3*$B8)))</f>
        <v/>
      </c>
      <c r="Q8" s="43">
        <f ca="1">IF(D8="","",VLOOKUP(N8,OFFSET(Competition_Events,0,1),11,FALSE)*IF($S8="リレー",IF(COUNTIF($T$3:$T8,$T8)&gt;1,0,1),1))</f>
        <v>900</v>
      </c>
      <c r="R8" s="26">
        <f t="shared" ca="1" si="2"/>
        <v>17</v>
      </c>
      <c r="S8" s="26" t="str">
        <f t="shared" ca="1" si="3"/>
        <v>トラック</v>
      </c>
      <c r="T8" s="26" t="str">
        <f t="shared" ca="1" si="4"/>
        <v>女子400m//</v>
      </c>
      <c r="U8" s="26">
        <f t="shared" ca="1" si="5"/>
        <v>-6076</v>
      </c>
      <c r="W8" s="17" t="str">
        <f ca="1">IF($D8="","",OFFSET('(2)出場選手'!$B$2,$A8,W$1))</f>
        <v>識辺</v>
      </c>
      <c r="X8" s="17" t="str">
        <f ca="1">IF($D8="","",OFFSET('(2)出場選手'!$B$2,$A8,X$1))</f>
        <v>佳賀里</v>
      </c>
      <c r="Y8" s="17" t="str">
        <f ca="1">IF($D8="","",OFFSET('(2)出場選手'!$B$2,$A8,Y$1))</f>
        <v>シルベ</v>
      </c>
      <c r="Z8" s="17" t="str">
        <f ca="1">IF($D8="","",OFFSET('(2)出場選手'!$B$2,$A8,Z$1))</f>
        <v>カガリ</v>
      </c>
    </row>
    <row r="9" spans="1:26" x14ac:dyDescent="0.15">
      <c r="A9" s="17">
        <f>TRUNC((ROWS($D$3:D9)-2)/Max_Entry_Count)+1</f>
        <v>2</v>
      </c>
      <c r="B9" s="17" t="str">
        <f ca="1">IF($A9&gt;=ROWS(Entries)-2,"",IF(OFFSET('(2)出場選手'!$B$2,$A9,B$1+3*(MOD(ROWS($D$3:D9)-2,Max_Entry_Count)))="","",MOD(ROWS($D$3:D9)-2,Max_Entry_Count)))</f>
        <v/>
      </c>
      <c r="D9" s="26" t="str">
        <f ca="1">IF(OR($A9&gt;=ROWS(Entries)-2,$B9=""),"",'(1)鑑'!$E$6&amp;"-"&amp;OFFSET('(2)出場選手'!$B$2,$A9,D$1))</f>
        <v/>
      </c>
      <c r="E9" s="26" t="str">
        <f ca="1">IF($D9="","",OFFSET('(2)出場選手'!$B$2,$A9,E$1))</f>
        <v/>
      </c>
      <c r="F9" s="26" t="str">
        <f ca="1">IF($D9="","",IF(OFFSET('(2)出場選手'!$B$2,$A9,F$1)="","",OFFSET('(2)出場選手'!$B$2,$A9,F$1)))</f>
        <v/>
      </c>
      <c r="G9" s="26" t="str">
        <f t="shared" ca="1" si="0"/>
        <v/>
      </c>
      <c r="H9" s="26" t="str">
        <f t="shared" ca="1" si="1"/>
        <v/>
      </c>
      <c r="I9" s="26" t="str">
        <f ca="1">IF($D9="","",IF(OFFSET('(2)出場選手'!$B$2,$A9,I$1)="","",OFFSET('(2)出場選手'!$B$2,$A9,I$1)))</f>
        <v/>
      </c>
      <c r="J9" s="26" t="str">
        <f ca="1">IF($D9="","",IF(OFFSET('(2)出場選手'!$B$2,$A9,J$1)="",'(1)鑑'!$E$6,OFFSET('(2)出場選手'!$B$2,$A9,J$1)))</f>
        <v/>
      </c>
      <c r="K9" s="26" t="str">
        <f ca="1">IF($D9="","",TRIM(ASC(IF(OFFSET('(2)出場選手'!$B$2,$A9,K$1)="",'(1)鑑'!$E$7,OFFSET('(2)出場選手'!$B$2,$A9,K$1)))))</f>
        <v/>
      </c>
      <c r="L9" s="26" t="str">
        <f ca="1">IF($D9="","",SUBSTITUTE(SUBSTITUTE(SUBSTITUTE(IF(OFFSET('(2)出場選手'!$B$2,$A9,L$1)="",'(1)鑑'!$E$8,OFFSET('(2)出場選手'!$B$2,$A9,L$1)),"県",""),"府",""),"東京都","東京"))</f>
        <v/>
      </c>
      <c r="M9" s="57" t="str">
        <f ca="1">IF($D9="","",IF(OFFSET('(2)出場選手'!$B$2,$A9,M$1)="","",OFFSET('(2)出場選手'!$B$2,$A9,M$1)))</f>
        <v/>
      </c>
      <c r="N9" s="26" t="str">
        <f ca="1">IF($D9="","",OFFSET('(2)出場選手'!$B$2,$A9,N$1+3*$B9))</f>
        <v/>
      </c>
      <c r="O9" s="26" t="str">
        <f ca="1">IF($D9="","",IF(OFFSET('(2)出場選手'!$B$2,$A9,O$1+3*$B9)="","",OFFSET('(2)出場選手'!$B$2,$A9,O$1+3*$B9)))</f>
        <v/>
      </c>
      <c r="P9" s="26" t="str">
        <f ca="1">IF($D9="","",IF(OFFSET('(2)出場選手'!$B$2,$A9,P$1+3*$B9)="","",OFFSET('(2)出場選手'!$B$2,$A9,P$1+3*$B9)))</f>
        <v/>
      </c>
      <c r="Q9" s="43" t="str">
        <f ca="1">IF(D9="","",VLOOKUP(N9,OFFSET(Competition_Events,0,1),11,FALSE)*IF($S9="リレー",IF(COUNTIF($T$3:$T9,$T9)&gt;1,0,1),1))</f>
        <v/>
      </c>
      <c r="R9" s="26" t="str">
        <f t="shared" ca="1" si="2"/>
        <v/>
      </c>
      <c r="S9" s="26" t="str">
        <f t="shared" ca="1" si="3"/>
        <v/>
      </c>
      <c r="T9" s="26" t="str">
        <f t="shared" ca="1" si="4"/>
        <v/>
      </c>
      <c r="U9" s="26" t="str">
        <f t="shared" ca="1" si="5"/>
        <v/>
      </c>
      <c r="W9" s="17" t="str">
        <f ca="1">IF($D9="","",OFFSET('(2)出場選手'!$B$2,$A9,W$1))</f>
        <v/>
      </c>
      <c r="X9" s="17" t="str">
        <f ca="1">IF($D9="","",OFFSET('(2)出場選手'!$B$2,$A9,X$1))</f>
        <v/>
      </c>
      <c r="Y9" s="17" t="str">
        <f ca="1">IF($D9="","",OFFSET('(2)出場選手'!$B$2,$A9,Y$1))</f>
        <v/>
      </c>
      <c r="Z9" s="17" t="str">
        <f ca="1">IF($D9="","",OFFSET('(2)出場選手'!$B$2,$A9,Z$1))</f>
        <v/>
      </c>
    </row>
    <row r="10" spans="1:26" x14ac:dyDescent="0.15">
      <c r="A10" s="17">
        <f>TRUNC((ROWS($D$3:D10)-2)/Max_Entry_Count)+1</f>
        <v>3</v>
      </c>
      <c r="B10" s="17">
        <f ca="1">IF($A10&gt;=ROWS(Entries)-2,"",IF(OFFSET('(2)出場選手'!$B$2,$A10,B$1+3*(MOD(ROWS($D$3:D10)-2,Max_Entry_Count)))="","",MOD(ROWS($D$3:D10)-2,Max_Entry_Count)))</f>
        <v>0</v>
      </c>
      <c r="D10" s="26" t="str">
        <f ca="1">IF(OR($A10&gt;=ROWS(Entries)-2,$B10=""),"",'(1)鑑'!$E$6&amp;"-"&amp;OFFSET('(2)出場選手'!$B$2,$A10,D$1))</f>
        <v>Orcheria-3</v>
      </c>
      <c r="E10" s="26" t="str">
        <f ca="1">IF($D10="","",OFFSET('(2)出場選手'!$B$2,$A10,E$1))</f>
        <v>女子</v>
      </c>
      <c r="F10" s="26" t="str">
        <f ca="1">IF($D10="","",IF(OFFSET('(2)出場選手'!$B$2,$A10,F$1)="","",OFFSET('(2)出場選手'!$B$2,$A10,F$1)))</f>
        <v>8103</v>
      </c>
      <c r="G10" s="26" t="str">
        <f t="shared" ca="1" si="0"/>
        <v>一条　流星</v>
      </c>
      <c r="H10" s="26" t="str">
        <f t="shared" ca="1" si="1"/>
        <v>ｲﾁｼﾞｮｳ ﾅｶﾞｾ</v>
      </c>
      <c r="I10" s="26" t="str">
        <f ca="1">IF($D10="","",IF(OFFSET('(2)出場選手'!$B$2,$A10,I$1)="","",OFFSET('(2)出場選手'!$B$2,$A10,I$1)))</f>
        <v>中1</v>
      </c>
      <c r="J10" s="26" t="str">
        <f ca="1">IF($D10="","",IF(OFFSET('(2)出場選手'!$B$2,$A10,J$1)="",'(1)鑑'!$E$6,OFFSET('(2)出場選手'!$B$2,$A10,J$1)))</f>
        <v>Orcheria</v>
      </c>
      <c r="K10" s="26" t="str">
        <f ca="1">IF($D10="","",TRIM(ASC(IF(OFFSET('(2)出場選手'!$B$2,$A10,K$1)="",'(1)鑑'!$E$7,OFFSET('(2)出場選手'!$B$2,$A10,K$1)))))</f>
        <v>ｵﾙｹﾘｱ</v>
      </c>
      <c r="L10" s="26" t="str">
        <f ca="1">IF($D10="","",SUBSTITUTE(SUBSTITUTE(SUBSTITUTE(IF(OFFSET('(2)出場選手'!$B$2,$A10,L$1)="",'(1)鑑'!$E$8,OFFSET('(2)出場選手'!$B$2,$A10,L$1)),"県",""),"府",""),"東京都","東京"))</f>
        <v>長崎</v>
      </c>
      <c r="M10" s="57">
        <f ca="1">IF($D10="","",IF(OFFSET('(2)出場選手'!$B$2,$A10,M$1)="","",OFFSET('(2)出場選手'!$B$2,$A10,M$1)))</f>
        <v>41568</v>
      </c>
      <c r="N10" s="26" t="str">
        <f ca="1">IF($D10="","",OFFSET('(2)出場選手'!$B$2,$A10,N$1+3*$B10))</f>
        <v>女子800m</v>
      </c>
      <c r="O10" s="26" t="str">
        <f ca="1">IF($D10="","",IF(OFFSET('(2)出場選手'!$B$2,$A10,O$1+3*$B10)="","",OFFSET('(2)出場選手'!$B$2,$A10,O$1+3*$B10)))</f>
        <v>2:19.26</v>
      </c>
      <c r="P10" s="26" t="str">
        <f ca="1">IF($D10="","",IF(OFFSET('(2)出場選手'!$B$2,$A10,P$1+3*$B10)="","",OFFSET('(2)出場選手'!$B$2,$A10,P$1+3*$B10)))</f>
        <v/>
      </c>
      <c r="Q10" s="43">
        <f ca="1">IF(D10="","",VLOOKUP(N10,OFFSET(Competition_Events,0,1),11,FALSE)*IF($S10="リレー",IF(COUNTIF($T$3:$T10,$T10)&gt;1,0,1),1))</f>
        <v>900</v>
      </c>
      <c r="R10" s="26">
        <f t="shared" ca="1" si="2"/>
        <v>18</v>
      </c>
      <c r="S10" s="26" t="str">
        <f t="shared" ca="1" si="3"/>
        <v>トラック</v>
      </c>
      <c r="T10" s="26" t="str">
        <f t="shared" ca="1" si="4"/>
        <v>女子800m//</v>
      </c>
      <c r="U10" s="26">
        <f t="shared" ca="1" si="5"/>
        <v>-13925.999999999998</v>
      </c>
      <c r="W10" s="17" t="str">
        <f ca="1">IF($D10="","",OFFSET('(2)出場選手'!$B$2,$A10,W$1))</f>
        <v>一条</v>
      </c>
      <c r="X10" s="17" t="str">
        <f ca="1">IF($D10="","",OFFSET('(2)出場選手'!$B$2,$A10,X$1))</f>
        <v>流星</v>
      </c>
      <c r="Y10" s="17" t="str">
        <f ca="1">IF($D10="","",OFFSET('(2)出場選手'!$B$2,$A10,Y$1))</f>
        <v>イチジョウ</v>
      </c>
      <c r="Z10" s="17" t="str">
        <f ca="1">IF($D10="","",OFFSET('(2)出場選手'!$B$2,$A10,Z$1))</f>
        <v>ナガセ</v>
      </c>
    </row>
    <row r="11" spans="1:26" x14ac:dyDescent="0.15">
      <c r="A11" s="17">
        <f>TRUNC((ROWS($D$3:D11)-2)/Max_Entry_Count)+1</f>
        <v>3</v>
      </c>
      <c r="B11" s="17">
        <f ca="1">IF($A11&gt;=ROWS(Entries)-2,"",IF(OFFSET('(2)出場選手'!$B$2,$A11,B$1+3*(MOD(ROWS($D$3:D11)-2,Max_Entry_Count)))="","",MOD(ROWS($D$3:D11)-2,Max_Entry_Count)))</f>
        <v>1</v>
      </c>
      <c r="D11" s="26" t="str">
        <f ca="1">IF(OR($A11&gt;=ROWS(Entries)-2,$B11=""),"",'(1)鑑'!$E$6&amp;"-"&amp;OFFSET('(2)出場選手'!$B$2,$A11,D$1))</f>
        <v>Orcheria-3</v>
      </c>
      <c r="E11" s="26" t="str">
        <f ca="1">IF($D11="","",OFFSET('(2)出場選手'!$B$2,$A11,E$1))</f>
        <v>女子</v>
      </c>
      <c r="F11" s="26" t="str">
        <f ca="1">IF($D11="","",IF(OFFSET('(2)出場選手'!$B$2,$A11,F$1)="","",OFFSET('(2)出場選手'!$B$2,$A11,F$1)))</f>
        <v>8103</v>
      </c>
      <c r="G11" s="26" t="str">
        <f t="shared" ca="1" si="0"/>
        <v>一条　流星</v>
      </c>
      <c r="H11" s="26" t="str">
        <f t="shared" ca="1" si="1"/>
        <v>ｲﾁｼﾞｮｳ ﾅｶﾞｾ</v>
      </c>
      <c r="I11" s="26" t="str">
        <f ca="1">IF($D11="","",IF(OFFSET('(2)出場選手'!$B$2,$A11,I$1)="","",OFFSET('(2)出場選手'!$B$2,$A11,I$1)))</f>
        <v>中1</v>
      </c>
      <c r="J11" s="26" t="str">
        <f ca="1">IF($D11="","",IF(OFFSET('(2)出場選手'!$B$2,$A11,J$1)="",'(1)鑑'!$E$6,OFFSET('(2)出場選手'!$B$2,$A11,J$1)))</f>
        <v>Orcheria</v>
      </c>
      <c r="K11" s="26" t="str">
        <f ca="1">IF($D11="","",TRIM(ASC(IF(OFFSET('(2)出場選手'!$B$2,$A11,K$1)="",'(1)鑑'!$E$7,OFFSET('(2)出場選手'!$B$2,$A11,K$1)))))</f>
        <v>ｵﾙｹﾘｱ</v>
      </c>
      <c r="L11" s="26" t="str">
        <f ca="1">IF($D11="","",SUBSTITUTE(SUBSTITUTE(SUBSTITUTE(IF(OFFSET('(2)出場選手'!$B$2,$A11,L$1)="",'(1)鑑'!$E$8,OFFSET('(2)出場選手'!$B$2,$A11,L$1)),"県",""),"府",""),"東京都","東京"))</f>
        <v>長崎</v>
      </c>
      <c r="M11" s="57">
        <f ca="1">IF($D11="","",IF(OFFSET('(2)出場選手'!$B$2,$A11,M$1)="","",OFFSET('(2)出場選手'!$B$2,$A11,M$1)))</f>
        <v>41568</v>
      </c>
      <c r="N11" s="26" t="str">
        <f ca="1">IF($D11="","",OFFSET('(2)出場選手'!$B$2,$A11,N$1+3*$B11))</f>
        <v>女子1500m</v>
      </c>
      <c r="O11" s="26" t="str">
        <f ca="1">IF($D11="","",IF(OFFSET('(2)出場選手'!$B$2,$A11,O$1+3*$B11)="","",OFFSET('(2)出場選手'!$B$2,$A11,O$1+3*$B11)))</f>
        <v>4:35.13</v>
      </c>
      <c r="P11" s="26" t="str">
        <f ca="1">IF($D11="","",IF(OFFSET('(2)出場選手'!$B$2,$A11,P$1+3*$B11)="","",OFFSET('(2)出場選手'!$B$2,$A11,P$1+3*$B11)))</f>
        <v/>
      </c>
      <c r="Q11" s="43">
        <f ca="1">IF(D11="","",VLOOKUP(N11,OFFSET(Competition_Events,0,1),11,FALSE)*IF($S11="リレー",IF(COUNTIF($T$3:$T11,$T11)&gt;1,0,1),1))</f>
        <v>900</v>
      </c>
      <c r="R11" s="26">
        <f t="shared" ca="1" si="2"/>
        <v>19</v>
      </c>
      <c r="S11" s="26" t="str">
        <f t="shared" ca="1" si="3"/>
        <v>トラック</v>
      </c>
      <c r="T11" s="26" t="str">
        <f t="shared" ca="1" si="4"/>
        <v>女子1500m//</v>
      </c>
      <c r="U11" s="26">
        <f t="shared" ca="1" si="5"/>
        <v>-27513</v>
      </c>
      <c r="W11" s="17" t="str">
        <f ca="1">IF($D11="","",OFFSET('(2)出場選手'!$B$2,$A11,W$1))</f>
        <v>一条</v>
      </c>
      <c r="X11" s="17" t="str">
        <f ca="1">IF($D11="","",OFFSET('(2)出場選手'!$B$2,$A11,X$1))</f>
        <v>流星</v>
      </c>
      <c r="Y11" s="17" t="str">
        <f ca="1">IF($D11="","",OFFSET('(2)出場選手'!$B$2,$A11,Y$1))</f>
        <v>イチジョウ</v>
      </c>
      <c r="Z11" s="17" t="str">
        <f ca="1">IF($D11="","",OFFSET('(2)出場選手'!$B$2,$A11,Z$1))</f>
        <v>ナガセ</v>
      </c>
    </row>
    <row r="12" spans="1:26" x14ac:dyDescent="0.15">
      <c r="A12" s="17">
        <f>TRUNC((ROWS($D$3:D12)-2)/Max_Entry_Count)+1</f>
        <v>3</v>
      </c>
      <c r="B12" s="17" t="str">
        <f ca="1">IF($A12&gt;=ROWS(Entries)-2,"",IF(OFFSET('(2)出場選手'!$B$2,$A12,B$1+3*(MOD(ROWS($D$3:D12)-2,Max_Entry_Count)))="","",MOD(ROWS($D$3:D12)-2,Max_Entry_Count)))</f>
        <v/>
      </c>
      <c r="D12" s="26" t="str">
        <f ca="1">IF(OR($A12&gt;=ROWS(Entries)-2,$B12=""),"",'(1)鑑'!$E$6&amp;"-"&amp;OFFSET('(2)出場選手'!$B$2,$A12,D$1))</f>
        <v/>
      </c>
      <c r="E12" s="26" t="str">
        <f ca="1">IF($D12="","",OFFSET('(2)出場選手'!$B$2,$A12,E$1))</f>
        <v/>
      </c>
      <c r="F12" s="26" t="str">
        <f ca="1">IF($D12="","",IF(OFFSET('(2)出場選手'!$B$2,$A12,F$1)="","",OFFSET('(2)出場選手'!$B$2,$A12,F$1)))</f>
        <v/>
      </c>
      <c r="G12" s="26" t="str">
        <f t="shared" ca="1" si="0"/>
        <v/>
      </c>
      <c r="H12" s="26" t="str">
        <f t="shared" ca="1" si="1"/>
        <v/>
      </c>
      <c r="I12" s="26" t="str">
        <f ca="1">IF($D12="","",IF(OFFSET('(2)出場選手'!$B$2,$A12,I$1)="","",OFFSET('(2)出場選手'!$B$2,$A12,I$1)))</f>
        <v/>
      </c>
      <c r="J12" s="26" t="str">
        <f ca="1">IF($D12="","",IF(OFFSET('(2)出場選手'!$B$2,$A12,J$1)="",'(1)鑑'!$E$6,OFFSET('(2)出場選手'!$B$2,$A12,J$1)))</f>
        <v/>
      </c>
      <c r="K12" s="26" t="str">
        <f ca="1">IF($D12="","",TRIM(ASC(IF(OFFSET('(2)出場選手'!$B$2,$A12,K$1)="",'(1)鑑'!$E$7,OFFSET('(2)出場選手'!$B$2,$A12,K$1)))))</f>
        <v/>
      </c>
      <c r="L12" s="26" t="str">
        <f ca="1">IF($D12="","",SUBSTITUTE(SUBSTITUTE(SUBSTITUTE(IF(OFFSET('(2)出場選手'!$B$2,$A12,L$1)="",'(1)鑑'!$E$8,OFFSET('(2)出場選手'!$B$2,$A12,L$1)),"県",""),"府",""),"東京都","東京"))</f>
        <v/>
      </c>
      <c r="M12" s="57" t="str">
        <f ca="1">IF($D12="","",IF(OFFSET('(2)出場選手'!$B$2,$A12,M$1)="","",OFFSET('(2)出場選手'!$B$2,$A12,M$1)))</f>
        <v/>
      </c>
      <c r="N12" s="26" t="str">
        <f ca="1">IF($D12="","",OFFSET('(2)出場選手'!$B$2,$A12,N$1+3*$B12))</f>
        <v/>
      </c>
      <c r="O12" s="26" t="str">
        <f ca="1">IF($D12="","",IF(OFFSET('(2)出場選手'!$B$2,$A12,O$1+3*$B12)="","",OFFSET('(2)出場選手'!$B$2,$A12,O$1+3*$B12)))</f>
        <v/>
      </c>
      <c r="P12" s="26" t="str">
        <f ca="1">IF($D12="","",IF(OFFSET('(2)出場選手'!$B$2,$A12,P$1+3*$B12)="","",OFFSET('(2)出場選手'!$B$2,$A12,P$1+3*$B12)))</f>
        <v/>
      </c>
      <c r="Q12" s="43" t="str">
        <f ca="1">IF(D12="","",VLOOKUP(N12,OFFSET(Competition_Events,0,1),11,FALSE)*IF($S12="リレー",IF(COUNTIF($T$3:$T12,$T12)&gt;1,0,1),1))</f>
        <v/>
      </c>
      <c r="R12" s="26" t="str">
        <f t="shared" ca="1" si="2"/>
        <v/>
      </c>
      <c r="S12" s="26" t="str">
        <f t="shared" ca="1" si="3"/>
        <v/>
      </c>
      <c r="T12" s="26" t="str">
        <f t="shared" ca="1" si="4"/>
        <v/>
      </c>
      <c r="U12" s="26" t="str">
        <f t="shared" ca="1" si="5"/>
        <v/>
      </c>
      <c r="W12" s="17" t="str">
        <f ca="1">IF($D12="","",OFFSET('(2)出場選手'!$B$2,$A12,W$1))</f>
        <v/>
      </c>
      <c r="X12" s="17" t="str">
        <f ca="1">IF($D12="","",OFFSET('(2)出場選手'!$B$2,$A12,X$1))</f>
        <v/>
      </c>
      <c r="Y12" s="17" t="str">
        <f ca="1">IF($D12="","",OFFSET('(2)出場選手'!$B$2,$A12,Y$1))</f>
        <v/>
      </c>
      <c r="Z12" s="17" t="str">
        <f ca="1">IF($D12="","",OFFSET('(2)出場選手'!$B$2,$A12,Z$1))</f>
        <v/>
      </c>
    </row>
    <row r="13" spans="1:26" x14ac:dyDescent="0.15">
      <c r="A13" s="17">
        <f>TRUNC((ROWS($D$3:D13)-2)/Max_Entry_Count)+1</f>
        <v>4</v>
      </c>
      <c r="B13" s="17">
        <f ca="1">IF($A13&gt;=ROWS(Entries)-2,"",IF(OFFSET('(2)出場選手'!$B$2,$A13,B$1+3*(MOD(ROWS($D$3:D13)-2,Max_Entry_Count)))="","",MOD(ROWS($D$3:D13)-2,Max_Entry_Count)))</f>
        <v>0</v>
      </c>
      <c r="D13" s="26" t="str">
        <f ca="1">IF(OR($A13&gt;=ROWS(Entries)-2,$B13=""),"",'(1)鑑'!$E$6&amp;"-"&amp;OFFSET('(2)出場選手'!$B$2,$A13,D$1))</f>
        <v>Orcheria-4</v>
      </c>
      <c r="E13" s="26" t="str">
        <f ca="1">IF($D13="","",OFFSET('(2)出場選手'!$B$2,$A13,E$1))</f>
        <v>女子</v>
      </c>
      <c r="F13" s="26" t="str">
        <f ca="1">IF($D13="","",IF(OFFSET('(2)出場選手'!$B$2,$A13,F$1)="","",OFFSET('(2)出場選手'!$B$2,$A13,F$1)))</f>
        <v>8104</v>
      </c>
      <c r="G13" s="26" t="str">
        <f t="shared" ca="1" si="0"/>
        <v>陽ノ下　菜津</v>
      </c>
      <c r="H13" s="26" t="str">
        <f t="shared" ca="1" si="1"/>
        <v>ﾋﾉｼﾀ ﾅﾂ</v>
      </c>
      <c r="I13" s="26" t="str">
        <f ca="1">IF($D13="","",IF(OFFSET('(2)出場選手'!$B$2,$A13,I$1)="","",OFFSET('(2)出場選手'!$B$2,$A13,I$1)))</f>
        <v>中1</v>
      </c>
      <c r="J13" s="26" t="str">
        <f ca="1">IF($D13="","",IF(OFFSET('(2)出場選手'!$B$2,$A13,J$1)="",'(1)鑑'!$E$6,OFFSET('(2)出場選手'!$B$2,$A13,J$1)))</f>
        <v>Orcheria</v>
      </c>
      <c r="K13" s="26" t="str">
        <f ca="1">IF($D13="","",TRIM(ASC(IF(OFFSET('(2)出場選手'!$B$2,$A13,K$1)="",'(1)鑑'!$E$7,OFFSET('(2)出場選手'!$B$2,$A13,K$1)))))</f>
        <v>ｵﾙｹﾘｱ</v>
      </c>
      <c r="L13" s="26" t="str">
        <f ca="1">IF($D13="","",SUBSTITUTE(SUBSTITUTE(SUBSTITUTE(IF(OFFSET('(2)出場選手'!$B$2,$A13,L$1)="",'(1)鑑'!$E$8,OFFSET('(2)出場選手'!$B$2,$A13,L$1)),"県",""),"府",""),"東京都","東京"))</f>
        <v>長崎</v>
      </c>
      <c r="M13" s="57">
        <f ca="1">IF($D13="","",IF(OFFSET('(2)出場選手'!$B$2,$A13,M$1)="","",OFFSET('(2)出場選手'!$B$2,$A13,M$1)))</f>
        <v>41222</v>
      </c>
      <c r="N13" s="26" t="str">
        <f ca="1">IF($D13="","",OFFSET('(2)出場選手'!$B$2,$A13,N$1+3*$B13))</f>
        <v>女子100m</v>
      </c>
      <c r="O13" s="26" t="str">
        <f ca="1">IF($D13="","",IF(OFFSET('(2)出場選手'!$B$2,$A13,O$1+3*$B13)="","",OFFSET('(2)出場選手'!$B$2,$A13,O$1+3*$B13)))</f>
        <v>13.27</v>
      </c>
      <c r="P13" s="26" t="str">
        <f ca="1">IF($D13="","",IF(OFFSET('(2)出場選手'!$B$2,$A13,P$1+3*$B13)="","",OFFSET('(2)出場選手'!$B$2,$A13,P$1+3*$B13)))</f>
        <v/>
      </c>
      <c r="Q13" s="43">
        <f ca="1">IF(D13="","",VLOOKUP(N13,OFFSET(Competition_Events,0,1),11,FALSE)*IF($S13="リレー",IF(COUNTIF($T$3:$T13,$T13)&gt;1,0,1),1))</f>
        <v>900</v>
      </c>
      <c r="R13" s="26">
        <f t="shared" ca="1" si="2"/>
        <v>15</v>
      </c>
      <c r="S13" s="26" t="str">
        <f t="shared" ca="1" si="3"/>
        <v>トラック</v>
      </c>
      <c r="T13" s="26" t="str">
        <f t="shared" ca="1" si="4"/>
        <v>女子100m//</v>
      </c>
      <c r="U13" s="26">
        <f t="shared" ca="1" si="5"/>
        <v>-1327</v>
      </c>
      <c r="W13" s="17" t="str">
        <f ca="1">IF($D13="","",OFFSET('(2)出場選手'!$B$2,$A13,W$1))</f>
        <v>陽ノ下</v>
      </c>
      <c r="X13" s="17" t="str">
        <f ca="1">IF($D13="","",OFFSET('(2)出場選手'!$B$2,$A13,X$1))</f>
        <v>菜津</v>
      </c>
      <c r="Y13" s="17" t="str">
        <f ca="1">IF($D13="","",OFFSET('(2)出場選手'!$B$2,$A13,Y$1))</f>
        <v>ヒノシタ</v>
      </c>
      <c r="Z13" s="17" t="str">
        <f ca="1">IF($D13="","",OFFSET('(2)出場選手'!$B$2,$A13,Z$1))</f>
        <v>ナツ</v>
      </c>
    </row>
    <row r="14" spans="1:26" x14ac:dyDescent="0.15">
      <c r="A14" s="17">
        <f>TRUNC((ROWS($D$3:D14)-2)/Max_Entry_Count)+1</f>
        <v>4</v>
      </c>
      <c r="B14" s="17">
        <f ca="1">IF($A14&gt;=ROWS(Entries)-2,"",IF(OFFSET('(2)出場選手'!$B$2,$A14,B$1+3*(MOD(ROWS($D$3:D14)-2,Max_Entry_Count)))="","",MOD(ROWS($D$3:D14)-2,Max_Entry_Count)))</f>
        <v>1</v>
      </c>
      <c r="D14" s="26" t="str">
        <f ca="1">IF(OR($A14&gt;=ROWS(Entries)-2,$B14=""),"",'(1)鑑'!$E$6&amp;"-"&amp;OFFSET('(2)出場選手'!$B$2,$A14,D$1))</f>
        <v>Orcheria-4</v>
      </c>
      <c r="E14" s="26" t="str">
        <f ca="1">IF($D14="","",OFFSET('(2)出場選手'!$B$2,$A14,E$1))</f>
        <v>女子</v>
      </c>
      <c r="F14" s="26" t="str">
        <f ca="1">IF($D14="","",IF(OFFSET('(2)出場選手'!$B$2,$A14,F$1)="","",OFFSET('(2)出場選手'!$B$2,$A14,F$1)))</f>
        <v>8104</v>
      </c>
      <c r="G14" s="26" t="str">
        <f t="shared" ca="1" si="0"/>
        <v>陽ノ下　菜津</v>
      </c>
      <c r="H14" s="26" t="str">
        <f t="shared" ca="1" si="1"/>
        <v>ﾋﾉｼﾀ ﾅﾂ</v>
      </c>
      <c r="I14" s="26" t="str">
        <f ca="1">IF($D14="","",IF(OFFSET('(2)出場選手'!$B$2,$A14,I$1)="","",OFFSET('(2)出場選手'!$B$2,$A14,I$1)))</f>
        <v>中1</v>
      </c>
      <c r="J14" s="26" t="str">
        <f ca="1">IF($D14="","",IF(OFFSET('(2)出場選手'!$B$2,$A14,J$1)="",'(1)鑑'!$E$6,OFFSET('(2)出場選手'!$B$2,$A14,J$1)))</f>
        <v>Orcheria</v>
      </c>
      <c r="K14" s="26" t="str">
        <f ca="1">IF($D14="","",TRIM(ASC(IF(OFFSET('(2)出場選手'!$B$2,$A14,K$1)="",'(1)鑑'!$E$7,OFFSET('(2)出場選手'!$B$2,$A14,K$1)))))</f>
        <v>ｵﾙｹﾘｱ</v>
      </c>
      <c r="L14" s="26" t="str">
        <f ca="1">IF($D14="","",SUBSTITUTE(SUBSTITUTE(SUBSTITUTE(IF(OFFSET('(2)出場選手'!$B$2,$A14,L$1)="",'(1)鑑'!$E$8,OFFSET('(2)出場選手'!$B$2,$A14,L$1)),"県",""),"府",""),"東京都","東京"))</f>
        <v>長崎</v>
      </c>
      <c r="M14" s="57">
        <f ca="1">IF($D14="","",IF(OFFSET('(2)出場選手'!$B$2,$A14,M$1)="","",OFFSET('(2)出場選手'!$B$2,$A14,M$1)))</f>
        <v>41222</v>
      </c>
      <c r="N14" s="26" t="str">
        <f ca="1">IF($D14="","",OFFSET('(2)出場選手'!$B$2,$A14,N$1+3*$B14))</f>
        <v>女子棒高跳</v>
      </c>
      <c r="O14" s="26" t="str">
        <f ca="1">IF($D14="","",IF(OFFSET('(2)出場選手'!$B$2,$A14,O$1+3*$B14)="","",OFFSET('(2)出場選手'!$B$2,$A14,O$1+3*$B14)))</f>
        <v>2m90</v>
      </c>
      <c r="P14" s="26" t="str">
        <f ca="1">IF($D14="","",IF(OFFSET('(2)出場選手'!$B$2,$A14,P$1+3*$B14)="","",OFFSET('(2)出場選手'!$B$2,$A14,P$1+3*$B14)))</f>
        <v/>
      </c>
      <c r="Q14" s="43">
        <f ca="1">IF(D14="","",VLOOKUP(N14,OFFSET(Competition_Events,0,1),11,FALSE)*IF($S14="リレー",IF(COUNTIF($T$3:$T14,$T14)&gt;1,0,1),1))</f>
        <v>900</v>
      </c>
      <c r="R14" s="26">
        <f t="shared" ca="1" si="2"/>
        <v>24</v>
      </c>
      <c r="S14" s="26" t="str">
        <f t="shared" ca="1" si="3"/>
        <v>フィールド</v>
      </c>
      <c r="T14" s="26" t="str">
        <f t="shared" ca="1" si="4"/>
        <v>女子棒高跳//</v>
      </c>
      <c r="U14" s="26">
        <f t="shared" ca="1" si="5"/>
        <v>290</v>
      </c>
      <c r="W14" s="17" t="str">
        <f ca="1">IF($D14="","",OFFSET('(2)出場選手'!$B$2,$A14,W$1))</f>
        <v>陽ノ下</v>
      </c>
      <c r="X14" s="17" t="str">
        <f ca="1">IF($D14="","",OFFSET('(2)出場選手'!$B$2,$A14,X$1))</f>
        <v>菜津</v>
      </c>
      <c r="Y14" s="17" t="str">
        <f ca="1">IF($D14="","",OFFSET('(2)出場選手'!$B$2,$A14,Y$1))</f>
        <v>ヒノシタ</v>
      </c>
      <c r="Z14" s="17" t="str">
        <f ca="1">IF($D14="","",OFFSET('(2)出場選手'!$B$2,$A14,Z$1))</f>
        <v>ナツ</v>
      </c>
    </row>
    <row r="15" spans="1:26" x14ac:dyDescent="0.15">
      <c r="A15" s="17">
        <f>TRUNC((ROWS($D$3:D15)-2)/Max_Entry_Count)+1</f>
        <v>4</v>
      </c>
      <c r="B15" s="17" t="str">
        <f ca="1">IF($A15&gt;=ROWS(Entries)-2,"",IF(OFFSET('(2)出場選手'!$B$2,$A15,B$1+3*(MOD(ROWS($D$3:D15)-2,Max_Entry_Count)))="","",MOD(ROWS($D$3:D15)-2,Max_Entry_Count)))</f>
        <v/>
      </c>
      <c r="D15" s="26" t="str">
        <f ca="1">IF(OR($A15&gt;=ROWS(Entries)-2,$B15=""),"",'(1)鑑'!$E$6&amp;"-"&amp;OFFSET('(2)出場選手'!$B$2,$A15,D$1))</f>
        <v/>
      </c>
      <c r="E15" s="26" t="str">
        <f ca="1">IF($D15="","",OFFSET('(2)出場選手'!$B$2,$A15,E$1))</f>
        <v/>
      </c>
      <c r="F15" s="26" t="str">
        <f ca="1">IF($D15="","",IF(OFFSET('(2)出場選手'!$B$2,$A15,F$1)="","",OFFSET('(2)出場選手'!$B$2,$A15,F$1)))</f>
        <v/>
      </c>
      <c r="G15" s="26" t="str">
        <f t="shared" ca="1" si="0"/>
        <v/>
      </c>
      <c r="H15" s="26" t="str">
        <f t="shared" ca="1" si="1"/>
        <v/>
      </c>
      <c r="I15" s="26" t="str">
        <f ca="1">IF($D15="","",IF(OFFSET('(2)出場選手'!$B$2,$A15,I$1)="","",OFFSET('(2)出場選手'!$B$2,$A15,I$1)))</f>
        <v/>
      </c>
      <c r="J15" s="26" t="str">
        <f ca="1">IF($D15="","",IF(OFFSET('(2)出場選手'!$B$2,$A15,J$1)="",'(1)鑑'!$E$6,OFFSET('(2)出場選手'!$B$2,$A15,J$1)))</f>
        <v/>
      </c>
      <c r="K15" s="26" t="str">
        <f ca="1">IF($D15="","",TRIM(ASC(IF(OFFSET('(2)出場選手'!$B$2,$A15,K$1)="",'(1)鑑'!$E$7,OFFSET('(2)出場選手'!$B$2,$A15,K$1)))))</f>
        <v/>
      </c>
      <c r="L15" s="26" t="str">
        <f ca="1">IF($D15="","",SUBSTITUTE(SUBSTITUTE(SUBSTITUTE(IF(OFFSET('(2)出場選手'!$B$2,$A15,L$1)="",'(1)鑑'!$E$8,OFFSET('(2)出場選手'!$B$2,$A15,L$1)),"県",""),"府",""),"東京都","東京"))</f>
        <v/>
      </c>
      <c r="M15" s="57" t="str">
        <f ca="1">IF($D15="","",IF(OFFSET('(2)出場選手'!$B$2,$A15,M$1)="","",OFFSET('(2)出場選手'!$B$2,$A15,M$1)))</f>
        <v/>
      </c>
      <c r="N15" s="26" t="str">
        <f ca="1">IF($D15="","",OFFSET('(2)出場選手'!$B$2,$A15,N$1+3*$B15))</f>
        <v/>
      </c>
      <c r="O15" s="26" t="str">
        <f ca="1">IF($D15="","",IF(OFFSET('(2)出場選手'!$B$2,$A15,O$1+3*$B15)="","",OFFSET('(2)出場選手'!$B$2,$A15,O$1+3*$B15)))</f>
        <v/>
      </c>
      <c r="P15" s="26" t="str">
        <f ca="1">IF($D15="","",IF(OFFSET('(2)出場選手'!$B$2,$A15,P$1+3*$B15)="","",OFFSET('(2)出場選手'!$B$2,$A15,P$1+3*$B15)))</f>
        <v/>
      </c>
      <c r="Q15" s="43" t="str">
        <f ca="1">IF(D15="","",VLOOKUP(N15,OFFSET(Competition_Events,0,1),11,FALSE)*IF($S15="リレー",IF(COUNTIF($T$3:$T15,$T15)&gt;1,0,1),1))</f>
        <v/>
      </c>
      <c r="R15" s="26" t="str">
        <f t="shared" ca="1" si="2"/>
        <v/>
      </c>
      <c r="S15" s="26" t="str">
        <f t="shared" ca="1" si="3"/>
        <v/>
      </c>
      <c r="T15" s="26" t="str">
        <f t="shared" ca="1" si="4"/>
        <v/>
      </c>
      <c r="U15" s="26" t="str">
        <f t="shared" ca="1" si="5"/>
        <v/>
      </c>
      <c r="W15" s="17" t="str">
        <f ca="1">IF($D15="","",OFFSET('(2)出場選手'!$B$2,$A15,W$1))</f>
        <v/>
      </c>
      <c r="X15" s="17" t="str">
        <f ca="1">IF($D15="","",OFFSET('(2)出場選手'!$B$2,$A15,X$1))</f>
        <v/>
      </c>
      <c r="Y15" s="17" t="str">
        <f ca="1">IF($D15="","",OFFSET('(2)出場選手'!$B$2,$A15,Y$1))</f>
        <v/>
      </c>
      <c r="Z15" s="17" t="str">
        <f ca="1">IF($D15="","",OFFSET('(2)出場選手'!$B$2,$A15,Z$1))</f>
        <v/>
      </c>
    </row>
    <row r="16" spans="1:26" x14ac:dyDescent="0.15">
      <c r="A16" s="17">
        <f>TRUNC((ROWS($D$3:D16)-2)/Max_Entry_Count)+1</f>
        <v>5</v>
      </c>
      <c r="B16" s="17">
        <f ca="1">IF($A16&gt;=ROWS(Entries)-2,"",IF(OFFSET('(2)出場選手'!$B$2,$A16,B$1+3*(MOD(ROWS($D$3:D16)-2,Max_Entry_Count)))="","",MOD(ROWS($D$3:D16)-2,Max_Entry_Count)))</f>
        <v>0</v>
      </c>
      <c r="D16" s="26" t="str">
        <f ca="1">IF(OR($A16&gt;=ROWS(Entries)-2,$B16=""),"",'(1)鑑'!$E$6&amp;"-"&amp;OFFSET('(2)出場選手'!$B$2,$A16,D$1))</f>
        <v>Orcheria-5</v>
      </c>
      <c r="E16" s="26" t="str">
        <f ca="1">IF($D16="","",OFFSET('(2)出場選手'!$B$2,$A16,E$1))</f>
        <v>女子</v>
      </c>
      <c r="F16" s="26" t="str">
        <f ca="1">IF($D16="","",IF(OFFSET('(2)出場選手'!$B$2,$A16,F$1)="","",OFFSET('(2)出場選手'!$B$2,$A16,F$1)))</f>
        <v>8121</v>
      </c>
      <c r="G16" s="26" t="str">
        <f t="shared" ca="1" si="0"/>
        <v>風花　菫</v>
      </c>
      <c r="H16" s="26" t="str">
        <f t="shared" ca="1" si="1"/>
        <v>ｶｻﾞﾊﾅ ｽﾐﾚ</v>
      </c>
      <c r="I16" s="26" t="str">
        <f ca="1">IF($D16="","",IF(OFFSET('(2)出場選手'!$B$2,$A16,I$1)="","",OFFSET('(2)出場選手'!$B$2,$A16,I$1)))</f>
        <v>中3</v>
      </c>
      <c r="J16" s="26" t="str">
        <f ca="1">IF($D16="","",IF(OFFSET('(2)出場選手'!$B$2,$A16,J$1)="",'(1)鑑'!$E$6,OFFSET('(2)出場選手'!$B$2,$A16,J$1)))</f>
        <v>Orcheria</v>
      </c>
      <c r="K16" s="26" t="str">
        <f ca="1">IF($D16="","",TRIM(ASC(IF(OFFSET('(2)出場選手'!$B$2,$A16,K$1)="",'(1)鑑'!$E$7,OFFSET('(2)出場選手'!$B$2,$A16,K$1)))))</f>
        <v>ｵﾙｹﾘｱ</v>
      </c>
      <c r="L16" s="26" t="str">
        <f ca="1">IF($D16="","",SUBSTITUTE(SUBSTITUTE(SUBSTITUTE(IF(OFFSET('(2)出場選手'!$B$2,$A16,L$1)="",'(1)鑑'!$E$8,OFFSET('(2)出場選手'!$B$2,$A16,L$1)),"県",""),"府",""),"東京都","東京"))</f>
        <v>長崎</v>
      </c>
      <c r="M16" s="57">
        <f ca="1">IF($D16="","",IF(OFFSET('(2)出場選手'!$B$2,$A16,M$1)="","",OFFSET('(2)出場選手'!$B$2,$A16,M$1)))</f>
        <v>40960</v>
      </c>
      <c r="N16" s="26" t="str">
        <f ca="1">IF($D16="","",OFFSET('(2)出場選手'!$B$2,$A16,N$1+3*$B16))</f>
        <v>女子400m</v>
      </c>
      <c r="O16" s="26" t="str">
        <f ca="1">IF($D16="","",IF(OFFSET('(2)出場選手'!$B$2,$A16,O$1+3*$B16)="","",OFFSET('(2)出場選手'!$B$2,$A16,O$1+3*$B16)))</f>
        <v>57.97</v>
      </c>
      <c r="P16" s="26" t="str">
        <f ca="1">IF($D16="","",IF(OFFSET('(2)出場選手'!$B$2,$A16,P$1+3*$B16)="","",OFFSET('(2)出場選手'!$B$2,$A16,P$1+3*$B16)))</f>
        <v/>
      </c>
      <c r="Q16" s="43">
        <f ca="1">IF(D16="","",VLOOKUP(N16,OFFSET(Competition_Events,0,1),11,FALSE)*IF($S16="リレー",IF(COUNTIF($T$3:$T16,$T16)&gt;1,0,1),1))</f>
        <v>900</v>
      </c>
      <c r="R16" s="26">
        <f t="shared" ca="1" si="2"/>
        <v>17</v>
      </c>
      <c r="S16" s="26" t="str">
        <f t="shared" ca="1" si="3"/>
        <v>トラック</v>
      </c>
      <c r="T16" s="26" t="str">
        <f t="shared" ca="1" si="4"/>
        <v>女子400m//</v>
      </c>
      <c r="U16" s="26">
        <f t="shared" ca="1" si="5"/>
        <v>-5796.9999999999991</v>
      </c>
      <c r="W16" s="17" t="str">
        <f ca="1">IF($D16="","",OFFSET('(2)出場選手'!$B$2,$A16,W$1))</f>
        <v>風花</v>
      </c>
      <c r="X16" s="17" t="str">
        <f ca="1">IF($D16="","",OFFSET('(2)出場選手'!$B$2,$A16,X$1))</f>
        <v>菫</v>
      </c>
      <c r="Y16" s="17" t="str">
        <f ca="1">IF($D16="","",OFFSET('(2)出場選手'!$B$2,$A16,Y$1))</f>
        <v>カザハナ</v>
      </c>
      <c r="Z16" s="17" t="str">
        <f ca="1">IF($D16="","",OFFSET('(2)出場選手'!$B$2,$A16,Z$1))</f>
        <v>スミレ</v>
      </c>
    </row>
    <row r="17" spans="1:26" x14ac:dyDescent="0.15">
      <c r="A17" s="17">
        <f>TRUNC((ROWS($D$3:D17)-2)/Max_Entry_Count)+1</f>
        <v>5</v>
      </c>
      <c r="B17" s="17">
        <f ca="1">IF($A17&gt;=ROWS(Entries)-2,"",IF(OFFSET('(2)出場選手'!$B$2,$A17,B$1+3*(MOD(ROWS($D$3:D17)-2,Max_Entry_Count)))="","",MOD(ROWS($D$3:D17)-2,Max_Entry_Count)))</f>
        <v>1</v>
      </c>
      <c r="D17" s="26" t="str">
        <f ca="1">IF(OR($A17&gt;=ROWS(Entries)-2,$B17=""),"",'(1)鑑'!$E$6&amp;"-"&amp;OFFSET('(2)出場選手'!$B$2,$A17,D$1))</f>
        <v>Orcheria-5</v>
      </c>
      <c r="E17" s="26" t="str">
        <f ca="1">IF($D17="","",OFFSET('(2)出場選手'!$B$2,$A17,E$1))</f>
        <v>女子</v>
      </c>
      <c r="F17" s="26" t="str">
        <f ca="1">IF($D17="","",IF(OFFSET('(2)出場選手'!$B$2,$A17,F$1)="","",OFFSET('(2)出場選手'!$B$2,$A17,F$1)))</f>
        <v>8121</v>
      </c>
      <c r="G17" s="26" t="str">
        <f t="shared" ca="1" si="0"/>
        <v>風花　菫</v>
      </c>
      <c r="H17" s="26" t="str">
        <f t="shared" ca="1" si="1"/>
        <v>ｶｻﾞﾊﾅ ｽﾐﾚ</v>
      </c>
      <c r="I17" s="26" t="str">
        <f ca="1">IF($D17="","",IF(OFFSET('(2)出場選手'!$B$2,$A17,I$1)="","",OFFSET('(2)出場選手'!$B$2,$A17,I$1)))</f>
        <v>中3</v>
      </c>
      <c r="J17" s="26" t="str">
        <f ca="1">IF($D17="","",IF(OFFSET('(2)出場選手'!$B$2,$A17,J$1)="",'(1)鑑'!$E$6,OFFSET('(2)出場選手'!$B$2,$A17,J$1)))</f>
        <v>Orcheria</v>
      </c>
      <c r="K17" s="26" t="str">
        <f ca="1">IF($D17="","",TRIM(ASC(IF(OFFSET('(2)出場選手'!$B$2,$A17,K$1)="",'(1)鑑'!$E$7,OFFSET('(2)出場選手'!$B$2,$A17,K$1)))))</f>
        <v>ｵﾙｹﾘｱ</v>
      </c>
      <c r="L17" s="26" t="str">
        <f ca="1">IF($D17="","",SUBSTITUTE(SUBSTITUTE(SUBSTITUTE(IF(OFFSET('(2)出場選手'!$B$2,$A17,L$1)="",'(1)鑑'!$E$8,OFFSET('(2)出場選手'!$B$2,$A17,L$1)),"県",""),"府",""),"東京都","東京"))</f>
        <v>長崎</v>
      </c>
      <c r="M17" s="57">
        <f ca="1">IF($D17="","",IF(OFFSET('(2)出場選手'!$B$2,$A17,M$1)="","",OFFSET('(2)出場選手'!$B$2,$A17,M$1)))</f>
        <v>40960</v>
      </c>
      <c r="N17" s="26" t="str">
        <f ca="1">IF($D17="","",OFFSET('(2)出場選手'!$B$2,$A17,N$1+3*$B17))</f>
        <v>女子1500m</v>
      </c>
      <c r="O17" s="26" t="str">
        <f ca="1">IF($D17="","",IF(OFFSET('(2)出場選手'!$B$2,$A17,O$1+3*$B17)="","",OFFSET('(2)出場選手'!$B$2,$A17,O$1+3*$B17)))</f>
        <v>4:37.22</v>
      </c>
      <c r="P17" s="26" t="str">
        <f ca="1">IF($D17="","",IF(OFFSET('(2)出場選手'!$B$2,$A17,P$1+3*$B17)="","",OFFSET('(2)出場選手'!$B$2,$A17,P$1+3*$B17)))</f>
        <v/>
      </c>
      <c r="Q17" s="43">
        <f ca="1">IF(D17="","",VLOOKUP(N17,OFFSET(Competition_Events,0,1),11,FALSE)*IF($S17="リレー",IF(COUNTIF($T$3:$T17,$T17)&gt;1,0,1),1))</f>
        <v>900</v>
      </c>
      <c r="R17" s="26">
        <f t="shared" ca="1" si="2"/>
        <v>19</v>
      </c>
      <c r="S17" s="26" t="str">
        <f t="shared" ca="1" si="3"/>
        <v>トラック</v>
      </c>
      <c r="T17" s="26" t="str">
        <f t="shared" ca="1" si="4"/>
        <v>女子1500m//</v>
      </c>
      <c r="U17" s="26">
        <f t="shared" ca="1" si="5"/>
        <v>-27722.000000000004</v>
      </c>
      <c r="W17" s="17" t="str">
        <f ca="1">IF($D17="","",OFFSET('(2)出場選手'!$B$2,$A17,W$1))</f>
        <v>風花</v>
      </c>
      <c r="X17" s="17" t="str">
        <f ca="1">IF($D17="","",OFFSET('(2)出場選手'!$B$2,$A17,X$1))</f>
        <v>菫</v>
      </c>
      <c r="Y17" s="17" t="str">
        <f ca="1">IF($D17="","",OFFSET('(2)出場選手'!$B$2,$A17,Y$1))</f>
        <v>カザハナ</v>
      </c>
      <c r="Z17" s="17" t="str">
        <f ca="1">IF($D17="","",OFFSET('(2)出場選手'!$B$2,$A17,Z$1))</f>
        <v>スミレ</v>
      </c>
    </row>
    <row r="18" spans="1:26" x14ac:dyDescent="0.15">
      <c r="A18" s="17">
        <f>TRUNC((ROWS($D$3:D18)-2)/Max_Entry_Count)+1</f>
        <v>5</v>
      </c>
      <c r="B18" s="17" t="str">
        <f ca="1">IF($A18&gt;=ROWS(Entries)-2,"",IF(OFFSET('(2)出場選手'!$B$2,$A18,B$1+3*(MOD(ROWS($D$3:D18)-2,Max_Entry_Count)))="","",MOD(ROWS($D$3:D18)-2,Max_Entry_Count)))</f>
        <v/>
      </c>
      <c r="D18" s="26" t="str">
        <f ca="1">IF(OR($A18&gt;=ROWS(Entries)-2,$B18=""),"",'(1)鑑'!$E$6&amp;"-"&amp;OFFSET('(2)出場選手'!$B$2,$A18,D$1))</f>
        <v/>
      </c>
      <c r="E18" s="26" t="str">
        <f ca="1">IF($D18="","",OFFSET('(2)出場選手'!$B$2,$A18,E$1))</f>
        <v/>
      </c>
      <c r="F18" s="26" t="str">
        <f ca="1">IF($D18="","",IF(OFFSET('(2)出場選手'!$B$2,$A18,F$1)="","",OFFSET('(2)出場選手'!$B$2,$A18,F$1)))</f>
        <v/>
      </c>
      <c r="G18" s="26" t="str">
        <f t="shared" ca="1" si="0"/>
        <v/>
      </c>
      <c r="H18" s="26" t="str">
        <f t="shared" ca="1" si="1"/>
        <v/>
      </c>
      <c r="I18" s="26" t="str">
        <f ca="1">IF($D18="","",IF(OFFSET('(2)出場選手'!$B$2,$A18,I$1)="","",OFFSET('(2)出場選手'!$B$2,$A18,I$1)))</f>
        <v/>
      </c>
      <c r="J18" s="26" t="str">
        <f ca="1">IF($D18="","",IF(OFFSET('(2)出場選手'!$B$2,$A18,J$1)="",'(1)鑑'!$E$6,OFFSET('(2)出場選手'!$B$2,$A18,J$1)))</f>
        <v/>
      </c>
      <c r="K18" s="26" t="str">
        <f ca="1">IF($D18="","",TRIM(ASC(IF(OFFSET('(2)出場選手'!$B$2,$A18,K$1)="",'(1)鑑'!$E$7,OFFSET('(2)出場選手'!$B$2,$A18,K$1)))))</f>
        <v/>
      </c>
      <c r="L18" s="26" t="str">
        <f ca="1">IF($D18="","",SUBSTITUTE(SUBSTITUTE(SUBSTITUTE(IF(OFFSET('(2)出場選手'!$B$2,$A18,L$1)="",'(1)鑑'!$E$8,OFFSET('(2)出場選手'!$B$2,$A18,L$1)),"県",""),"府",""),"東京都","東京"))</f>
        <v/>
      </c>
      <c r="M18" s="57" t="str">
        <f ca="1">IF($D18="","",IF(OFFSET('(2)出場選手'!$B$2,$A18,M$1)="","",OFFSET('(2)出場選手'!$B$2,$A18,M$1)))</f>
        <v/>
      </c>
      <c r="N18" s="26" t="str">
        <f ca="1">IF($D18="","",OFFSET('(2)出場選手'!$B$2,$A18,N$1+3*$B18))</f>
        <v/>
      </c>
      <c r="O18" s="26" t="str">
        <f ca="1">IF($D18="","",IF(OFFSET('(2)出場選手'!$B$2,$A18,O$1+3*$B18)="","",OFFSET('(2)出場選手'!$B$2,$A18,O$1+3*$B18)))</f>
        <v/>
      </c>
      <c r="P18" s="26" t="str">
        <f ca="1">IF($D18="","",IF(OFFSET('(2)出場選手'!$B$2,$A18,P$1+3*$B18)="","",OFFSET('(2)出場選手'!$B$2,$A18,P$1+3*$B18)))</f>
        <v/>
      </c>
      <c r="Q18" s="43" t="str">
        <f ca="1">IF(D18="","",VLOOKUP(N18,OFFSET(Competition_Events,0,1),11,FALSE)*IF($S18="リレー",IF(COUNTIF($T$3:$T18,$T18)&gt;1,0,1),1))</f>
        <v/>
      </c>
      <c r="R18" s="26" t="str">
        <f t="shared" ca="1" si="2"/>
        <v/>
      </c>
      <c r="S18" s="26" t="str">
        <f t="shared" ca="1" si="3"/>
        <v/>
      </c>
      <c r="T18" s="26" t="str">
        <f t="shared" ca="1" si="4"/>
        <v/>
      </c>
      <c r="U18" s="26" t="str">
        <f t="shared" ca="1" si="5"/>
        <v/>
      </c>
      <c r="W18" s="17" t="str">
        <f ca="1">IF($D18="","",OFFSET('(2)出場選手'!$B$2,$A18,W$1))</f>
        <v/>
      </c>
      <c r="X18" s="17" t="str">
        <f ca="1">IF($D18="","",OFFSET('(2)出場選手'!$B$2,$A18,X$1))</f>
        <v/>
      </c>
      <c r="Y18" s="17" t="str">
        <f ca="1">IF($D18="","",OFFSET('(2)出場選手'!$B$2,$A18,Y$1))</f>
        <v/>
      </c>
      <c r="Z18" s="17" t="str">
        <f ca="1">IF($D18="","",OFFSET('(2)出場選手'!$B$2,$A18,Z$1))</f>
        <v/>
      </c>
    </row>
    <row r="19" spans="1:26" x14ac:dyDescent="0.15">
      <c r="A19" s="17">
        <f>TRUNC((ROWS($D$3:D19)-2)/Max_Entry_Count)+1</f>
        <v>6</v>
      </c>
      <c r="B19" s="17" t="str">
        <f ca="1">IF($A19&gt;=ROWS(Entries)-2,"",IF(OFFSET('(2)出場選手'!$B$2,$A19,B$1+3*(MOD(ROWS($D$3:D19)-2,Max_Entry_Count)))="","",MOD(ROWS($D$3:D19)-2,Max_Entry_Count)))</f>
        <v/>
      </c>
      <c r="D19" s="26" t="str">
        <f ca="1">IF(OR($A19&gt;=ROWS(Entries)-2,$B19=""),"",'(1)鑑'!$E$6&amp;"-"&amp;OFFSET('(2)出場選手'!$B$2,$A19,D$1))</f>
        <v/>
      </c>
      <c r="E19" s="26" t="str">
        <f ca="1">IF($D19="","",OFFSET('(2)出場選手'!$B$2,$A19,E$1))</f>
        <v/>
      </c>
      <c r="F19" s="26" t="str">
        <f ca="1">IF($D19="","",IF(OFFSET('(2)出場選手'!$B$2,$A19,F$1)="","",OFFSET('(2)出場選手'!$B$2,$A19,F$1)))</f>
        <v/>
      </c>
      <c r="G19" s="26" t="str">
        <f t="shared" ca="1" si="0"/>
        <v/>
      </c>
      <c r="H19" s="26" t="str">
        <f t="shared" ca="1" si="1"/>
        <v/>
      </c>
      <c r="I19" s="26" t="str">
        <f ca="1">IF($D19="","",IF(OFFSET('(2)出場選手'!$B$2,$A19,I$1)="","",OFFSET('(2)出場選手'!$B$2,$A19,I$1)))</f>
        <v/>
      </c>
      <c r="J19" s="26" t="str">
        <f ca="1">IF($D19="","",IF(OFFSET('(2)出場選手'!$B$2,$A19,J$1)="",'(1)鑑'!$E$6,OFFSET('(2)出場選手'!$B$2,$A19,J$1)))</f>
        <v/>
      </c>
      <c r="K19" s="26" t="str">
        <f ca="1">IF($D19="","",TRIM(ASC(IF(OFFSET('(2)出場選手'!$B$2,$A19,K$1)="",'(1)鑑'!$E$7,OFFSET('(2)出場選手'!$B$2,$A19,K$1)))))</f>
        <v/>
      </c>
      <c r="L19" s="26" t="str">
        <f ca="1">IF($D19="","",SUBSTITUTE(SUBSTITUTE(SUBSTITUTE(IF(OFFSET('(2)出場選手'!$B$2,$A19,L$1)="",'(1)鑑'!$E$8,OFFSET('(2)出場選手'!$B$2,$A19,L$1)),"県",""),"府",""),"東京都","東京"))</f>
        <v/>
      </c>
      <c r="M19" s="57" t="str">
        <f ca="1">IF($D19="","",IF(OFFSET('(2)出場選手'!$B$2,$A19,M$1)="","",OFFSET('(2)出場選手'!$B$2,$A19,M$1)))</f>
        <v/>
      </c>
      <c r="N19" s="26" t="str">
        <f ca="1">IF($D19="","",OFFSET('(2)出場選手'!$B$2,$A19,N$1+3*$B19))</f>
        <v/>
      </c>
      <c r="O19" s="26" t="str">
        <f ca="1">IF($D19="","",IF(OFFSET('(2)出場選手'!$B$2,$A19,O$1+3*$B19)="","",OFFSET('(2)出場選手'!$B$2,$A19,O$1+3*$B19)))</f>
        <v/>
      </c>
      <c r="P19" s="26" t="str">
        <f ca="1">IF($D19="","",IF(OFFSET('(2)出場選手'!$B$2,$A19,P$1+3*$B19)="","",OFFSET('(2)出場選手'!$B$2,$A19,P$1+3*$B19)))</f>
        <v/>
      </c>
      <c r="Q19" s="43" t="str">
        <f ca="1">IF(D19="","",VLOOKUP(N19,OFFSET(Competition_Events,0,1),11,FALSE)*IF($S19="リレー",IF(COUNTIF($T$3:$T19,$T19)&gt;1,0,1),1))</f>
        <v/>
      </c>
      <c r="R19" s="26" t="str">
        <f t="shared" ca="1" si="2"/>
        <v/>
      </c>
      <c r="S19" s="26" t="str">
        <f t="shared" ca="1" si="3"/>
        <v/>
      </c>
      <c r="T19" s="26" t="str">
        <f t="shared" ca="1" si="4"/>
        <v/>
      </c>
      <c r="U19" s="26" t="str">
        <f t="shared" ca="1" si="5"/>
        <v/>
      </c>
      <c r="W19" s="17" t="str">
        <f ca="1">IF($D19="","",OFFSET('(2)出場選手'!$B$2,$A19,W$1))</f>
        <v/>
      </c>
      <c r="X19" s="17" t="str">
        <f ca="1">IF($D19="","",OFFSET('(2)出場選手'!$B$2,$A19,X$1))</f>
        <v/>
      </c>
      <c r="Y19" s="17" t="str">
        <f ca="1">IF($D19="","",OFFSET('(2)出場選手'!$B$2,$A19,Y$1))</f>
        <v/>
      </c>
      <c r="Z19" s="17" t="str">
        <f ca="1">IF($D19="","",OFFSET('(2)出場選手'!$B$2,$A19,Z$1))</f>
        <v/>
      </c>
    </row>
    <row r="20" spans="1:26" x14ac:dyDescent="0.15">
      <c r="A20" s="17">
        <f>TRUNC((ROWS($D$3:D20)-2)/Max_Entry_Count)+1</f>
        <v>6</v>
      </c>
      <c r="B20" s="17" t="str">
        <f ca="1">IF($A20&gt;=ROWS(Entries)-2,"",IF(OFFSET('(2)出場選手'!$B$2,$A20,B$1+3*(MOD(ROWS($D$3:D20)-2,Max_Entry_Count)))="","",MOD(ROWS($D$3:D20)-2,Max_Entry_Count)))</f>
        <v/>
      </c>
      <c r="D20" s="26" t="str">
        <f ca="1">IF(OR($A20&gt;=ROWS(Entries)-2,$B20=""),"",'(1)鑑'!$E$6&amp;"-"&amp;OFFSET('(2)出場選手'!$B$2,$A20,D$1))</f>
        <v/>
      </c>
      <c r="E20" s="26" t="str">
        <f ca="1">IF($D20="","",OFFSET('(2)出場選手'!$B$2,$A20,E$1))</f>
        <v/>
      </c>
      <c r="F20" s="26" t="str">
        <f ca="1">IF($D20="","",IF(OFFSET('(2)出場選手'!$B$2,$A20,F$1)="","",OFFSET('(2)出場選手'!$B$2,$A20,F$1)))</f>
        <v/>
      </c>
      <c r="G20" s="26" t="str">
        <f t="shared" ca="1" si="0"/>
        <v/>
      </c>
      <c r="H20" s="26" t="str">
        <f t="shared" ca="1" si="1"/>
        <v/>
      </c>
      <c r="I20" s="26" t="str">
        <f ca="1">IF($D20="","",IF(OFFSET('(2)出場選手'!$B$2,$A20,I$1)="","",OFFSET('(2)出場選手'!$B$2,$A20,I$1)))</f>
        <v/>
      </c>
      <c r="J20" s="26" t="str">
        <f ca="1">IF($D20="","",IF(OFFSET('(2)出場選手'!$B$2,$A20,J$1)="",'(1)鑑'!$E$6,OFFSET('(2)出場選手'!$B$2,$A20,J$1)))</f>
        <v/>
      </c>
      <c r="K20" s="26" t="str">
        <f ca="1">IF($D20="","",TRIM(ASC(IF(OFFSET('(2)出場選手'!$B$2,$A20,K$1)="",'(1)鑑'!$E$7,OFFSET('(2)出場選手'!$B$2,$A20,K$1)))))</f>
        <v/>
      </c>
      <c r="L20" s="26" t="str">
        <f ca="1">IF($D20="","",SUBSTITUTE(SUBSTITUTE(SUBSTITUTE(IF(OFFSET('(2)出場選手'!$B$2,$A20,L$1)="",'(1)鑑'!$E$8,OFFSET('(2)出場選手'!$B$2,$A20,L$1)),"県",""),"府",""),"東京都","東京"))</f>
        <v/>
      </c>
      <c r="M20" s="57" t="str">
        <f ca="1">IF($D20="","",IF(OFFSET('(2)出場選手'!$B$2,$A20,M$1)="","",OFFSET('(2)出場選手'!$B$2,$A20,M$1)))</f>
        <v/>
      </c>
      <c r="N20" s="26" t="str">
        <f ca="1">IF($D20="","",OFFSET('(2)出場選手'!$B$2,$A20,N$1+3*$B20))</f>
        <v/>
      </c>
      <c r="O20" s="26" t="str">
        <f ca="1">IF($D20="","",IF(OFFSET('(2)出場選手'!$B$2,$A20,O$1+3*$B20)="","",OFFSET('(2)出場選手'!$B$2,$A20,O$1+3*$B20)))</f>
        <v/>
      </c>
      <c r="P20" s="26" t="str">
        <f ca="1">IF($D20="","",IF(OFFSET('(2)出場選手'!$B$2,$A20,P$1+3*$B20)="","",OFFSET('(2)出場選手'!$B$2,$A20,P$1+3*$B20)))</f>
        <v/>
      </c>
      <c r="Q20" s="43" t="str">
        <f ca="1">IF(D20="","",VLOOKUP(N20,OFFSET(Competition_Events,0,1),11,FALSE)*IF($S20="リレー",IF(COUNTIF($T$3:$T20,$T20)&gt;1,0,1),1))</f>
        <v/>
      </c>
      <c r="R20" s="26" t="str">
        <f t="shared" ca="1" si="2"/>
        <v/>
      </c>
      <c r="S20" s="26" t="str">
        <f t="shared" ca="1" si="3"/>
        <v/>
      </c>
      <c r="T20" s="26" t="str">
        <f t="shared" ca="1" si="4"/>
        <v/>
      </c>
      <c r="U20" s="26" t="str">
        <f t="shared" ca="1" si="5"/>
        <v/>
      </c>
      <c r="W20" s="17" t="str">
        <f ca="1">IF($D20="","",OFFSET('(2)出場選手'!$B$2,$A20,W$1))</f>
        <v/>
      </c>
      <c r="X20" s="17" t="str">
        <f ca="1">IF($D20="","",OFFSET('(2)出場選手'!$B$2,$A20,X$1))</f>
        <v/>
      </c>
      <c r="Y20" s="17" t="str">
        <f ca="1">IF($D20="","",OFFSET('(2)出場選手'!$B$2,$A20,Y$1))</f>
        <v/>
      </c>
      <c r="Z20" s="17" t="str">
        <f ca="1">IF($D20="","",OFFSET('(2)出場選手'!$B$2,$A20,Z$1))</f>
        <v/>
      </c>
    </row>
    <row r="21" spans="1:26" x14ac:dyDescent="0.15">
      <c r="A21" s="17">
        <f>TRUNC((ROWS($D$3:D21)-2)/Max_Entry_Count)+1</f>
        <v>6</v>
      </c>
      <c r="B21" s="17" t="str">
        <f ca="1">IF($A21&gt;=ROWS(Entries)-2,"",IF(OFFSET('(2)出場選手'!$B$2,$A21,B$1+3*(MOD(ROWS($D$3:D21)-2,Max_Entry_Count)))="","",MOD(ROWS($D$3:D21)-2,Max_Entry_Count)))</f>
        <v/>
      </c>
      <c r="D21" s="26" t="str">
        <f ca="1">IF(OR($A21&gt;=ROWS(Entries)-2,$B21=""),"",'(1)鑑'!$E$6&amp;"-"&amp;OFFSET('(2)出場選手'!$B$2,$A21,D$1))</f>
        <v/>
      </c>
      <c r="E21" s="26" t="str">
        <f ca="1">IF($D21="","",OFFSET('(2)出場選手'!$B$2,$A21,E$1))</f>
        <v/>
      </c>
      <c r="F21" s="26" t="str">
        <f ca="1">IF($D21="","",IF(OFFSET('(2)出場選手'!$B$2,$A21,F$1)="","",OFFSET('(2)出場選手'!$B$2,$A21,F$1)))</f>
        <v/>
      </c>
      <c r="G21" s="26" t="str">
        <f t="shared" ca="1" si="0"/>
        <v/>
      </c>
      <c r="H21" s="26" t="str">
        <f t="shared" ca="1" si="1"/>
        <v/>
      </c>
      <c r="I21" s="26" t="str">
        <f ca="1">IF($D21="","",IF(OFFSET('(2)出場選手'!$B$2,$A21,I$1)="","",OFFSET('(2)出場選手'!$B$2,$A21,I$1)))</f>
        <v/>
      </c>
      <c r="J21" s="26" t="str">
        <f ca="1">IF($D21="","",IF(OFFSET('(2)出場選手'!$B$2,$A21,J$1)="",'(1)鑑'!$E$6,OFFSET('(2)出場選手'!$B$2,$A21,J$1)))</f>
        <v/>
      </c>
      <c r="K21" s="26" t="str">
        <f ca="1">IF($D21="","",TRIM(ASC(IF(OFFSET('(2)出場選手'!$B$2,$A21,K$1)="",'(1)鑑'!$E$7,OFFSET('(2)出場選手'!$B$2,$A21,K$1)))))</f>
        <v/>
      </c>
      <c r="L21" s="26" t="str">
        <f ca="1">IF($D21="","",SUBSTITUTE(SUBSTITUTE(SUBSTITUTE(IF(OFFSET('(2)出場選手'!$B$2,$A21,L$1)="",'(1)鑑'!$E$8,OFFSET('(2)出場選手'!$B$2,$A21,L$1)),"県",""),"府",""),"東京都","東京"))</f>
        <v/>
      </c>
      <c r="M21" s="57" t="str">
        <f ca="1">IF($D21="","",IF(OFFSET('(2)出場選手'!$B$2,$A21,M$1)="","",OFFSET('(2)出場選手'!$B$2,$A21,M$1)))</f>
        <v/>
      </c>
      <c r="N21" s="26" t="str">
        <f ca="1">IF($D21="","",OFFSET('(2)出場選手'!$B$2,$A21,N$1+3*$B21))</f>
        <v/>
      </c>
      <c r="O21" s="26" t="str">
        <f ca="1">IF($D21="","",IF(OFFSET('(2)出場選手'!$B$2,$A21,O$1+3*$B21)="","",OFFSET('(2)出場選手'!$B$2,$A21,O$1+3*$B21)))</f>
        <v/>
      </c>
      <c r="P21" s="26" t="str">
        <f ca="1">IF($D21="","",IF(OFFSET('(2)出場選手'!$B$2,$A21,P$1+3*$B21)="","",OFFSET('(2)出場選手'!$B$2,$A21,P$1+3*$B21)))</f>
        <v/>
      </c>
      <c r="Q21" s="43" t="str">
        <f ca="1">IF(D21="","",VLOOKUP(N21,OFFSET(Competition_Events,0,1),11,FALSE)*IF($S21="リレー",IF(COUNTIF($T$3:$T21,$T21)&gt;1,0,1),1))</f>
        <v/>
      </c>
      <c r="R21" s="26" t="str">
        <f t="shared" ca="1" si="2"/>
        <v/>
      </c>
      <c r="S21" s="26" t="str">
        <f t="shared" ca="1" si="3"/>
        <v/>
      </c>
      <c r="T21" s="26" t="str">
        <f t="shared" ca="1" si="4"/>
        <v/>
      </c>
      <c r="U21" s="26" t="str">
        <f t="shared" ca="1" si="5"/>
        <v/>
      </c>
      <c r="W21" s="17" t="str">
        <f ca="1">IF($D21="","",OFFSET('(2)出場選手'!$B$2,$A21,W$1))</f>
        <v/>
      </c>
      <c r="X21" s="17" t="str">
        <f ca="1">IF($D21="","",OFFSET('(2)出場選手'!$B$2,$A21,X$1))</f>
        <v/>
      </c>
      <c r="Y21" s="17" t="str">
        <f ca="1">IF($D21="","",OFFSET('(2)出場選手'!$B$2,$A21,Y$1))</f>
        <v/>
      </c>
      <c r="Z21" s="17" t="str">
        <f ca="1">IF($D21="","",OFFSET('(2)出場選手'!$B$2,$A21,Z$1))</f>
        <v/>
      </c>
    </row>
    <row r="22" spans="1:26" x14ac:dyDescent="0.15">
      <c r="A22" s="17">
        <f>TRUNC((ROWS($D$3:D22)-2)/Max_Entry_Count)+1</f>
        <v>7</v>
      </c>
      <c r="B22" s="17" t="str">
        <f ca="1">IF($A22&gt;=ROWS(Entries)-2,"",IF(OFFSET('(2)出場選手'!$B$2,$A22,B$1+3*(MOD(ROWS($D$3:D22)-2,Max_Entry_Count)))="","",MOD(ROWS($D$3:D22)-2,Max_Entry_Count)))</f>
        <v/>
      </c>
      <c r="D22" s="26" t="str">
        <f ca="1">IF(OR($A22&gt;=ROWS(Entries)-2,$B22=""),"",'(1)鑑'!$E$6&amp;"-"&amp;OFFSET('(2)出場選手'!$B$2,$A22,D$1))</f>
        <v/>
      </c>
      <c r="E22" s="26" t="str">
        <f ca="1">IF($D22="","",OFFSET('(2)出場選手'!$B$2,$A22,E$1))</f>
        <v/>
      </c>
      <c r="F22" s="26" t="str">
        <f ca="1">IF($D22="","",IF(OFFSET('(2)出場選手'!$B$2,$A22,F$1)="","",OFFSET('(2)出場選手'!$B$2,$A22,F$1)))</f>
        <v/>
      </c>
      <c r="G22" s="26" t="str">
        <f t="shared" ca="1" si="0"/>
        <v/>
      </c>
      <c r="H22" s="26" t="str">
        <f t="shared" ca="1" si="1"/>
        <v/>
      </c>
      <c r="I22" s="26" t="str">
        <f ca="1">IF($D22="","",IF(OFFSET('(2)出場選手'!$B$2,$A22,I$1)="","",OFFSET('(2)出場選手'!$B$2,$A22,I$1)))</f>
        <v/>
      </c>
      <c r="J22" s="26" t="str">
        <f ca="1">IF($D22="","",IF(OFFSET('(2)出場選手'!$B$2,$A22,J$1)="",'(1)鑑'!$E$6,OFFSET('(2)出場選手'!$B$2,$A22,J$1)))</f>
        <v/>
      </c>
      <c r="K22" s="26" t="str">
        <f ca="1">IF($D22="","",TRIM(ASC(IF(OFFSET('(2)出場選手'!$B$2,$A22,K$1)="",'(1)鑑'!$E$7,OFFSET('(2)出場選手'!$B$2,$A22,K$1)))))</f>
        <v/>
      </c>
      <c r="L22" s="26" t="str">
        <f ca="1">IF($D22="","",SUBSTITUTE(SUBSTITUTE(SUBSTITUTE(IF(OFFSET('(2)出場選手'!$B$2,$A22,L$1)="",'(1)鑑'!$E$8,OFFSET('(2)出場選手'!$B$2,$A22,L$1)),"県",""),"府",""),"東京都","東京"))</f>
        <v/>
      </c>
      <c r="M22" s="57" t="str">
        <f ca="1">IF($D22="","",IF(OFFSET('(2)出場選手'!$B$2,$A22,M$1)="","",OFFSET('(2)出場選手'!$B$2,$A22,M$1)))</f>
        <v/>
      </c>
      <c r="N22" s="26" t="str">
        <f ca="1">IF($D22="","",OFFSET('(2)出場選手'!$B$2,$A22,N$1+3*$B22))</f>
        <v/>
      </c>
      <c r="O22" s="26" t="str">
        <f ca="1">IF($D22="","",IF(OFFSET('(2)出場選手'!$B$2,$A22,O$1+3*$B22)="","",OFFSET('(2)出場選手'!$B$2,$A22,O$1+3*$B22)))</f>
        <v/>
      </c>
      <c r="P22" s="26" t="str">
        <f ca="1">IF($D22="","",IF(OFFSET('(2)出場選手'!$B$2,$A22,P$1+3*$B22)="","",OFFSET('(2)出場選手'!$B$2,$A22,P$1+3*$B22)))</f>
        <v/>
      </c>
      <c r="Q22" s="43" t="str">
        <f ca="1">IF(D22="","",VLOOKUP(N22,OFFSET(Competition_Events,0,1),11,FALSE)*IF($S22="リレー",IF(COUNTIF($T$3:$T22,$T22)&gt;1,0,1),1))</f>
        <v/>
      </c>
      <c r="R22" s="26" t="str">
        <f t="shared" ca="1" si="2"/>
        <v/>
      </c>
      <c r="S22" s="26" t="str">
        <f t="shared" ca="1" si="3"/>
        <v/>
      </c>
      <c r="T22" s="26" t="str">
        <f t="shared" ca="1" si="4"/>
        <v/>
      </c>
      <c r="U22" s="26" t="str">
        <f t="shared" ca="1" si="5"/>
        <v/>
      </c>
      <c r="W22" s="17" t="str">
        <f ca="1">IF($D22="","",OFFSET('(2)出場選手'!$B$2,$A22,W$1))</f>
        <v/>
      </c>
      <c r="X22" s="17" t="str">
        <f ca="1">IF($D22="","",OFFSET('(2)出場選手'!$B$2,$A22,X$1))</f>
        <v/>
      </c>
      <c r="Y22" s="17" t="str">
        <f ca="1">IF($D22="","",OFFSET('(2)出場選手'!$B$2,$A22,Y$1))</f>
        <v/>
      </c>
      <c r="Z22" s="17" t="str">
        <f ca="1">IF($D22="","",OFFSET('(2)出場選手'!$B$2,$A22,Z$1))</f>
        <v/>
      </c>
    </row>
    <row r="23" spans="1:26" x14ac:dyDescent="0.15">
      <c r="A23" s="17">
        <f>TRUNC((ROWS($D$3:D23)-2)/Max_Entry_Count)+1</f>
        <v>7</v>
      </c>
      <c r="B23" s="17" t="str">
        <f ca="1">IF($A23&gt;=ROWS(Entries)-2,"",IF(OFFSET('(2)出場選手'!$B$2,$A23,B$1+3*(MOD(ROWS($D$3:D23)-2,Max_Entry_Count)))="","",MOD(ROWS($D$3:D23)-2,Max_Entry_Count)))</f>
        <v/>
      </c>
      <c r="D23" s="26" t="str">
        <f ca="1">IF(OR($A23&gt;=ROWS(Entries)-2,$B23=""),"",'(1)鑑'!$E$6&amp;"-"&amp;OFFSET('(2)出場選手'!$B$2,$A23,D$1))</f>
        <v/>
      </c>
      <c r="E23" s="26" t="str">
        <f ca="1">IF($D23="","",OFFSET('(2)出場選手'!$B$2,$A23,E$1))</f>
        <v/>
      </c>
      <c r="F23" s="26" t="str">
        <f ca="1">IF($D23="","",IF(OFFSET('(2)出場選手'!$B$2,$A23,F$1)="","",OFFSET('(2)出場選手'!$B$2,$A23,F$1)))</f>
        <v/>
      </c>
      <c r="G23" s="26" t="str">
        <f t="shared" ca="1" si="0"/>
        <v/>
      </c>
      <c r="H23" s="26" t="str">
        <f t="shared" ca="1" si="1"/>
        <v/>
      </c>
      <c r="I23" s="26" t="str">
        <f ca="1">IF($D23="","",IF(OFFSET('(2)出場選手'!$B$2,$A23,I$1)="","",OFFSET('(2)出場選手'!$B$2,$A23,I$1)))</f>
        <v/>
      </c>
      <c r="J23" s="26" t="str">
        <f ca="1">IF($D23="","",IF(OFFSET('(2)出場選手'!$B$2,$A23,J$1)="",'(1)鑑'!$E$6,OFFSET('(2)出場選手'!$B$2,$A23,J$1)))</f>
        <v/>
      </c>
      <c r="K23" s="26" t="str">
        <f ca="1">IF($D23="","",TRIM(ASC(IF(OFFSET('(2)出場選手'!$B$2,$A23,K$1)="",'(1)鑑'!$E$7,OFFSET('(2)出場選手'!$B$2,$A23,K$1)))))</f>
        <v/>
      </c>
      <c r="L23" s="26" t="str">
        <f ca="1">IF($D23="","",SUBSTITUTE(SUBSTITUTE(SUBSTITUTE(IF(OFFSET('(2)出場選手'!$B$2,$A23,L$1)="",'(1)鑑'!$E$8,OFFSET('(2)出場選手'!$B$2,$A23,L$1)),"県",""),"府",""),"東京都","東京"))</f>
        <v/>
      </c>
      <c r="M23" s="57" t="str">
        <f ca="1">IF($D23="","",IF(OFFSET('(2)出場選手'!$B$2,$A23,M$1)="","",OFFSET('(2)出場選手'!$B$2,$A23,M$1)))</f>
        <v/>
      </c>
      <c r="N23" s="26" t="str">
        <f ca="1">IF($D23="","",OFFSET('(2)出場選手'!$B$2,$A23,N$1+3*$B23))</f>
        <v/>
      </c>
      <c r="O23" s="26" t="str">
        <f ca="1">IF($D23="","",IF(OFFSET('(2)出場選手'!$B$2,$A23,O$1+3*$B23)="","",OFFSET('(2)出場選手'!$B$2,$A23,O$1+3*$B23)))</f>
        <v/>
      </c>
      <c r="P23" s="26" t="str">
        <f ca="1">IF($D23="","",IF(OFFSET('(2)出場選手'!$B$2,$A23,P$1+3*$B23)="","",OFFSET('(2)出場選手'!$B$2,$A23,P$1+3*$B23)))</f>
        <v/>
      </c>
      <c r="Q23" s="43" t="str">
        <f ca="1">IF(D23="","",VLOOKUP(N23,OFFSET(Competition_Events,0,1),11,FALSE)*IF($S23="リレー",IF(COUNTIF($T$3:$T23,$T23)&gt;1,0,1),1))</f>
        <v/>
      </c>
      <c r="R23" s="26" t="str">
        <f t="shared" ca="1" si="2"/>
        <v/>
      </c>
      <c r="S23" s="26" t="str">
        <f t="shared" ca="1" si="3"/>
        <v/>
      </c>
      <c r="T23" s="26" t="str">
        <f t="shared" ca="1" si="4"/>
        <v/>
      </c>
      <c r="U23" s="26" t="str">
        <f t="shared" ca="1" si="5"/>
        <v/>
      </c>
      <c r="W23" s="17" t="str">
        <f ca="1">IF($D23="","",OFFSET('(2)出場選手'!$B$2,$A23,W$1))</f>
        <v/>
      </c>
      <c r="X23" s="17" t="str">
        <f ca="1">IF($D23="","",OFFSET('(2)出場選手'!$B$2,$A23,X$1))</f>
        <v/>
      </c>
      <c r="Y23" s="17" t="str">
        <f ca="1">IF($D23="","",OFFSET('(2)出場選手'!$B$2,$A23,Y$1))</f>
        <v/>
      </c>
      <c r="Z23" s="17" t="str">
        <f ca="1">IF($D23="","",OFFSET('(2)出場選手'!$B$2,$A23,Z$1))</f>
        <v/>
      </c>
    </row>
    <row r="24" spans="1:26" x14ac:dyDescent="0.15">
      <c r="A24" s="17">
        <f>TRUNC((ROWS($D$3:D24)-2)/Max_Entry_Count)+1</f>
        <v>7</v>
      </c>
      <c r="B24" s="17" t="str">
        <f ca="1">IF($A24&gt;=ROWS(Entries)-2,"",IF(OFFSET('(2)出場選手'!$B$2,$A24,B$1+3*(MOD(ROWS($D$3:D24)-2,Max_Entry_Count)))="","",MOD(ROWS($D$3:D24)-2,Max_Entry_Count)))</f>
        <v/>
      </c>
      <c r="D24" s="26" t="str">
        <f ca="1">IF(OR($A24&gt;=ROWS(Entries)-2,$B24=""),"",'(1)鑑'!$E$6&amp;"-"&amp;OFFSET('(2)出場選手'!$B$2,$A24,D$1))</f>
        <v/>
      </c>
      <c r="E24" s="26" t="str">
        <f ca="1">IF($D24="","",OFFSET('(2)出場選手'!$B$2,$A24,E$1))</f>
        <v/>
      </c>
      <c r="F24" s="26" t="str">
        <f ca="1">IF($D24="","",IF(OFFSET('(2)出場選手'!$B$2,$A24,F$1)="","",OFFSET('(2)出場選手'!$B$2,$A24,F$1)))</f>
        <v/>
      </c>
      <c r="G24" s="26" t="str">
        <f t="shared" ca="1" si="0"/>
        <v/>
      </c>
      <c r="H24" s="26" t="str">
        <f t="shared" ca="1" si="1"/>
        <v/>
      </c>
      <c r="I24" s="26" t="str">
        <f ca="1">IF($D24="","",IF(OFFSET('(2)出場選手'!$B$2,$A24,I$1)="","",OFFSET('(2)出場選手'!$B$2,$A24,I$1)))</f>
        <v/>
      </c>
      <c r="J24" s="26" t="str">
        <f ca="1">IF($D24="","",IF(OFFSET('(2)出場選手'!$B$2,$A24,J$1)="",'(1)鑑'!$E$6,OFFSET('(2)出場選手'!$B$2,$A24,J$1)))</f>
        <v/>
      </c>
      <c r="K24" s="26" t="str">
        <f ca="1">IF($D24="","",TRIM(ASC(IF(OFFSET('(2)出場選手'!$B$2,$A24,K$1)="",'(1)鑑'!$E$7,OFFSET('(2)出場選手'!$B$2,$A24,K$1)))))</f>
        <v/>
      </c>
      <c r="L24" s="26" t="str">
        <f ca="1">IF($D24="","",SUBSTITUTE(SUBSTITUTE(SUBSTITUTE(IF(OFFSET('(2)出場選手'!$B$2,$A24,L$1)="",'(1)鑑'!$E$8,OFFSET('(2)出場選手'!$B$2,$A24,L$1)),"県",""),"府",""),"東京都","東京"))</f>
        <v/>
      </c>
      <c r="M24" s="57" t="str">
        <f ca="1">IF($D24="","",IF(OFFSET('(2)出場選手'!$B$2,$A24,M$1)="","",OFFSET('(2)出場選手'!$B$2,$A24,M$1)))</f>
        <v/>
      </c>
      <c r="N24" s="26" t="str">
        <f ca="1">IF($D24="","",OFFSET('(2)出場選手'!$B$2,$A24,N$1+3*$B24))</f>
        <v/>
      </c>
      <c r="O24" s="26" t="str">
        <f ca="1">IF($D24="","",IF(OFFSET('(2)出場選手'!$B$2,$A24,O$1+3*$B24)="","",OFFSET('(2)出場選手'!$B$2,$A24,O$1+3*$B24)))</f>
        <v/>
      </c>
      <c r="P24" s="26" t="str">
        <f ca="1">IF($D24="","",IF(OFFSET('(2)出場選手'!$B$2,$A24,P$1+3*$B24)="","",OFFSET('(2)出場選手'!$B$2,$A24,P$1+3*$B24)))</f>
        <v/>
      </c>
      <c r="Q24" s="43" t="str">
        <f ca="1">IF(D24="","",VLOOKUP(N24,OFFSET(Competition_Events,0,1),11,FALSE)*IF($S24="リレー",IF(COUNTIF($T$3:$T24,$T24)&gt;1,0,1),1))</f>
        <v/>
      </c>
      <c r="R24" s="26" t="str">
        <f t="shared" ca="1" si="2"/>
        <v/>
      </c>
      <c r="S24" s="26" t="str">
        <f t="shared" ca="1" si="3"/>
        <v/>
      </c>
      <c r="T24" s="26" t="str">
        <f t="shared" ca="1" si="4"/>
        <v/>
      </c>
      <c r="U24" s="26" t="str">
        <f t="shared" ca="1" si="5"/>
        <v/>
      </c>
      <c r="W24" s="17" t="str">
        <f ca="1">IF($D24="","",OFFSET('(2)出場選手'!$B$2,$A24,W$1))</f>
        <v/>
      </c>
      <c r="X24" s="17" t="str">
        <f ca="1">IF($D24="","",OFFSET('(2)出場選手'!$B$2,$A24,X$1))</f>
        <v/>
      </c>
      <c r="Y24" s="17" t="str">
        <f ca="1">IF($D24="","",OFFSET('(2)出場選手'!$B$2,$A24,Y$1))</f>
        <v/>
      </c>
      <c r="Z24" s="17" t="str">
        <f ca="1">IF($D24="","",OFFSET('(2)出場選手'!$B$2,$A24,Z$1))</f>
        <v/>
      </c>
    </row>
    <row r="25" spans="1:26" x14ac:dyDescent="0.15">
      <c r="A25" s="17">
        <f>TRUNC((ROWS($D$3:D25)-2)/Max_Entry_Count)+1</f>
        <v>8</v>
      </c>
      <c r="B25" s="17" t="str">
        <f ca="1">IF($A25&gt;=ROWS(Entries)-2,"",IF(OFFSET('(2)出場選手'!$B$2,$A25,B$1+3*(MOD(ROWS($D$3:D25)-2,Max_Entry_Count)))="","",MOD(ROWS($D$3:D25)-2,Max_Entry_Count)))</f>
        <v/>
      </c>
      <c r="D25" s="26" t="str">
        <f ca="1">IF(OR($A25&gt;=ROWS(Entries)-2,$B25=""),"",'(1)鑑'!$E$6&amp;"-"&amp;OFFSET('(2)出場選手'!$B$2,$A25,D$1))</f>
        <v/>
      </c>
      <c r="E25" s="26" t="str">
        <f ca="1">IF($D25="","",OFFSET('(2)出場選手'!$B$2,$A25,E$1))</f>
        <v/>
      </c>
      <c r="F25" s="26" t="str">
        <f ca="1">IF($D25="","",IF(OFFSET('(2)出場選手'!$B$2,$A25,F$1)="","",OFFSET('(2)出場選手'!$B$2,$A25,F$1)))</f>
        <v/>
      </c>
      <c r="G25" s="26" t="str">
        <f t="shared" ca="1" si="0"/>
        <v/>
      </c>
      <c r="H25" s="26" t="str">
        <f t="shared" ca="1" si="1"/>
        <v/>
      </c>
      <c r="I25" s="26" t="str">
        <f ca="1">IF($D25="","",IF(OFFSET('(2)出場選手'!$B$2,$A25,I$1)="","",OFFSET('(2)出場選手'!$B$2,$A25,I$1)))</f>
        <v/>
      </c>
      <c r="J25" s="26" t="str">
        <f ca="1">IF($D25="","",IF(OFFSET('(2)出場選手'!$B$2,$A25,J$1)="",'(1)鑑'!$E$6,OFFSET('(2)出場選手'!$B$2,$A25,J$1)))</f>
        <v/>
      </c>
      <c r="K25" s="26" t="str">
        <f ca="1">IF($D25="","",TRIM(ASC(IF(OFFSET('(2)出場選手'!$B$2,$A25,K$1)="",'(1)鑑'!$E$7,OFFSET('(2)出場選手'!$B$2,$A25,K$1)))))</f>
        <v/>
      </c>
      <c r="L25" s="26" t="str">
        <f ca="1">IF($D25="","",SUBSTITUTE(SUBSTITUTE(SUBSTITUTE(IF(OFFSET('(2)出場選手'!$B$2,$A25,L$1)="",'(1)鑑'!$E$8,OFFSET('(2)出場選手'!$B$2,$A25,L$1)),"県",""),"府",""),"東京都","東京"))</f>
        <v/>
      </c>
      <c r="M25" s="57" t="str">
        <f ca="1">IF($D25="","",IF(OFFSET('(2)出場選手'!$B$2,$A25,M$1)="","",OFFSET('(2)出場選手'!$B$2,$A25,M$1)))</f>
        <v/>
      </c>
      <c r="N25" s="26" t="str">
        <f ca="1">IF($D25="","",OFFSET('(2)出場選手'!$B$2,$A25,N$1+3*$B25))</f>
        <v/>
      </c>
      <c r="O25" s="26" t="str">
        <f ca="1">IF($D25="","",IF(OFFSET('(2)出場選手'!$B$2,$A25,O$1+3*$B25)="","",OFFSET('(2)出場選手'!$B$2,$A25,O$1+3*$B25)))</f>
        <v/>
      </c>
      <c r="P25" s="26" t="str">
        <f ca="1">IF($D25="","",IF(OFFSET('(2)出場選手'!$B$2,$A25,P$1+3*$B25)="","",OFFSET('(2)出場選手'!$B$2,$A25,P$1+3*$B25)))</f>
        <v/>
      </c>
      <c r="Q25" s="43" t="str">
        <f ca="1">IF(D25="","",VLOOKUP(N25,OFFSET(Competition_Events,0,1),11,FALSE)*IF($S25="リレー",IF(COUNTIF($T$3:$T25,$T25)&gt;1,0,1),1))</f>
        <v/>
      </c>
      <c r="R25" s="26" t="str">
        <f t="shared" ca="1" si="2"/>
        <v/>
      </c>
      <c r="S25" s="26" t="str">
        <f t="shared" ca="1" si="3"/>
        <v/>
      </c>
      <c r="T25" s="26" t="str">
        <f t="shared" ca="1" si="4"/>
        <v/>
      </c>
      <c r="U25" s="26" t="str">
        <f t="shared" ca="1" si="5"/>
        <v/>
      </c>
      <c r="W25" s="17" t="str">
        <f ca="1">IF($D25="","",OFFSET('(2)出場選手'!$B$2,$A25,W$1))</f>
        <v/>
      </c>
      <c r="X25" s="17" t="str">
        <f ca="1">IF($D25="","",OFFSET('(2)出場選手'!$B$2,$A25,X$1))</f>
        <v/>
      </c>
      <c r="Y25" s="17" t="str">
        <f ca="1">IF($D25="","",OFFSET('(2)出場選手'!$B$2,$A25,Y$1))</f>
        <v/>
      </c>
      <c r="Z25" s="17" t="str">
        <f ca="1">IF($D25="","",OFFSET('(2)出場選手'!$B$2,$A25,Z$1))</f>
        <v/>
      </c>
    </row>
    <row r="26" spans="1:26" x14ac:dyDescent="0.15">
      <c r="A26" s="17">
        <f>TRUNC((ROWS($D$3:D26)-2)/Max_Entry_Count)+1</f>
        <v>8</v>
      </c>
      <c r="B26" s="17" t="str">
        <f ca="1">IF($A26&gt;=ROWS(Entries)-2,"",IF(OFFSET('(2)出場選手'!$B$2,$A26,B$1+3*(MOD(ROWS($D$3:D26)-2,Max_Entry_Count)))="","",MOD(ROWS($D$3:D26)-2,Max_Entry_Count)))</f>
        <v/>
      </c>
      <c r="D26" s="26" t="str">
        <f ca="1">IF(OR($A26&gt;=ROWS(Entries)-2,$B26=""),"",'(1)鑑'!$E$6&amp;"-"&amp;OFFSET('(2)出場選手'!$B$2,$A26,D$1))</f>
        <v/>
      </c>
      <c r="E26" s="26" t="str">
        <f ca="1">IF($D26="","",OFFSET('(2)出場選手'!$B$2,$A26,E$1))</f>
        <v/>
      </c>
      <c r="F26" s="26" t="str">
        <f ca="1">IF($D26="","",IF(OFFSET('(2)出場選手'!$B$2,$A26,F$1)="","",OFFSET('(2)出場選手'!$B$2,$A26,F$1)))</f>
        <v/>
      </c>
      <c r="G26" s="26" t="str">
        <f t="shared" ca="1" si="0"/>
        <v/>
      </c>
      <c r="H26" s="26" t="str">
        <f t="shared" ca="1" si="1"/>
        <v/>
      </c>
      <c r="I26" s="26" t="str">
        <f ca="1">IF($D26="","",IF(OFFSET('(2)出場選手'!$B$2,$A26,I$1)="","",OFFSET('(2)出場選手'!$B$2,$A26,I$1)))</f>
        <v/>
      </c>
      <c r="J26" s="26" t="str">
        <f ca="1">IF($D26="","",IF(OFFSET('(2)出場選手'!$B$2,$A26,J$1)="",'(1)鑑'!$E$6,OFFSET('(2)出場選手'!$B$2,$A26,J$1)))</f>
        <v/>
      </c>
      <c r="K26" s="26" t="str">
        <f ca="1">IF($D26="","",TRIM(ASC(IF(OFFSET('(2)出場選手'!$B$2,$A26,K$1)="",'(1)鑑'!$E$7,OFFSET('(2)出場選手'!$B$2,$A26,K$1)))))</f>
        <v/>
      </c>
      <c r="L26" s="26" t="str">
        <f ca="1">IF($D26="","",SUBSTITUTE(SUBSTITUTE(SUBSTITUTE(IF(OFFSET('(2)出場選手'!$B$2,$A26,L$1)="",'(1)鑑'!$E$8,OFFSET('(2)出場選手'!$B$2,$A26,L$1)),"県",""),"府",""),"東京都","東京"))</f>
        <v/>
      </c>
      <c r="M26" s="57" t="str">
        <f ca="1">IF($D26="","",IF(OFFSET('(2)出場選手'!$B$2,$A26,M$1)="","",OFFSET('(2)出場選手'!$B$2,$A26,M$1)))</f>
        <v/>
      </c>
      <c r="N26" s="26" t="str">
        <f ca="1">IF($D26="","",OFFSET('(2)出場選手'!$B$2,$A26,N$1+3*$B26))</f>
        <v/>
      </c>
      <c r="O26" s="26" t="str">
        <f ca="1">IF($D26="","",IF(OFFSET('(2)出場選手'!$B$2,$A26,O$1+3*$B26)="","",OFFSET('(2)出場選手'!$B$2,$A26,O$1+3*$B26)))</f>
        <v/>
      </c>
      <c r="P26" s="26" t="str">
        <f ca="1">IF($D26="","",IF(OFFSET('(2)出場選手'!$B$2,$A26,P$1+3*$B26)="","",OFFSET('(2)出場選手'!$B$2,$A26,P$1+3*$B26)))</f>
        <v/>
      </c>
      <c r="Q26" s="43" t="str">
        <f ca="1">IF(D26="","",VLOOKUP(N26,OFFSET(Competition_Events,0,1),11,FALSE)*IF($S26="リレー",IF(COUNTIF($T$3:$T26,$T26)&gt;1,0,1),1))</f>
        <v/>
      </c>
      <c r="R26" s="26" t="str">
        <f t="shared" ca="1" si="2"/>
        <v/>
      </c>
      <c r="S26" s="26" t="str">
        <f t="shared" ca="1" si="3"/>
        <v/>
      </c>
      <c r="T26" s="26" t="str">
        <f t="shared" ca="1" si="4"/>
        <v/>
      </c>
      <c r="U26" s="26" t="str">
        <f t="shared" ca="1" si="5"/>
        <v/>
      </c>
      <c r="W26" s="17" t="str">
        <f ca="1">IF($D26="","",OFFSET('(2)出場選手'!$B$2,$A26,W$1))</f>
        <v/>
      </c>
      <c r="X26" s="17" t="str">
        <f ca="1">IF($D26="","",OFFSET('(2)出場選手'!$B$2,$A26,X$1))</f>
        <v/>
      </c>
      <c r="Y26" s="17" t="str">
        <f ca="1">IF($D26="","",OFFSET('(2)出場選手'!$B$2,$A26,Y$1))</f>
        <v/>
      </c>
      <c r="Z26" s="17" t="str">
        <f ca="1">IF($D26="","",OFFSET('(2)出場選手'!$B$2,$A26,Z$1))</f>
        <v/>
      </c>
    </row>
    <row r="27" spans="1:26" x14ac:dyDescent="0.15">
      <c r="A27" s="17">
        <f>TRUNC((ROWS($D$3:D27)-2)/Max_Entry_Count)+1</f>
        <v>8</v>
      </c>
      <c r="B27" s="17" t="str">
        <f ca="1">IF($A27&gt;=ROWS(Entries)-2,"",IF(OFFSET('(2)出場選手'!$B$2,$A27,B$1+3*(MOD(ROWS($D$3:D27)-2,Max_Entry_Count)))="","",MOD(ROWS($D$3:D27)-2,Max_Entry_Count)))</f>
        <v/>
      </c>
      <c r="D27" s="26" t="str">
        <f ca="1">IF(OR($A27&gt;=ROWS(Entries)-2,$B27=""),"",'(1)鑑'!$E$6&amp;"-"&amp;OFFSET('(2)出場選手'!$B$2,$A27,D$1))</f>
        <v/>
      </c>
      <c r="E27" s="26" t="str">
        <f ca="1">IF($D27="","",OFFSET('(2)出場選手'!$B$2,$A27,E$1))</f>
        <v/>
      </c>
      <c r="F27" s="26" t="str">
        <f ca="1">IF($D27="","",IF(OFFSET('(2)出場選手'!$B$2,$A27,F$1)="","",OFFSET('(2)出場選手'!$B$2,$A27,F$1)))</f>
        <v/>
      </c>
      <c r="G27" s="26" t="str">
        <f t="shared" ca="1" si="0"/>
        <v/>
      </c>
      <c r="H27" s="26" t="str">
        <f t="shared" ca="1" si="1"/>
        <v/>
      </c>
      <c r="I27" s="26" t="str">
        <f ca="1">IF($D27="","",IF(OFFSET('(2)出場選手'!$B$2,$A27,I$1)="","",OFFSET('(2)出場選手'!$B$2,$A27,I$1)))</f>
        <v/>
      </c>
      <c r="J27" s="26" t="str">
        <f ca="1">IF($D27="","",IF(OFFSET('(2)出場選手'!$B$2,$A27,J$1)="",'(1)鑑'!$E$6,OFFSET('(2)出場選手'!$B$2,$A27,J$1)))</f>
        <v/>
      </c>
      <c r="K27" s="26" t="str">
        <f ca="1">IF($D27="","",TRIM(ASC(IF(OFFSET('(2)出場選手'!$B$2,$A27,K$1)="",'(1)鑑'!$E$7,OFFSET('(2)出場選手'!$B$2,$A27,K$1)))))</f>
        <v/>
      </c>
      <c r="L27" s="26" t="str">
        <f ca="1">IF($D27="","",SUBSTITUTE(SUBSTITUTE(SUBSTITUTE(IF(OFFSET('(2)出場選手'!$B$2,$A27,L$1)="",'(1)鑑'!$E$8,OFFSET('(2)出場選手'!$B$2,$A27,L$1)),"県",""),"府",""),"東京都","東京"))</f>
        <v/>
      </c>
      <c r="M27" s="57" t="str">
        <f ca="1">IF($D27="","",IF(OFFSET('(2)出場選手'!$B$2,$A27,M$1)="","",OFFSET('(2)出場選手'!$B$2,$A27,M$1)))</f>
        <v/>
      </c>
      <c r="N27" s="26" t="str">
        <f ca="1">IF($D27="","",OFFSET('(2)出場選手'!$B$2,$A27,N$1+3*$B27))</f>
        <v/>
      </c>
      <c r="O27" s="26" t="str">
        <f ca="1">IF($D27="","",IF(OFFSET('(2)出場選手'!$B$2,$A27,O$1+3*$B27)="","",OFFSET('(2)出場選手'!$B$2,$A27,O$1+3*$B27)))</f>
        <v/>
      </c>
      <c r="P27" s="26" t="str">
        <f ca="1">IF($D27="","",IF(OFFSET('(2)出場選手'!$B$2,$A27,P$1+3*$B27)="","",OFFSET('(2)出場選手'!$B$2,$A27,P$1+3*$B27)))</f>
        <v/>
      </c>
      <c r="Q27" s="43" t="str">
        <f ca="1">IF(D27="","",VLOOKUP(N27,OFFSET(Competition_Events,0,1),11,FALSE)*IF($S27="リレー",IF(COUNTIF($T$3:$T27,$T27)&gt;1,0,1),1))</f>
        <v/>
      </c>
      <c r="R27" s="26" t="str">
        <f t="shared" ca="1" si="2"/>
        <v/>
      </c>
      <c r="S27" s="26" t="str">
        <f t="shared" ca="1" si="3"/>
        <v/>
      </c>
      <c r="T27" s="26" t="str">
        <f t="shared" ca="1" si="4"/>
        <v/>
      </c>
      <c r="U27" s="26" t="str">
        <f t="shared" ca="1" si="5"/>
        <v/>
      </c>
      <c r="W27" s="17" t="str">
        <f ca="1">IF($D27="","",OFFSET('(2)出場選手'!$B$2,$A27,W$1))</f>
        <v/>
      </c>
      <c r="X27" s="17" t="str">
        <f ca="1">IF($D27="","",OFFSET('(2)出場選手'!$B$2,$A27,X$1))</f>
        <v/>
      </c>
      <c r="Y27" s="17" t="str">
        <f ca="1">IF($D27="","",OFFSET('(2)出場選手'!$B$2,$A27,Y$1))</f>
        <v/>
      </c>
      <c r="Z27" s="17" t="str">
        <f ca="1">IF($D27="","",OFFSET('(2)出場選手'!$B$2,$A27,Z$1))</f>
        <v/>
      </c>
    </row>
    <row r="28" spans="1:26" x14ac:dyDescent="0.15">
      <c r="A28" s="17">
        <f>TRUNC((ROWS($D$3:D28)-2)/Max_Entry_Count)+1</f>
        <v>9</v>
      </c>
      <c r="B28" s="17" t="str">
        <f ca="1">IF($A28&gt;=ROWS(Entries)-2,"",IF(OFFSET('(2)出場選手'!$B$2,$A28,B$1+3*(MOD(ROWS($D$3:D28)-2,Max_Entry_Count)))="","",MOD(ROWS($D$3:D28)-2,Max_Entry_Count)))</f>
        <v/>
      </c>
      <c r="D28" s="26" t="str">
        <f ca="1">IF(OR($A28&gt;=ROWS(Entries)-2,$B28=""),"",'(1)鑑'!$E$6&amp;"-"&amp;OFFSET('(2)出場選手'!$B$2,$A28,D$1))</f>
        <v/>
      </c>
      <c r="E28" s="26" t="str">
        <f ca="1">IF($D28="","",OFFSET('(2)出場選手'!$B$2,$A28,E$1))</f>
        <v/>
      </c>
      <c r="F28" s="26" t="str">
        <f ca="1">IF($D28="","",IF(OFFSET('(2)出場選手'!$B$2,$A28,F$1)="","",OFFSET('(2)出場選手'!$B$2,$A28,F$1)))</f>
        <v/>
      </c>
      <c r="G28" s="26" t="str">
        <f t="shared" ca="1" si="0"/>
        <v/>
      </c>
      <c r="H28" s="26" t="str">
        <f t="shared" ca="1" si="1"/>
        <v/>
      </c>
      <c r="I28" s="26" t="str">
        <f ca="1">IF($D28="","",IF(OFFSET('(2)出場選手'!$B$2,$A28,I$1)="","",OFFSET('(2)出場選手'!$B$2,$A28,I$1)))</f>
        <v/>
      </c>
      <c r="J28" s="26" t="str">
        <f ca="1">IF($D28="","",IF(OFFSET('(2)出場選手'!$B$2,$A28,J$1)="",'(1)鑑'!$E$6,OFFSET('(2)出場選手'!$B$2,$A28,J$1)))</f>
        <v/>
      </c>
      <c r="K28" s="26" t="str">
        <f ca="1">IF($D28="","",TRIM(ASC(IF(OFFSET('(2)出場選手'!$B$2,$A28,K$1)="",'(1)鑑'!$E$7,OFFSET('(2)出場選手'!$B$2,$A28,K$1)))))</f>
        <v/>
      </c>
      <c r="L28" s="26" t="str">
        <f ca="1">IF($D28="","",SUBSTITUTE(SUBSTITUTE(SUBSTITUTE(IF(OFFSET('(2)出場選手'!$B$2,$A28,L$1)="",'(1)鑑'!$E$8,OFFSET('(2)出場選手'!$B$2,$A28,L$1)),"県",""),"府",""),"東京都","東京"))</f>
        <v/>
      </c>
      <c r="M28" s="57" t="str">
        <f ca="1">IF($D28="","",IF(OFFSET('(2)出場選手'!$B$2,$A28,M$1)="","",OFFSET('(2)出場選手'!$B$2,$A28,M$1)))</f>
        <v/>
      </c>
      <c r="N28" s="26" t="str">
        <f ca="1">IF($D28="","",OFFSET('(2)出場選手'!$B$2,$A28,N$1+3*$B28))</f>
        <v/>
      </c>
      <c r="O28" s="26" t="str">
        <f ca="1">IF($D28="","",IF(OFFSET('(2)出場選手'!$B$2,$A28,O$1+3*$B28)="","",OFFSET('(2)出場選手'!$B$2,$A28,O$1+3*$B28)))</f>
        <v/>
      </c>
      <c r="P28" s="26" t="str">
        <f ca="1">IF($D28="","",IF(OFFSET('(2)出場選手'!$B$2,$A28,P$1+3*$B28)="","",OFFSET('(2)出場選手'!$B$2,$A28,P$1+3*$B28)))</f>
        <v/>
      </c>
      <c r="Q28" s="43" t="str">
        <f ca="1">IF(D28="","",VLOOKUP(N28,OFFSET(Competition_Events,0,1),11,FALSE)*IF($S28="リレー",IF(COUNTIF($T$3:$T28,$T28)&gt;1,0,1),1))</f>
        <v/>
      </c>
      <c r="R28" s="26" t="str">
        <f t="shared" ca="1" si="2"/>
        <v/>
      </c>
      <c r="S28" s="26" t="str">
        <f t="shared" ca="1" si="3"/>
        <v/>
      </c>
      <c r="T28" s="26" t="str">
        <f t="shared" ca="1" si="4"/>
        <v/>
      </c>
      <c r="U28" s="26" t="str">
        <f t="shared" ca="1" si="5"/>
        <v/>
      </c>
      <c r="W28" s="17" t="str">
        <f ca="1">IF($D28="","",OFFSET('(2)出場選手'!$B$2,$A28,W$1))</f>
        <v/>
      </c>
      <c r="X28" s="17" t="str">
        <f ca="1">IF($D28="","",OFFSET('(2)出場選手'!$B$2,$A28,X$1))</f>
        <v/>
      </c>
      <c r="Y28" s="17" t="str">
        <f ca="1">IF($D28="","",OFFSET('(2)出場選手'!$B$2,$A28,Y$1))</f>
        <v/>
      </c>
      <c r="Z28" s="17" t="str">
        <f ca="1">IF($D28="","",OFFSET('(2)出場選手'!$B$2,$A28,Z$1))</f>
        <v/>
      </c>
    </row>
    <row r="29" spans="1:26" x14ac:dyDescent="0.15">
      <c r="A29" s="17">
        <f>TRUNC((ROWS($D$3:D29)-2)/Max_Entry_Count)+1</f>
        <v>9</v>
      </c>
      <c r="B29" s="17" t="str">
        <f ca="1">IF($A29&gt;=ROWS(Entries)-2,"",IF(OFFSET('(2)出場選手'!$B$2,$A29,B$1+3*(MOD(ROWS($D$3:D29)-2,Max_Entry_Count)))="","",MOD(ROWS($D$3:D29)-2,Max_Entry_Count)))</f>
        <v/>
      </c>
      <c r="D29" s="26" t="str">
        <f ca="1">IF(OR($A29&gt;=ROWS(Entries)-2,$B29=""),"",'(1)鑑'!$E$6&amp;"-"&amp;OFFSET('(2)出場選手'!$B$2,$A29,D$1))</f>
        <v/>
      </c>
      <c r="E29" s="26" t="str">
        <f ca="1">IF($D29="","",OFFSET('(2)出場選手'!$B$2,$A29,E$1))</f>
        <v/>
      </c>
      <c r="F29" s="26" t="str">
        <f ca="1">IF($D29="","",IF(OFFSET('(2)出場選手'!$B$2,$A29,F$1)="","",OFFSET('(2)出場選手'!$B$2,$A29,F$1)))</f>
        <v/>
      </c>
      <c r="G29" s="26" t="str">
        <f t="shared" ca="1" si="0"/>
        <v/>
      </c>
      <c r="H29" s="26" t="str">
        <f t="shared" ca="1" si="1"/>
        <v/>
      </c>
      <c r="I29" s="26" t="str">
        <f ca="1">IF($D29="","",IF(OFFSET('(2)出場選手'!$B$2,$A29,I$1)="","",OFFSET('(2)出場選手'!$B$2,$A29,I$1)))</f>
        <v/>
      </c>
      <c r="J29" s="26" t="str">
        <f ca="1">IF($D29="","",IF(OFFSET('(2)出場選手'!$B$2,$A29,J$1)="",'(1)鑑'!$E$6,OFFSET('(2)出場選手'!$B$2,$A29,J$1)))</f>
        <v/>
      </c>
      <c r="K29" s="26" t="str">
        <f ca="1">IF($D29="","",TRIM(ASC(IF(OFFSET('(2)出場選手'!$B$2,$A29,K$1)="",'(1)鑑'!$E$7,OFFSET('(2)出場選手'!$B$2,$A29,K$1)))))</f>
        <v/>
      </c>
      <c r="L29" s="26" t="str">
        <f ca="1">IF($D29="","",SUBSTITUTE(SUBSTITUTE(SUBSTITUTE(IF(OFFSET('(2)出場選手'!$B$2,$A29,L$1)="",'(1)鑑'!$E$8,OFFSET('(2)出場選手'!$B$2,$A29,L$1)),"県",""),"府",""),"東京都","東京"))</f>
        <v/>
      </c>
      <c r="M29" s="57" t="str">
        <f ca="1">IF($D29="","",IF(OFFSET('(2)出場選手'!$B$2,$A29,M$1)="","",OFFSET('(2)出場選手'!$B$2,$A29,M$1)))</f>
        <v/>
      </c>
      <c r="N29" s="26" t="str">
        <f ca="1">IF($D29="","",OFFSET('(2)出場選手'!$B$2,$A29,N$1+3*$B29))</f>
        <v/>
      </c>
      <c r="O29" s="26" t="str">
        <f ca="1">IF($D29="","",IF(OFFSET('(2)出場選手'!$B$2,$A29,O$1+3*$B29)="","",OFFSET('(2)出場選手'!$B$2,$A29,O$1+3*$B29)))</f>
        <v/>
      </c>
      <c r="P29" s="26" t="str">
        <f ca="1">IF($D29="","",IF(OFFSET('(2)出場選手'!$B$2,$A29,P$1+3*$B29)="","",OFFSET('(2)出場選手'!$B$2,$A29,P$1+3*$B29)))</f>
        <v/>
      </c>
      <c r="Q29" s="43" t="str">
        <f ca="1">IF(D29="","",VLOOKUP(N29,OFFSET(Competition_Events,0,1),11,FALSE)*IF($S29="リレー",IF(COUNTIF($T$3:$T29,$T29)&gt;1,0,1),1))</f>
        <v/>
      </c>
      <c r="R29" s="26" t="str">
        <f t="shared" ca="1" si="2"/>
        <v/>
      </c>
      <c r="S29" s="26" t="str">
        <f t="shared" ca="1" si="3"/>
        <v/>
      </c>
      <c r="T29" s="26" t="str">
        <f t="shared" ca="1" si="4"/>
        <v/>
      </c>
      <c r="U29" s="26" t="str">
        <f t="shared" ca="1" si="5"/>
        <v/>
      </c>
      <c r="W29" s="17" t="str">
        <f ca="1">IF($D29="","",OFFSET('(2)出場選手'!$B$2,$A29,W$1))</f>
        <v/>
      </c>
      <c r="X29" s="17" t="str">
        <f ca="1">IF($D29="","",OFFSET('(2)出場選手'!$B$2,$A29,X$1))</f>
        <v/>
      </c>
      <c r="Y29" s="17" t="str">
        <f ca="1">IF($D29="","",OFFSET('(2)出場選手'!$B$2,$A29,Y$1))</f>
        <v/>
      </c>
      <c r="Z29" s="17" t="str">
        <f ca="1">IF($D29="","",OFFSET('(2)出場選手'!$B$2,$A29,Z$1))</f>
        <v/>
      </c>
    </row>
    <row r="30" spans="1:26" x14ac:dyDescent="0.15">
      <c r="A30" s="17">
        <f>TRUNC((ROWS($D$3:D30)-2)/Max_Entry_Count)+1</f>
        <v>9</v>
      </c>
      <c r="B30" s="17" t="str">
        <f ca="1">IF($A30&gt;=ROWS(Entries)-2,"",IF(OFFSET('(2)出場選手'!$B$2,$A30,B$1+3*(MOD(ROWS($D$3:D30)-2,Max_Entry_Count)))="","",MOD(ROWS($D$3:D30)-2,Max_Entry_Count)))</f>
        <v/>
      </c>
      <c r="D30" s="26" t="str">
        <f ca="1">IF(OR($A30&gt;=ROWS(Entries)-2,$B30=""),"",'(1)鑑'!$E$6&amp;"-"&amp;OFFSET('(2)出場選手'!$B$2,$A30,D$1))</f>
        <v/>
      </c>
      <c r="E30" s="26" t="str">
        <f ca="1">IF($D30="","",OFFSET('(2)出場選手'!$B$2,$A30,E$1))</f>
        <v/>
      </c>
      <c r="F30" s="26" t="str">
        <f ca="1">IF($D30="","",IF(OFFSET('(2)出場選手'!$B$2,$A30,F$1)="","",OFFSET('(2)出場選手'!$B$2,$A30,F$1)))</f>
        <v/>
      </c>
      <c r="G30" s="26" t="str">
        <f t="shared" ca="1" si="0"/>
        <v/>
      </c>
      <c r="H30" s="26" t="str">
        <f t="shared" ca="1" si="1"/>
        <v/>
      </c>
      <c r="I30" s="26" t="str">
        <f ca="1">IF($D30="","",IF(OFFSET('(2)出場選手'!$B$2,$A30,I$1)="","",OFFSET('(2)出場選手'!$B$2,$A30,I$1)))</f>
        <v/>
      </c>
      <c r="J30" s="26" t="str">
        <f ca="1">IF($D30="","",IF(OFFSET('(2)出場選手'!$B$2,$A30,J$1)="",'(1)鑑'!$E$6,OFFSET('(2)出場選手'!$B$2,$A30,J$1)))</f>
        <v/>
      </c>
      <c r="K30" s="26" t="str">
        <f ca="1">IF($D30="","",TRIM(ASC(IF(OFFSET('(2)出場選手'!$B$2,$A30,K$1)="",'(1)鑑'!$E$7,OFFSET('(2)出場選手'!$B$2,$A30,K$1)))))</f>
        <v/>
      </c>
      <c r="L30" s="26" t="str">
        <f ca="1">IF($D30="","",SUBSTITUTE(SUBSTITUTE(SUBSTITUTE(IF(OFFSET('(2)出場選手'!$B$2,$A30,L$1)="",'(1)鑑'!$E$8,OFFSET('(2)出場選手'!$B$2,$A30,L$1)),"県",""),"府",""),"東京都","東京"))</f>
        <v/>
      </c>
      <c r="M30" s="57" t="str">
        <f ca="1">IF($D30="","",IF(OFFSET('(2)出場選手'!$B$2,$A30,M$1)="","",OFFSET('(2)出場選手'!$B$2,$A30,M$1)))</f>
        <v/>
      </c>
      <c r="N30" s="26" t="str">
        <f ca="1">IF($D30="","",OFFSET('(2)出場選手'!$B$2,$A30,N$1+3*$B30))</f>
        <v/>
      </c>
      <c r="O30" s="26" t="str">
        <f ca="1">IF($D30="","",IF(OFFSET('(2)出場選手'!$B$2,$A30,O$1+3*$B30)="","",OFFSET('(2)出場選手'!$B$2,$A30,O$1+3*$B30)))</f>
        <v/>
      </c>
      <c r="P30" s="26" t="str">
        <f ca="1">IF($D30="","",IF(OFFSET('(2)出場選手'!$B$2,$A30,P$1+3*$B30)="","",OFFSET('(2)出場選手'!$B$2,$A30,P$1+3*$B30)))</f>
        <v/>
      </c>
      <c r="Q30" s="43" t="str">
        <f ca="1">IF(D30="","",VLOOKUP(N30,OFFSET(Competition_Events,0,1),11,FALSE)*IF($S30="リレー",IF(COUNTIF($T$3:$T30,$T30)&gt;1,0,1),1))</f>
        <v/>
      </c>
      <c r="R30" s="26" t="str">
        <f t="shared" ca="1" si="2"/>
        <v/>
      </c>
      <c r="S30" s="26" t="str">
        <f t="shared" ca="1" si="3"/>
        <v/>
      </c>
      <c r="T30" s="26" t="str">
        <f t="shared" ca="1" si="4"/>
        <v/>
      </c>
      <c r="U30" s="26" t="str">
        <f t="shared" ca="1" si="5"/>
        <v/>
      </c>
      <c r="W30" s="17" t="str">
        <f ca="1">IF($D30="","",OFFSET('(2)出場選手'!$B$2,$A30,W$1))</f>
        <v/>
      </c>
      <c r="X30" s="17" t="str">
        <f ca="1">IF($D30="","",OFFSET('(2)出場選手'!$B$2,$A30,X$1))</f>
        <v/>
      </c>
      <c r="Y30" s="17" t="str">
        <f ca="1">IF($D30="","",OFFSET('(2)出場選手'!$B$2,$A30,Y$1))</f>
        <v/>
      </c>
      <c r="Z30" s="17" t="str">
        <f ca="1">IF($D30="","",OFFSET('(2)出場選手'!$B$2,$A30,Z$1))</f>
        <v/>
      </c>
    </row>
    <row r="31" spans="1:26" x14ac:dyDescent="0.15">
      <c r="A31" s="17">
        <f>TRUNC((ROWS($D$3:D31)-2)/Max_Entry_Count)+1</f>
        <v>10</v>
      </c>
      <c r="B31" s="17" t="str">
        <f ca="1">IF($A31&gt;=ROWS(Entries)-2,"",IF(OFFSET('(2)出場選手'!$B$2,$A31,B$1+3*(MOD(ROWS($D$3:D31)-2,Max_Entry_Count)))="","",MOD(ROWS($D$3:D31)-2,Max_Entry_Count)))</f>
        <v/>
      </c>
      <c r="D31" s="26" t="str">
        <f ca="1">IF(OR($A31&gt;=ROWS(Entries)-2,$B31=""),"",'(1)鑑'!$E$6&amp;"-"&amp;OFFSET('(2)出場選手'!$B$2,$A31,D$1))</f>
        <v/>
      </c>
      <c r="E31" s="26" t="str">
        <f ca="1">IF($D31="","",OFFSET('(2)出場選手'!$B$2,$A31,E$1))</f>
        <v/>
      </c>
      <c r="F31" s="26" t="str">
        <f ca="1">IF($D31="","",IF(OFFSET('(2)出場選手'!$B$2,$A31,F$1)="","",OFFSET('(2)出場選手'!$B$2,$A31,F$1)))</f>
        <v/>
      </c>
      <c r="G31" s="26" t="str">
        <f t="shared" ca="1" si="0"/>
        <v/>
      </c>
      <c r="H31" s="26" t="str">
        <f t="shared" ca="1" si="1"/>
        <v/>
      </c>
      <c r="I31" s="26" t="str">
        <f ca="1">IF($D31="","",IF(OFFSET('(2)出場選手'!$B$2,$A31,I$1)="","",OFFSET('(2)出場選手'!$B$2,$A31,I$1)))</f>
        <v/>
      </c>
      <c r="J31" s="26" t="str">
        <f ca="1">IF($D31="","",IF(OFFSET('(2)出場選手'!$B$2,$A31,J$1)="",'(1)鑑'!$E$6,OFFSET('(2)出場選手'!$B$2,$A31,J$1)))</f>
        <v/>
      </c>
      <c r="K31" s="26" t="str">
        <f ca="1">IF($D31="","",TRIM(ASC(IF(OFFSET('(2)出場選手'!$B$2,$A31,K$1)="",'(1)鑑'!$E$7,OFFSET('(2)出場選手'!$B$2,$A31,K$1)))))</f>
        <v/>
      </c>
      <c r="L31" s="26" t="str">
        <f ca="1">IF($D31="","",SUBSTITUTE(SUBSTITUTE(SUBSTITUTE(IF(OFFSET('(2)出場選手'!$B$2,$A31,L$1)="",'(1)鑑'!$E$8,OFFSET('(2)出場選手'!$B$2,$A31,L$1)),"県",""),"府",""),"東京都","東京"))</f>
        <v/>
      </c>
      <c r="M31" s="57" t="str">
        <f ca="1">IF($D31="","",IF(OFFSET('(2)出場選手'!$B$2,$A31,M$1)="","",OFFSET('(2)出場選手'!$B$2,$A31,M$1)))</f>
        <v/>
      </c>
      <c r="N31" s="26" t="str">
        <f ca="1">IF($D31="","",OFFSET('(2)出場選手'!$B$2,$A31,N$1+3*$B31))</f>
        <v/>
      </c>
      <c r="O31" s="26" t="str">
        <f ca="1">IF($D31="","",IF(OFFSET('(2)出場選手'!$B$2,$A31,O$1+3*$B31)="","",OFFSET('(2)出場選手'!$B$2,$A31,O$1+3*$B31)))</f>
        <v/>
      </c>
      <c r="P31" s="26" t="str">
        <f ca="1">IF($D31="","",IF(OFFSET('(2)出場選手'!$B$2,$A31,P$1+3*$B31)="","",OFFSET('(2)出場選手'!$B$2,$A31,P$1+3*$B31)))</f>
        <v/>
      </c>
      <c r="Q31" s="43" t="str">
        <f ca="1">IF(D31="","",VLOOKUP(N31,OFFSET(Competition_Events,0,1),11,FALSE)*IF($S31="リレー",IF(COUNTIF($T$3:$T31,$T31)&gt;1,0,1),1))</f>
        <v/>
      </c>
      <c r="R31" s="26" t="str">
        <f t="shared" ca="1" si="2"/>
        <v/>
      </c>
      <c r="S31" s="26" t="str">
        <f t="shared" ca="1" si="3"/>
        <v/>
      </c>
      <c r="T31" s="26" t="str">
        <f t="shared" ca="1" si="4"/>
        <v/>
      </c>
      <c r="U31" s="26" t="str">
        <f t="shared" ca="1" si="5"/>
        <v/>
      </c>
      <c r="W31" s="17" t="str">
        <f ca="1">IF($D31="","",OFFSET('(2)出場選手'!$B$2,$A31,W$1))</f>
        <v/>
      </c>
      <c r="X31" s="17" t="str">
        <f ca="1">IF($D31="","",OFFSET('(2)出場選手'!$B$2,$A31,X$1))</f>
        <v/>
      </c>
      <c r="Y31" s="17" t="str">
        <f ca="1">IF($D31="","",OFFSET('(2)出場選手'!$B$2,$A31,Y$1))</f>
        <v/>
      </c>
      <c r="Z31" s="17" t="str">
        <f ca="1">IF($D31="","",OFFSET('(2)出場選手'!$B$2,$A31,Z$1))</f>
        <v/>
      </c>
    </row>
    <row r="32" spans="1:26" x14ac:dyDescent="0.15">
      <c r="A32" s="17">
        <f>TRUNC((ROWS($D$3:D32)-2)/Max_Entry_Count)+1</f>
        <v>10</v>
      </c>
      <c r="B32" s="17" t="str">
        <f ca="1">IF($A32&gt;=ROWS(Entries)-2,"",IF(OFFSET('(2)出場選手'!$B$2,$A32,B$1+3*(MOD(ROWS($D$3:D32)-2,Max_Entry_Count)))="","",MOD(ROWS($D$3:D32)-2,Max_Entry_Count)))</f>
        <v/>
      </c>
      <c r="D32" s="26" t="str">
        <f ca="1">IF(OR($A32&gt;=ROWS(Entries)-2,$B32=""),"",'(1)鑑'!$E$6&amp;"-"&amp;OFFSET('(2)出場選手'!$B$2,$A32,D$1))</f>
        <v/>
      </c>
      <c r="E32" s="26" t="str">
        <f ca="1">IF($D32="","",OFFSET('(2)出場選手'!$B$2,$A32,E$1))</f>
        <v/>
      </c>
      <c r="F32" s="26" t="str">
        <f ca="1">IF($D32="","",IF(OFFSET('(2)出場選手'!$B$2,$A32,F$1)="","",OFFSET('(2)出場選手'!$B$2,$A32,F$1)))</f>
        <v/>
      </c>
      <c r="G32" s="26" t="str">
        <f t="shared" ca="1" si="0"/>
        <v/>
      </c>
      <c r="H32" s="26" t="str">
        <f t="shared" ca="1" si="1"/>
        <v/>
      </c>
      <c r="I32" s="26" t="str">
        <f ca="1">IF($D32="","",IF(OFFSET('(2)出場選手'!$B$2,$A32,I$1)="","",OFFSET('(2)出場選手'!$B$2,$A32,I$1)))</f>
        <v/>
      </c>
      <c r="J32" s="26" t="str">
        <f ca="1">IF($D32="","",IF(OFFSET('(2)出場選手'!$B$2,$A32,J$1)="",'(1)鑑'!$E$6,OFFSET('(2)出場選手'!$B$2,$A32,J$1)))</f>
        <v/>
      </c>
      <c r="K32" s="26" t="str">
        <f ca="1">IF($D32="","",TRIM(ASC(IF(OFFSET('(2)出場選手'!$B$2,$A32,K$1)="",'(1)鑑'!$E$7,OFFSET('(2)出場選手'!$B$2,$A32,K$1)))))</f>
        <v/>
      </c>
      <c r="L32" s="26" t="str">
        <f ca="1">IF($D32="","",SUBSTITUTE(SUBSTITUTE(SUBSTITUTE(IF(OFFSET('(2)出場選手'!$B$2,$A32,L$1)="",'(1)鑑'!$E$8,OFFSET('(2)出場選手'!$B$2,$A32,L$1)),"県",""),"府",""),"東京都","東京"))</f>
        <v/>
      </c>
      <c r="M32" s="57" t="str">
        <f ca="1">IF($D32="","",IF(OFFSET('(2)出場選手'!$B$2,$A32,M$1)="","",OFFSET('(2)出場選手'!$B$2,$A32,M$1)))</f>
        <v/>
      </c>
      <c r="N32" s="26" t="str">
        <f ca="1">IF($D32="","",OFFSET('(2)出場選手'!$B$2,$A32,N$1+3*$B32))</f>
        <v/>
      </c>
      <c r="O32" s="26" t="str">
        <f ca="1">IF($D32="","",IF(OFFSET('(2)出場選手'!$B$2,$A32,O$1+3*$B32)="","",OFFSET('(2)出場選手'!$B$2,$A32,O$1+3*$B32)))</f>
        <v/>
      </c>
      <c r="P32" s="26" t="str">
        <f ca="1">IF($D32="","",IF(OFFSET('(2)出場選手'!$B$2,$A32,P$1+3*$B32)="","",OFFSET('(2)出場選手'!$B$2,$A32,P$1+3*$B32)))</f>
        <v/>
      </c>
      <c r="Q32" s="43" t="str">
        <f ca="1">IF(D32="","",VLOOKUP(N32,OFFSET(Competition_Events,0,1),11,FALSE)*IF($S32="リレー",IF(COUNTIF($T$3:$T32,$T32)&gt;1,0,1),1))</f>
        <v/>
      </c>
      <c r="R32" s="26" t="str">
        <f t="shared" ca="1" si="2"/>
        <v/>
      </c>
      <c r="S32" s="26" t="str">
        <f t="shared" ca="1" si="3"/>
        <v/>
      </c>
      <c r="T32" s="26" t="str">
        <f t="shared" ca="1" si="4"/>
        <v/>
      </c>
      <c r="U32" s="26" t="str">
        <f t="shared" ca="1" si="5"/>
        <v/>
      </c>
      <c r="W32" s="17" t="str">
        <f ca="1">IF($D32="","",OFFSET('(2)出場選手'!$B$2,$A32,W$1))</f>
        <v/>
      </c>
      <c r="X32" s="17" t="str">
        <f ca="1">IF($D32="","",OFFSET('(2)出場選手'!$B$2,$A32,X$1))</f>
        <v/>
      </c>
      <c r="Y32" s="17" t="str">
        <f ca="1">IF($D32="","",OFFSET('(2)出場選手'!$B$2,$A32,Y$1))</f>
        <v/>
      </c>
      <c r="Z32" s="17" t="str">
        <f ca="1">IF($D32="","",OFFSET('(2)出場選手'!$B$2,$A32,Z$1))</f>
        <v/>
      </c>
    </row>
    <row r="33" spans="1:26" x14ac:dyDescent="0.15">
      <c r="A33" s="17">
        <f>TRUNC((ROWS($D$3:D33)-2)/Max_Entry_Count)+1</f>
        <v>10</v>
      </c>
      <c r="B33" s="17" t="str">
        <f ca="1">IF($A33&gt;=ROWS(Entries)-2,"",IF(OFFSET('(2)出場選手'!$B$2,$A33,B$1+3*(MOD(ROWS($D$3:D33)-2,Max_Entry_Count)))="","",MOD(ROWS($D$3:D33)-2,Max_Entry_Count)))</f>
        <v/>
      </c>
      <c r="D33" s="26" t="str">
        <f ca="1">IF(OR($A33&gt;=ROWS(Entries)-2,$B33=""),"",'(1)鑑'!$E$6&amp;"-"&amp;OFFSET('(2)出場選手'!$B$2,$A33,D$1))</f>
        <v/>
      </c>
      <c r="E33" s="26" t="str">
        <f ca="1">IF($D33="","",OFFSET('(2)出場選手'!$B$2,$A33,E$1))</f>
        <v/>
      </c>
      <c r="F33" s="26" t="str">
        <f ca="1">IF($D33="","",IF(OFFSET('(2)出場選手'!$B$2,$A33,F$1)="","",OFFSET('(2)出場選手'!$B$2,$A33,F$1)))</f>
        <v/>
      </c>
      <c r="G33" s="26" t="str">
        <f t="shared" ca="1" si="0"/>
        <v/>
      </c>
      <c r="H33" s="26" t="str">
        <f t="shared" ca="1" si="1"/>
        <v/>
      </c>
      <c r="I33" s="26" t="str">
        <f ca="1">IF($D33="","",IF(OFFSET('(2)出場選手'!$B$2,$A33,I$1)="","",OFFSET('(2)出場選手'!$B$2,$A33,I$1)))</f>
        <v/>
      </c>
      <c r="J33" s="26" t="str">
        <f ca="1">IF($D33="","",IF(OFFSET('(2)出場選手'!$B$2,$A33,J$1)="",'(1)鑑'!$E$6,OFFSET('(2)出場選手'!$B$2,$A33,J$1)))</f>
        <v/>
      </c>
      <c r="K33" s="26" t="str">
        <f ca="1">IF($D33="","",TRIM(ASC(IF(OFFSET('(2)出場選手'!$B$2,$A33,K$1)="",'(1)鑑'!$E$7,OFFSET('(2)出場選手'!$B$2,$A33,K$1)))))</f>
        <v/>
      </c>
      <c r="L33" s="26" t="str">
        <f ca="1">IF($D33="","",SUBSTITUTE(SUBSTITUTE(SUBSTITUTE(IF(OFFSET('(2)出場選手'!$B$2,$A33,L$1)="",'(1)鑑'!$E$8,OFFSET('(2)出場選手'!$B$2,$A33,L$1)),"県",""),"府",""),"東京都","東京"))</f>
        <v/>
      </c>
      <c r="M33" s="57" t="str">
        <f ca="1">IF($D33="","",IF(OFFSET('(2)出場選手'!$B$2,$A33,M$1)="","",OFFSET('(2)出場選手'!$B$2,$A33,M$1)))</f>
        <v/>
      </c>
      <c r="N33" s="26" t="str">
        <f ca="1">IF($D33="","",OFFSET('(2)出場選手'!$B$2,$A33,N$1+3*$B33))</f>
        <v/>
      </c>
      <c r="O33" s="26" t="str">
        <f ca="1">IF($D33="","",IF(OFFSET('(2)出場選手'!$B$2,$A33,O$1+3*$B33)="","",OFFSET('(2)出場選手'!$B$2,$A33,O$1+3*$B33)))</f>
        <v/>
      </c>
      <c r="P33" s="26" t="str">
        <f ca="1">IF($D33="","",IF(OFFSET('(2)出場選手'!$B$2,$A33,P$1+3*$B33)="","",OFFSET('(2)出場選手'!$B$2,$A33,P$1+3*$B33)))</f>
        <v/>
      </c>
      <c r="Q33" s="43" t="str">
        <f ca="1">IF(D33="","",VLOOKUP(N33,OFFSET(Competition_Events,0,1),11,FALSE)*IF($S33="リレー",IF(COUNTIF($T$3:$T33,$T33)&gt;1,0,1),1))</f>
        <v/>
      </c>
      <c r="R33" s="26" t="str">
        <f t="shared" ca="1" si="2"/>
        <v/>
      </c>
      <c r="S33" s="26" t="str">
        <f t="shared" ca="1" si="3"/>
        <v/>
      </c>
      <c r="T33" s="26" t="str">
        <f t="shared" ca="1" si="4"/>
        <v/>
      </c>
      <c r="U33" s="26" t="str">
        <f t="shared" ca="1" si="5"/>
        <v/>
      </c>
      <c r="W33" s="17" t="str">
        <f ca="1">IF($D33="","",OFFSET('(2)出場選手'!$B$2,$A33,W$1))</f>
        <v/>
      </c>
      <c r="X33" s="17" t="str">
        <f ca="1">IF($D33="","",OFFSET('(2)出場選手'!$B$2,$A33,X$1))</f>
        <v/>
      </c>
      <c r="Y33" s="17" t="str">
        <f ca="1">IF($D33="","",OFFSET('(2)出場選手'!$B$2,$A33,Y$1))</f>
        <v/>
      </c>
      <c r="Z33" s="17" t="str">
        <f ca="1">IF($D33="","",OFFSET('(2)出場選手'!$B$2,$A33,Z$1))</f>
        <v/>
      </c>
    </row>
    <row r="34" spans="1:26" x14ac:dyDescent="0.15">
      <c r="A34" s="17">
        <f>TRUNC((ROWS($D$3:D34)-2)/Max_Entry_Count)+1</f>
        <v>11</v>
      </c>
      <c r="B34" s="17" t="str">
        <f ca="1">IF($A34&gt;=ROWS(Entries)-2,"",IF(OFFSET('(2)出場選手'!$B$2,$A34,B$1+3*(MOD(ROWS($D$3:D34)-2,Max_Entry_Count)))="","",MOD(ROWS($D$3:D34)-2,Max_Entry_Count)))</f>
        <v/>
      </c>
      <c r="D34" s="26" t="str">
        <f ca="1">IF(OR($A34&gt;=ROWS(Entries)-2,$B34=""),"",'(1)鑑'!$E$6&amp;"-"&amp;OFFSET('(2)出場選手'!$B$2,$A34,D$1))</f>
        <v/>
      </c>
      <c r="E34" s="26" t="str">
        <f ca="1">IF($D34="","",OFFSET('(2)出場選手'!$B$2,$A34,E$1))</f>
        <v/>
      </c>
      <c r="F34" s="26" t="str">
        <f ca="1">IF($D34="","",IF(OFFSET('(2)出場選手'!$B$2,$A34,F$1)="","",OFFSET('(2)出場選手'!$B$2,$A34,F$1)))</f>
        <v/>
      </c>
      <c r="G34" s="26" t="str">
        <f t="shared" ca="1" si="0"/>
        <v/>
      </c>
      <c r="H34" s="26" t="str">
        <f t="shared" ca="1" si="1"/>
        <v/>
      </c>
      <c r="I34" s="26" t="str">
        <f ca="1">IF($D34="","",IF(OFFSET('(2)出場選手'!$B$2,$A34,I$1)="","",OFFSET('(2)出場選手'!$B$2,$A34,I$1)))</f>
        <v/>
      </c>
      <c r="J34" s="26" t="str">
        <f ca="1">IF($D34="","",IF(OFFSET('(2)出場選手'!$B$2,$A34,J$1)="",'(1)鑑'!$E$6,OFFSET('(2)出場選手'!$B$2,$A34,J$1)))</f>
        <v/>
      </c>
      <c r="K34" s="26" t="str">
        <f ca="1">IF($D34="","",TRIM(ASC(IF(OFFSET('(2)出場選手'!$B$2,$A34,K$1)="",'(1)鑑'!$E$7,OFFSET('(2)出場選手'!$B$2,$A34,K$1)))))</f>
        <v/>
      </c>
      <c r="L34" s="26" t="str">
        <f ca="1">IF($D34="","",SUBSTITUTE(SUBSTITUTE(SUBSTITUTE(IF(OFFSET('(2)出場選手'!$B$2,$A34,L$1)="",'(1)鑑'!$E$8,OFFSET('(2)出場選手'!$B$2,$A34,L$1)),"県",""),"府",""),"東京都","東京"))</f>
        <v/>
      </c>
      <c r="M34" s="57" t="str">
        <f ca="1">IF($D34="","",IF(OFFSET('(2)出場選手'!$B$2,$A34,M$1)="","",OFFSET('(2)出場選手'!$B$2,$A34,M$1)))</f>
        <v/>
      </c>
      <c r="N34" s="26" t="str">
        <f ca="1">IF($D34="","",OFFSET('(2)出場選手'!$B$2,$A34,N$1+3*$B34))</f>
        <v/>
      </c>
      <c r="O34" s="26" t="str">
        <f ca="1">IF($D34="","",IF(OFFSET('(2)出場選手'!$B$2,$A34,O$1+3*$B34)="","",OFFSET('(2)出場選手'!$B$2,$A34,O$1+3*$B34)))</f>
        <v/>
      </c>
      <c r="P34" s="26" t="str">
        <f ca="1">IF($D34="","",IF(OFFSET('(2)出場選手'!$B$2,$A34,P$1+3*$B34)="","",OFFSET('(2)出場選手'!$B$2,$A34,P$1+3*$B34)))</f>
        <v/>
      </c>
      <c r="Q34" s="43" t="str">
        <f ca="1">IF(D34="","",VLOOKUP(N34,OFFSET(Competition_Events,0,1),11,FALSE)*IF($S34="リレー",IF(COUNTIF($T$3:$T34,$T34)&gt;1,0,1),1))</f>
        <v/>
      </c>
      <c r="R34" s="26" t="str">
        <f t="shared" ca="1" si="2"/>
        <v/>
      </c>
      <c r="S34" s="26" t="str">
        <f t="shared" ca="1" si="3"/>
        <v/>
      </c>
      <c r="T34" s="26" t="str">
        <f t="shared" ca="1" si="4"/>
        <v/>
      </c>
      <c r="U34" s="26" t="str">
        <f t="shared" ca="1" si="5"/>
        <v/>
      </c>
      <c r="W34" s="17" t="str">
        <f ca="1">IF($D34="","",OFFSET('(2)出場選手'!$B$2,$A34,W$1))</f>
        <v/>
      </c>
      <c r="X34" s="17" t="str">
        <f ca="1">IF($D34="","",OFFSET('(2)出場選手'!$B$2,$A34,X$1))</f>
        <v/>
      </c>
      <c r="Y34" s="17" t="str">
        <f ca="1">IF($D34="","",OFFSET('(2)出場選手'!$B$2,$A34,Y$1))</f>
        <v/>
      </c>
      <c r="Z34" s="17" t="str">
        <f ca="1">IF($D34="","",OFFSET('(2)出場選手'!$B$2,$A34,Z$1))</f>
        <v/>
      </c>
    </row>
    <row r="35" spans="1:26" x14ac:dyDescent="0.15">
      <c r="A35" s="17">
        <f>TRUNC((ROWS($D$3:D35)-2)/Max_Entry_Count)+1</f>
        <v>11</v>
      </c>
      <c r="B35" s="17" t="str">
        <f ca="1">IF($A35&gt;=ROWS(Entries)-2,"",IF(OFFSET('(2)出場選手'!$B$2,$A35,B$1+3*(MOD(ROWS($D$3:D35)-2,Max_Entry_Count)))="","",MOD(ROWS($D$3:D35)-2,Max_Entry_Count)))</f>
        <v/>
      </c>
      <c r="D35" s="26" t="str">
        <f ca="1">IF(OR($A35&gt;=ROWS(Entries)-2,$B35=""),"",'(1)鑑'!$E$6&amp;"-"&amp;OFFSET('(2)出場選手'!$B$2,$A35,D$1))</f>
        <v/>
      </c>
      <c r="E35" s="26" t="str">
        <f ca="1">IF($D35="","",OFFSET('(2)出場選手'!$B$2,$A35,E$1))</f>
        <v/>
      </c>
      <c r="F35" s="26" t="str">
        <f ca="1">IF($D35="","",IF(OFFSET('(2)出場選手'!$B$2,$A35,F$1)="","",OFFSET('(2)出場選手'!$B$2,$A35,F$1)))</f>
        <v/>
      </c>
      <c r="G35" s="26" t="str">
        <f t="shared" ca="1" si="0"/>
        <v/>
      </c>
      <c r="H35" s="26" t="str">
        <f t="shared" ca="1" si="1"/>
        <v/>
      </c>
      <c r="I35" s="26" t="str">
        <f ca="1">IF($D35="","",IF(OFFSET('(2)出場選手'!$B$2,$A35,I$1)="","",OFFSET('(2)出場選手'!$B$2,$A35,I$1)))</f>
        <v/>
      </c>
      <c r="J35" s="26" t="str">
        <f ca="1">IF($D35="","",IF(OFFSET('(2)出場選手'!$B$2,$A35,J$1)="",'(1)鑑'!$E$6,OFFSET('(2)出場選手'!$B$2,$A35,J$1)))</f>
        <v/>
      </c>
      <c r="K35" s="26" t="str">
        <f ca="1">IF($D35="","",TRIM(ASC(IF(OFFSET('(2)出場選手'!$B$2,$A35,K$1)="",'(1)鑑'!$E$7,OFFSET('(2)出場選手'!$B$2,$A35,K$1)))))</f>
        <v/>
      </c>
      <c r="L35" s="26" t="str">
        <f ca="1">IF($D35="","",SUBSTITUTE(SUBSTITUTE(SUBSTITUTE(IF(OFFSET('(2)出場選手'!$B$2,$A35,L$1)="",'(1)鑑'!$E$8,OFFSET('(2)出場選手'!$B$2,$A35,L$1)),"県",""),"府",""),"東京都","東京"))</f>
        <v/>
      </c>
      <c r="M35" s="57" t="str">
        <f ca="1">IF($D35="","",IF(OFFSET('(2)出場選手'!$B$2,$A35,M$1)="","",OFFSET('(2)出場選手'!$B$2,$A35,M$1)))</f>
        <v/>
      </c>
      <c r="N35" s="26" t="str">
        <f ca="1">IF($D35="","",OFFSET('(2)出場選手'!$B$2,$A35,N$1+3*$B35))</f>
        <v/>
      </c>
      <c r="O35" s="26" t="str">
        <f ca="1">IF($D35="","",IF(OFFSET('(2)出場選手'!$B$2,$A35,O$1+3*$B35)="","",OFFSET('(2)出場選手'!$B$2,$A35,O$1+3*$B35)))</f>
        <v/>
      </c>
      <c r="P35" s="26" t="str">
        <f ca="1">IF($D35="","",IF(OFFSET('(2)出場選手'!$B$2,$A35,P$1+3*$B35)="","",OFFSET('(2)出場選手'!$B$2,$A35,P$1+3*$B35)))</f>
        <v/>
      </c>
      <c r="Q35" s="43" t="str">
        <f ca="1">IF(D35="","",VLOOKUP(N35,OFFSET(Competition_Events,0,1),11,FALSE)*IF($S35="リレー",IF(COUNTIF($T$3:$T35,$T35)&gt;1,0,1),1))</f>
        <v/>
      </c>
      <c r="R35" s="26" t="str">
        <f t="shared" ca="1" si="2"/>
        <v/>
      </c>
      <c r="S35" s="26" t="str">
        <f t="shared" ca="1" si="3"/>
        <v/>
      </c>
      <c r="T35" s="26" t="str">
        <f t="shared" ca="1" si="4"/>
        <v/>
      </c>
      <c r="U35" s="26" t="str">
        <f t="shared" ca="1" si="5"/>
        <v/>
      </c>
      <c r="W35" s="17" t="str">
        <f ca="1">IF($D35="","",OFFSET('(2)出場選手'!$B$2,$A35,W$1))</f>
        <v/>
      </c>
      <c r="X35" s="17" t="str">
        <f ca="1">IF($D35="","",OFFSET('(2)出場選手'!$B$2,$A35,X$1))</f>
        <v/>
      </c>
      <c r="Y35" s="17" t="str">
        <f ca="1">IF($D35="","",OFFSET('(2)出場選手'!$B$2,$A35,Y$1))</f>
        <v/>
      </c>
      <c r="Z35" s="17" t="str">
        <f ca="1">IF($D35="","",OFFSET('(2)出場選手'!$B$2,$A35,Z$1))</f>
        <v/>
      </c>
    </row>
    <row r="36" spans="1:26" x14ac:dyDescent="0.15">
      <c r="A36" s="17">
        <f>TRUNC((ROWS($D$3:D36)-2)/Max_Entry_Count)+1</f>
        <v>11</v>
      </c>
      <c r="B36" s="17" t="str">
        <f ca="1">IF($A36&gt;=ROWS(Entries)-2,"",IF(OFFSET('(2)出場選手'!$B$2,$A36,B$1+3*(MOD(ROWS($D$3:D36)-2,Max_Entry_Count)))="","",MOD(ROWS($D$3:D36)-2,Max_Entry_Count)))</f>
        <v/>
      </c>
      <c r="D36" s="26" t="str">
        <f ca="1">IF(OR($A36&gt;=ROWS(Entries)-2,$B36=""),"",'(1)鑑'!$E$6&amp;"-"&amp;OFFSET('(2)出場選手'!$B$2,$A36,D$1))</f>
        <v/>
      </c>
      <c r="E36" s="26" t="str">
        <f ca="1">IF($D36="","",OFFSET('(2)出場選手'!$B$2,$A36,E$1))</f>
        <v/>
      </c>
      <c r="F36" s="26" t="str">
        <f ca="1">IF($D36="","",IF(OFFSET('(2)出場選手'!$B$2,$A36,F$1)="","",OFFSET('(2)出場選手'!$B$2,$A36,F$1)))</f>
        <v/>
      </c>
      <c r="G36" s="26" t="str">
        <f t="shared" ca="1" si="0"/>
        <v/>
      </c>
      <c r="H36" s="26" t="str">
        <f t="shared" ca="1" si="1"/>
        <v/>
      </c>
      <c r="I36" s="26" t="str">
        <f ca="1">IF($D36="","",IF(OFFSET('(2)出場選手'!$B$2,$A36,I$1)="","",OFFSET('(2)出場選手'!$B$2,$A36,I$1)))</f>
        <v/>
      </c>
      <c r="J36" s="26" t="str">
        <f ca="1">IF($D36="","",IF(OFFSET('(2)出場選手'!$B$2,$A36,J$1)="",'(1)鑑'!$E$6,OFFSET('(2)出場選手'!$B$2,$A36,J$1)))</f>
        <v/>
      </c>
      <c r="K36" s="26" t="str">
        <f ca="1">IF($D36="","",TRIM(ASC(IF(OFFSET('(2)出場選手'!$B$2,$A36,K$1)="",'(1)鑑'!$E$7,OFFSET('(2)出場選手'!$B$2,$A36,K$1)))))</f>
        <v/>
      </c>
      <c r="L36" s="26" t="str">
        <f ca="1">IF($D36="","",SUBSTITUTE(SUBSTITUTE(SUBSTITUTE(IF(OFFSET('(2)出場選手'!$B$2,$A36,L$1)="",'(1)鑑'!$E$8,OFFSET('(2)出場選手'!$B$2,$A36,L$1)),"県",""),"府",""),"東京都","東京"))</f>
        <v/>
      </c>
      <c r="M36" s="57" t="str">
        <f ca="1">IF($D36="","",IF(OFFSET('(2)出場選手'!$B$2,$A36,M$1)="","",OFFSET('(2)出場選手'!$B$2,$A36,M$1)))</f>
        <v/>
      </c>
      <c r="N36" s="26" t="str">
        <f ca="1">IF($D36="","",OFFSET('(2)出場選手'!$B$2,$A36,N$1+3*$B36))</f>
        <v/>
      </c>
      <c r="O36" s="26" t="str">
        <f ca="1">IF($D36="","",IF(OFFSET('(2)出場選手'!$B$2,$A36,O$1+3*$B36)="","",OFFSET('(2)出場選手'!$B$2,$A36,O$1+3*$B36)))</f>
        <v/>
      </c>
      <c r="P36" s="26" t="str">
        <f ca="1">IF($D36="","",IF(OFFSET('(2)出場選手'!$B$2,$A36,P$1+3*$B36)="","",OFFSET('(2)出場選手'!$B$2,$A36,P$1+3*$B36)))</f>
        <v/>
      </c>
      <c r="Q36" s="43" t="str">
        <f ca="1">IF(D36="","",VLOOKUP(N36,OFFSET(Competition_Events,0,1),11,FALSE)*IF($S36="リレー",IF(COUNTIF($T$3:$T36,$T36)&gt;1,0,1),1))</f>
        <v/>
      </c>
      <c r="R36" s="26" t="str">
        <f t="shared" ca="1" si="2"/>
        <v/>
      </c>
      <c r="S36" s="26" t="str">
        <f t="shared" ca="1" si="3"/>
        <v/>
      </c>
      <c r="T36" s="26" t="str">
        <f t="shared" ca="1" si="4"/>
        <v/>
      </c>
      <c r="U36" s="26" t="str">
        <f t="shared" ca="1" si="5"/>
        <v/>
      </c>
      <c r="W36" s="17" t="str">
        <f ca="1">IF($D36="","",OFFSET('(2)出場選手'!$B$2,$A36,W$1))</f>
        <v/>
      </c>
      <c r="X36" s="17" t="str">
        <f ca="1">IF($D36="","",OFFSET('(2)出場選手'!$B$2,$A36,X$1))</f>
        <v/>
      </c>
      <c r="Y36" s="17" t="str">
        <f ca="1">IF($D36="","",OFFSET('(2)出場選手'!$B$2,$A36,Y$1))</f>
        <v/>
      </c>
      <c r="Z36" s="17" t="str">
        <f ca="1">IF($D36="","",OFFSET('(2)出場選手'!$B$2,$A36,Z$1))</f>
        <v/>
      </c>
    </row>
    <row r="37" spans="1:26" x14ac:dyDescent="0.15">
      <c r="A37" s="17">
        <f>TRUNC((ROWS($D$3:D37)-2)/Max_Entry_Count)+1</f>
        <v>12</v>
      </c>
      <c r="B37" s="17" t="str">
        <f ca="1">IF($A37&gt;=ROWS(Entries)-2,"",IF(OFFSET('(2)出場選手'!$B$2,$A37,B$1+3*(MOD(ROWS($D$3:D37)-2,Max_Entry_Count)))="","",MOD(ROWS($D$3:D37)-2,Max_Entry_Count)))</f>
        <v/>
      </c>
      <c r="D37" s="26" t="str">
        <f ca="1">IF(OR($A37&gt;=ROWS(Entries)-2,$B37=""),"",'(1)鑑'!$E$6&amp;"-"&amp;OFFSET('(2)出場選手'!$B$2,$A37,D$1))</f>
        <v/>
      </c>
      <c r="E37" s="26" t="str">
        <f ca="1">IF($D37="","",OFFSET('(2)出場選手'!$B$2,$A37,E$1))</f>
        <v/>
      </c>
      <c r="F37" s="26" t="str">
        <f ca="1">IF($D37="","",IF(OFFSET('(2)出場選手'!$B$2,$A37,F$1)="","",OFFSET('(2)出場選手'!$B$2,$A37,F$1)))</f>
        <v/>
      </c>
      <c r="G37" s="26" t="str">
        <f t="shared" ca="1" si="0"/>
        <v/>
      </c>
      <c r="H37" s="26" t="str">
        <f t="shared" ca="1" si="1"/>
        <v/>
      </c>
      <c r="I37" s="26" t="str">
        <f ca="1">IF($D37="","",IF(OFFSET('(2)出場選手'!$B$2,$A37,I$1)="","",OFFSET('(2)出場選手'!$B$2,$A37,I$1)))</f>
        <v/>
      </c>
      <c r="J37" s="26" t="str">
        <f ca="1">IF($D37="","",IF(OFFSET('(2)出場選手'!$B$2,$A37,J$1)="",'(1)鑑'!$E$6,OFFSET('(2)出場選手'!$B$2,$A37,J$1)))</f>
        <v/>
      </c>
      <c r="K37" s="26" t="str">
        <f ca="1">IF($D37="","",TRIM(ASC(IF(OFFSET('(2)出場選手'!$B$2,$A37,K$1)="",'(1)鑑'!$E$7,OFFSET('(2)出場選手'!$B$2,$A37,K$1)))))</f>
        <v/>
      </c>
      <c r="L37" s="26" t="str">
        <f ca="1">IF($D37="","",SUBSTITUTE(SUBSTITUTE(SUBSTITUTE(IF(OFFSET('(2)出場選手'!$B$2,$A37,L$1)="",'(1)鑑'!$E$8,OFFSET('(2)出場選手'!$B$2,$A37,L$1)),"県",""),"府",""),"東京都","東京"))</f>
        <v/>
      </c>
      <c r="M37" s="57" t="str">
        <f ca="1">IF($D37="","",IF(OFFSET('(2)出場選手'!$B$2,$A37,M$1)="","",OFFSET('(2)出場選手'!$B$2,$A37,M$1)))</f>
        <v/>
      </c>
      <c r="N37" s="26" t="str">
        <f ca="1">IF($D37="","",OFFSET('(2)出場選手'!$B$2,$A37,N$1+3*$B37))</f>
        <v/>
      </c>
      <c r="O37" s="26" t="str">
        <f ca="1">IF($D37="","",IF(OFFSET('(2)出場選手'!$B$2,$A37,O$1+3*$B37)="","",OFFSET('(2)出場選手'!$B$2,$A37,O$1+3*$B37)))</f>
        <v/>
      </c>
      <c r="P37" s="26" t="str">
        <f ca="1">IF($D37="","",IF(OFFSET('(2)出場選手'!$B$2,$A37,P$1+3*$B37)="","",OFFSET('(2)出場選手'!$B$2,$A37,P$1+3*$B37)))</f>
        <v/>
      </c>
      <c r="Q37" s="43" t="str">
        <f ca="1">IF(D37="","",VLOOKUP(N37,OFFSET(Competition_Events,0,1),11,FALSE)*IF($S37="リレー",IF(COUNTIF($T$3:$T37,$T37)&gt;1,0,1),1))</f>
        <v/>
      </c>
      <c r="R37" s="26" t="str">
        <f t="shared" ca="1" si="2"/>
        <v/>
      </c>
      <c r="S37" s="26" t="str">
        <f t="shared" ca="1" si="3"/>
        <v/>
      </c>
      <c r="T37" s="26" t="str">
        <f t="shared" ca="1" si="4"/>
        <v/>
      </c>
      <c r="U37" s="26" t="str">
        <f t="shared" ca="1" si="5"/>
        <v/>
      </c>
      <c r="W37" s="17" t="str">
        <f ca="1">IF($D37="","",OFFSET('(2)出場選手'!$B$2,$A37,W$1))</f>
        <v/>
      </c>
      <c r="X37" s="17" t="str">
        <f ca="1">IF($D37="","",OFFSET('(2)出場選手'!$B$2,$A37,X$1))</f>
        <v/>
      </c>
      <c r="Y37" s="17" t="str">
        <f ca="1">IF($D37="","",OFFSET('(2)出場選手'!$B$2,$A37,Y$1))</f>
        <v/>
      </c>
      <c r="Z37" s="17" t="str">
        <f ca="1">IF($D37="","",OFFSET('(2)出場選手'!$B$2,$A37,Z$1))</f>
        <v/>
      </c>
    </row>
    <row r="38" spans="1:26" x14ac:dyDescent="0.15">
      <c r="A38" s="17">
        <f>TRUNC((ROWS($D$3:D38)-2)/Max_Entry_Count)+1</f>
        <v>12</v>
      </c>
      <c r="B38" s="17" t="str">
        <f ca="1">IF($A38&gt;=ROWS(Entries)-2,"",IF(OFFSET('(2)出場選手'!$B$2,$A38,B$1+3*(MOD(ROWS($D$3:D38)-2,Max_Entry_Count)))="","",MOD(ROWS($D$3:D38)-2,Max_Entry_Count)))</f>
        <v/>
      </c>
      <c r="D38" s="26" t="str">
        <f ca="1">IF(OR($A38&gt;=ROWS(Entries)-2,$B38=""),"",'(1)鑑'!$E$6&amp;"-"&amp;OFFSET('(2)出場選手'!$B$2,$A38,D$1))</f>
        <v/>
      </c>
      <c r="E38" s="26" t="str">
        <f ca="1">IF($D38="","",OFFSET('(2)出場選手'!$B$2,$A38,E$1))</f>
        <v/>
      </c>
      <c r="F38" s="26" t="str">
        <f ca="1">IF($D38="","",IF(OFFSET('(2)出場選手'!$B$2,$A38,F$1)="","",OFFSET('(2)出場選手'!$B$2,$A38,F$1)))</f>
        <v/>
      </c>
      <c r="G38" s="26" t="str">
        <f t="shared" ca="1" si="0"/>
        <v/>
      </c>
      <c r="H38" s="26" t="str">
        <f t="shared" ca="1" si="1"/>
        <v/>
      </c>
      <c r="I38" s="26" t="str">
        <f ca="1">IF($D38="","",IF(OFFSET('(2)出場選手'!$B$2,$A38,I$1)="","",OFFSET('(2)出場選手'!$B$2,$A38,I$1)))</f>
        <v/>
      </c>
      <c r="J38" s="26" t="str">
        <f ca="1">IF($D38="","",IF(OFFSET('(2)出場選手'!$B$2,$A38,J$1)="",'(1)鑑'!$E$6,OFFSET('(2)出場選手'!$B$2,$A38,J$1)))</f>
        <v/>
      </c>
      <c r="K38" s="26" t="str">
        <f ca="1">IF($D38="","",TRIM(ASC(IF(OFFSET('(2)出場選手'!$B$2,$A38,K$1)="",'(1)鑑'!$E$7,OFFSET('(2)出場選手'!$B$2,$A38,K$1)))))</f>
        <v/>
      </c>
      <c r="L38" s="26" t="str">
        <f ca="1">IF($D38="","",SUBSTITUTE(SUBSTITUTE(SUBSTITUTE(IF(OFFSET('(2)出場選手'!$B$2,$A38,L$1)="",'(1)鑑'!$E$8,OFFSET('(2)出場選手'!$B$2,$A38,L$1)),"県",""),"府",""),"東京都","東京"))</f>
        <v/>
      </c>
      <c r="M38" s="57" t="str">
        <f ca="1">IF($D38="","",IF(OFFSET('(2)出場選手'!$B$2,$A38,M$1)="","",OFFSET('(2)出場選手'!$B$2,$A38,M$1)))</f>
        <v/>
      </c>
      <c r="N38" s="26" t="str">
        <f ca="1">IF($D38="","",OFFSET('(2)出場選手'!$B$2,$A38,N$1+3*$B38))</f>
        <v/>
      </c>
      <c r="O38" s="26" t="str">
        <f ca="1">IF($D38="","",IF(OFFSET('(2)出場選手'!$B$2,$A38,O$1+3*$B38)="","",OFFSET('(2)出場選手'!$B$2,$A38,O$1+3*$B38)))</f>
        <v/>
      </c>
      <c r="P38" s="26" t="str">
        <f ca="1">IF($D38="","",IF(OFFSET('(2)出場選手'!$B$2,$A38,P$1+3*$B38)="","",OFFSET('(2)出場選手'!$B$2,$A38,P$1+3*$B38)))</f>
        <v/>
      </c>
      <c r="Q38" s="43" t="str">
        <f ca="1">IF(D38="","",VLOOKUP(N38,OFFSET(Competition_Events,0,1),11,FALSE)*IF($S38="リレー",IF(COUNTIF($T$3:$T38,$T38)&gt;1,0,1),1))</f>
        <v/>
      </c>
      <c r="R38" s="26" t="str">
        <f t="shared" ca="1" si="2"/>
        <v/>
      </c>
      <c r="S38" s="26" t="str">
        <f t="shared" ca="1" si="3"/>
        <v/>
      </c>
      <c r="T38" s="26" t="str">
        <f t="shared" ca="1" si="4"/>
        <v/>
      </c>
      <c r="U38" s="26" t="str">
        <f t="shared" ca="1" si="5"/>
        <v/>
      </c>
      <c r="W38" s="17" t="str">
        <f ca="1">IF($D38="","",OFFSET('(2)出場選手'!$B$2,$A38,W$1))</f>
        <v/>
      </c>
      <c r="X38" s="17" t="str">
        <f ca="1">IF($D38="","",OFFSET('(2)出場選手'!$B$2,$A38,X$1))</f>
        <v/>
      </c>
      <c r="Y38" s="17" t="str">
        <f ca="1">IF($D38="","",OFFSET('(2)出場選手'!$B$2,$A38,Y$1))</f>
        <v/>
      </c>
      <c r="Z38" s="17" t="str">
        <f ca="1">IF($D38="","",OFFSET('(2)出場選手'!$B$2,$A38,Z$1))</f>
        <v/>
      </c>
    </row>
    <row r="39" spans="1:26" x14ac:dyDescent="0.15">
      <c r="A39" s="17">
        <f>TRUNC((ROWS($D$3:D39)-2)/Max_Entry_Count)+1</f>
        <v>12</v>
      </c>
      <c r="B39" s="17" t="str">
        <f ca="1">IF($A39&gt;=ROWS(Entries)-2,"",IF(OFFSET('(2)出場選手'!$B$2,$A39,B$1+3*(MOD(ROWS($D$3:D39)-2,Max_Entry_Count)))="","",MOD(ROWS($D$3:D39)-2,Max_Entry_Count)))</f>
        <v/>
      </c>
      <c r="D39" s="26" t="str">
        <f ca="1">IF(OR($A39&gt;=ROWS(Entries)-2,$B39=""),"",'(1)鑑'!$E$6&amp;"-"&amp;OFFSET('(2)出場選手'!$B$2,$A39,D$1))</f>
        <v/>
      </c>
      <c r="E39" s="26" t="str">
        <f ca="1">IF($D39="","",OFFSET('(2)出場選手'!$B$2,$A39,E$1))</f>
        <v/>
      </c>
      <c r="F39" s="26" t="str">
        <f ca="1">IF($D39="","",IF(OFFSET('(2)出場選手'!$B$2,$A39,F$1)="","",OFFSET('(2)出場選手'!$B$2,$A39,F$1)))</f>
        <v/>
      </c>
      <c r="G39" s="26" t="str">
        <f t="shared" ca="1" si="0"/>
        <v/>
      </c>
      <c r="H39" s="26" t="str">
        <f t="shared" ca="1" si="1"/>
        <v/>
      </c>
      <c r="I39" s="26" t="str">
        <f ca="1">IF($D39="","",IF(OFFSET('(2)出場選手'!$B$2,$A39,I$1)="","",OFFSET('(2)出場選手'!$B$2,$A39,I$1)))</f>
        <v/>
      </c>
      <c r="J39" s="26" t="str">
        <f ca="1">IF($D39="","",IF(OFFSET('(2)出場選手'!$B$2,$A39,J$1)="",'(1)鑑'!$E$6,OFFSET('(2)出場選手'!$B$2,$A39,J$1)))</f>
        <v/>
      </c>
      <c r="K39" s="26" t="str">
        <f ca="1">IF($D39="","",TRIM(ASC(IF(OFFSET('(2)出場選手'!$B$2,$A39,K$1)="",'(1)鑑'!$E$7,OFFSET('(2)出場選手'!$B$2,$A39,K$1)))))</f>
        <v/>
      </c>
      <c r="L39" s="26" t="str">
        <f ca="1">IF($D39="","",SUBSTITUTE(SUBSTITUTE(SUBSTITUTE(IF(OFFSET('(2)出場選手'!$B$2,$A39,L$1)="",'(1)鑑'!$E$8,OFFSET('(2)出場選手'!$B$2,$A39,L$1)),"県",""),"府",""),"東京都","東京"))</f>
        <v/>
      </c>
      <c r="M39" s="57" t="str">
        <f ca="1">IF($D39="","",IF(OFFSET('(2)出場選手'!$B$2,$A39,M$1)="","",OFFSET('(2)出場選手'!$B$2,$A39,M$1)))</f>
        <v/>
      </c>
      <c r="N39" s="26" t="str">
        <f ca="1">IF($D39="","",OFFSET('(2)出場選手'!$B$2,$A39,N$1+3*$B39))</f>
        <v/>
      </c>
      <c r="O39" s="26" t="str">
        <f ca="1">IF($D39="","",IF(OFFSET('(2)出場選手'!$B$2,$A39,O$1+3*$B39)="","",OFFSET('(2)出場選手'!$B$2,$A39,O$1+3*$B39)))</f>
        <v/>
      </c>
      <c r="P39" s="26" t="str">
        <f ca="1">IF($D39="","",IF(OFFSET('(2)出場選手'!$B$2,$A39,P$1+3*$B39)="","",OFFSET('(2)出場選手'!$B$2,$A39,P$1+3*$B39)))</f>
        <v/>
      </c>
      <c r="Q39" s="43" t="str">
        <f ca="1">IF(D39="","",VLOOKUP(N39,OFFSET(Competition_Events,0,1),11,FALSE)*IF($S39="リレー",IF(COUNTIF($T$3:$T39,$T39)&gt;1,0,1),1))</f>
        <v/>
      </c>
      <c r="R39" s="26" t="str">
        <f t="shared" ca="1" si="2"/>
        <v/>
      </c>
      <c r="S39" s="26" t="str">
        <f t="shared" ca="1" si="3"/>
        <v/>
      </c>
      <c r="T39" s="26" t="str">
        <f t="shared" ca="1" si="4"/>
        <v/>
      </c>
      <c r="U39" s="26" t="str">
        <f t="shared" ca="1" si="5"/>
        <v/>
      </c>
      <c r="W39" s="17" t="str">
        <f ca="1">IF($D39="","",OFFSET('(2)出場選手'!$B$2,$A39,W$1))</f>
        <v/>
      </c>
      <c r="X39" s="17" t="str">
        <f ca="1">IF($D39="","",OFFSET('(2)出場選手'!$B$2,$A39,X$1))</f>
        <v/>
      </c>
      <c r="Y39" s="17" t="str">
        <f ca="1">IF($D39="","",OFFSET('(2)出場選手'!$B$2,$A39,Y$1))</f>
        <v/>
      </c>
      <c r="Z39" s="17" t="str">
        <f ca="1">IF($D39="","",OFFSET('(2)出場選手'!$B$2,$A39,Z$1))</f>
        <v/>
      </c>
    </row>
    <row r="40" spans="1:26" x14ac:dyDescent="0.15">
      <c r="A40" s="17">
        <f>TRUNC((ROWS($D$3:D40)-2)/Max_Entry_Count)+1</f>
        <v>13</v>
      </c>
      <c r="B40" s="17" t="str">
        <f ca="1">IF($A40&gt;=ROWS(Entries)-2,"",IF(OFFSET('(2)出場選手'!$B$2,$A40,B$1+3*(MOD(ROWS($D$3:D40)-2,Max_Entry_Count)))="","",MOD(ROWS($D$3:D40)-2,Max_Entry_Count)))</f>
        <v/>
      </c>
      <c r="D40" s="26" t="str">
        <f ca="1">IF(OR($A40&gt;=ROWS(Entries)-2,$B40=""),"",'(1)鑑'!$E$6&amp;"-"&amp;OFFSET('(2)出場選手'!$B$2,$A40,D$1))</f>
        <v/>
      </c>
      <c r="E40" s="26" t="str">
        <f ca="1">IF($D40="","",OFFSET('(2)出場選手'!$B$2,$A40,E$1))</f>
        <v/>
      </c>
      <c r="F40" s="26" t="str">
        <f ca="1">IF($D40="","",IF(OFFSET('(2)出場選手'!$B$2,$A40,F$1)="","",OFFSET('(2)出場選手'!$B$2,$A40,F$1)))</f>
        <v/>
      </c>
      <c r="G40" s="26" t="str">
        <f t="shared" ca="1" si="0"/>
        <v/>
      </c>
      <c r="H40" s="26" t="str">
        <f t="shared" ca="1" si="1"/>
        <v/>
      </c>
      <c r="I40" s="26" t="str">
        <f ca="1">IF($D40="","",IF(OFFSET('(2)出場選手'!$B$2,$A40,I$1)="","",OFFSET('(2)出場選手'!$B$2,$A40,I$1)))</f>
        <v/>
      </c>
      <c r="J40" s="26" t="str">
        <f ca="1">IF($D40="","",IF(OFFSET('(2)出場選手'!$B$2,$A40,J$1)="",'(1)鑑'!$E$6,OFFSET('(2)出場選手'!$B$2,$A40,J$1)))</f>
        <v/>
      </c>
      <c r="K40" s="26" t="str">
        <f ca="1">IF($D40="","",TRIM(ASC(IF(OFFSET('(2)出場選手'!$B$2,$A40,K$1)="",'(1)鑑'!$E$7,OFFSET('(2)出場選手'!$B$2,$A40,K$1)))))</f>
        <v/>
      </c>
      <c r="L40" s="26" t="str">
        <f ca="1">IF($D40="","",SUBSTITUTE(SUBSTITUTE(SUBSTITUTE(IF(OFFSET('(2)出場選手'!$B$2,$A40,L$1)="",'(1)鑑'!$E$8,OFFSET('(2)出場選手'!$B$2,$A40,L$1)),"県",""),"府",""),"東京都","東京"))</f>
        <v/>
      </c>
      <c r="M40" s="57" t="str">
        <f ca="1">IF($D40="","",IF(OFFSET('(2)出場選手'!$B$2,$A40,M$1)="","",OFFSET('(2)出場選手'!$B$2,$A40,M$1)))</f>
        <v/>
      </c>
      <c r="N40" s="26" t="str">
        <f ca="1">IF($D40="","",OFFSET('(2)出場選手'!$B$2,$A40,N$1+3*$B40))</f>
        <v/>
      </c>
      <c r="O40" s="26" t="str">
        <f ca="1">IF($D40="","",IF(OFFSET('(2)出場選手'!$B$2,$A40,O$1+3*$B40)="","",OFFSET('(2)出場選手'!$B$2,$A40,O$1+3*$B40)))</f>
        <v/>
      </c>
      <c r="P40" s="26" t="str">
        <f ca="1">IF($D40="","",IF(OFFSET('(2)出場選手'!$B$2,$A40,P$1+3*$B40)="","",OFFSET('(2)出場選手'!$B$2,$A40,P$1+3*$B40)))</f>
        <v/>
      </c>
      <c r="Q40" s="43" t="str">
        <f ca="1">IF(D40="","",VLOOKUP(N40,OFFSET(Competition_Events,0,1),11,FALSE)*IF($S40="リレー",IF(COUNTIF($T$3:$T40,$T40)&gt;1,0,1),1))</f>
        <v/>
      </c>
      <c r="R40" s="26" t="str">
        <f t="shared" ca="1" si="2"/>
        <v/>
      </c>
      <c r="S40" s="26" t="str">
        <f t="shared" ca="1" si="3"/>
        <v/>
      </c>
      <c r="T40" s="26" t="str">
        <f t="shared" ca="1" si="4"/>
        <v/>
      </c>
      <c r="U40" s="26" t="str">
        <f t="shared" ca="1" si="5"/>
        <v/>
      </c>
      <c r="W40" s="17" t="str">
        <f ca="1">IF($D40="","",OFFSET('(2)出場選手'!$B$2,$A40,W$1))</f>
        <v/>
      </c>
      <c r="X40" s="17" t="str">
        <f ca="1">IF($D40="","",OFFSET('(2)出場選手'!$B$2,$A40,X$1))</f>
        <v/>
      </c>
      <c r="Y40" s="17" t="str">
        <f ca="1">IF($D40="","",OFFSET('(2)出場選手'!$B$2,$A40,Y$1))</f>
        <v/>
      </c>
      <c r="Z40" s="17" t="str">
        <f ca="1">IF($D40="","",OFFSET('(2)出場選手'!$B$2,$A40,Z$1))</f>
        <v/>
      </c>
    </row>
    <row r="41" spans="1:26" x14ac:dyDescent="0.15">
      <c r="A41" s="17">
        <f>TRUNC((ROWS($D$3:D41)-2)/Max_Entry_Count)+1</f>
        <v>13</v>
      </c>
      <c r="B41" s="17" t="str">
        <f ca="1">IF($A41&gt;=ROWS(Entries)-2,"",IF(OFFSET('(2)出場選手'!$B$2,$A41,B$1+3*(MOD(ROWS($D$3:D41)-2,Max_Entry_Count)))="","",MOD(ROWS($D$3:D41)-2,Max_Entry_Count)))</f>
        <v/>
      </c>
      <c r="D41" s="26" t="str">
        <f ca="1">IF(OR($A41&gt;=ROWS(Entries)-2,$B41=""),"",'(1)鑑'!$E$6&amp;"-"&amp;OFFSET('(2)出場選手'!$B$2,$A41,D$1))</f>
        <v/>
      </c>
      <c r="E41" s="26" t="str">
        <f ca="1">IF($D41="","",OFFSET('(2)出場選手'!$B$2,$A41,E$1))</f>
        <v/>
      </c>
      <c r="F41" s="26" t="str">
        <f ca="1">IF($D41="","",IF(OFFSET('(2)出場選手'!$B$2,$A41,F$1)="","",OFFSET('(2)出場選手'!$B$2,$A41,F$1)))</f>
        <v/>
      </c>
      <c r="G41" s="26" t="str">
        <f t="shared" ca="1" si="0"/>
        <v/>
      </c>
      <c r="H41" s="26" t="str">
        <f t="shared" ca="1" si="1"/>
        <v/>
      </c>
      <c r="I41" s="26" t="str">
        <f ca="1">IF($D41="","",IF(OFFSET('(2)出場選手'!$B$2,$A41,I$1)="","",OFFSET('(2)出場選手'!$B$2,$A41,I$1)))</f>
        <v/>
      </c>
      <c r="J41" s="26" t="str">
        <f ca="1">IF($D41="","",IF(OFFSET('(2)出場選手'!$B$2,$A41,J$1)="",'(1)鑑'!$E$6,OFFSET('(2)出場選手'!$B$2,$A41,J$1)))</f>
        <v/>
      </c>
      <c r="K41" s="26" t="str">
        <f ca="1">IF($D41="","",TRIM(ASC(IF(OFFSET('(2)出場選手'!$B$2,$A41,K$1)="",'(1)鑑'!$E$7,OFFSET('(2)出場選手'!$B$2,$A41,K$1)))))</f>
        <v/>
      </c>
      <c r="L41" s="26" t="str">
        <f ca="1">IF($D41="","",SUBSTITUTE(SUBSTITUTE(SUBSTITUTE(IF(OFFSET('(2)出場選手'!$B$2,$A41,L$1)="",'(1)鑑'!$E$8,OFFSET('(2)出場選手'!$B$2,$A41,L$1)),"県",""),"府",""),"東京都","東京"))</f>
        <v/>
      </c>
      <c r="M41" s="57" t="str">
        <f ca="1">IF($D41="","",IF(OFFSET('(2)出場選手'!$B$2,$A41,M$1)="","",OFFSET('(2)出場選手'!$B$2,$A41,M$1)))</f>
        <v/>
      </c>
      <c r="N41" s="26" t="str">
        <f ca="1">IF($D41="","",OFFSET('(2)出場選手'!$B$2,$A41,N$1+3*$B41))</f>
        <v/>
      </c>
      <c r="O41" s="26" t="str">
        <f ca="1">IF($D41="","",IF(OFFSET('(2)出場選手'!$B$2,$A41,O$1+3*$B41)="","",OFFSET('(2)出場選手'!$B$2,$A41,O$1+3*$B41)))</f>
        <v/>
      </c>
      <c r="P41" s="26" t="str">
        <f ca="1">IF($D41="","",IF(OFFSET('(2)出場選手'!$B$2,$A41,P$1+3*$B41)="","",OFFSET('(2)出場選手'!$B$2,$A41,P$1+3*$B41)))</f>
        <v/>
      </c>
      <c r="Q41" s="43" t="str">
        <f ca="1">IF(D41="","",VLOOKUP(N41,OFFSET(Competition_Events,0,1),11,FALSE)*IF($S41="リレー",IF(COUNTIF($T$3:$T41,$T41)&gt;1,0,1),1))</f>
        <v/>
      </c>
      <c r="R41" s="26" t="str">
        <f t="shared" ca="1" si="2"/>
        <v/>
      </c>
      <c r="S41" s="26" t="str">
        <f t="shared" ca="1" si="3"/>
        <v/>
      </c>
      <c r="T41" s="26" t="str">
        <f t="shared" ca="1" si="4"/>
        <v/>
      </c>
      <c r="U41" s="26" t="str">
        <f t="shared" ca="1" si="5"/>
        <v/>
      </c>
      <c r="W41" s="17" t="str">
        <f ca="1">IF($D41="","",OFFSET('(2)出場選手'!$B$2,$A41,W$1))</f>
        <v/>
      </c>
      <c r="X41" s="17" t="str">
        <f ca="1">IF($D41="","",OFFSET('(2)出場選手'!$B$2,$A41,X$1))</f>
        <v/>
      </c>
      <c r="Y41" s="17" t="str">
        <f ca="1">IF($D41="","",OFFSET('(2)出場選手'!$B$2,$A41,Y$1))</f>
        <v/>
      </c>
      <c r="Z41" s="17" t="str">
        <f ca="1">IF($D41="","",OFFSET('(2)出場選手'!$B$2,$A41,Z$1))</f>
        <v/>
      </c>
    </row>
    <row r="42" spans="1:26" x14ac:dyDescent="0.15">
      <c r="A42" s="17">
        <f>TRUNC((ROWS($D$3:D42)-2)/Max_Entry_Count)+1</f>
        <v>13</v>
      </c>
      <c r="B42" s="17" t="str">
        <f ca="1">IF($A42&gt;=ROWS(Entries)-2,"",IF(OFFSET('(2)出場選手'!$B$2,$A42,B$1+3*(MOD(ROWS($D$3:D42)-2,Max_Entry_Count)))="","",MOD(ROWS($D$3:D42)-2,Max_Entry_Count)))</f>
        <v/>
      </c>
      <c r="D42" s="26" t="str">
        <f ca="1">IF(OR($A42&gt;=ROWS(Entries)-2,$B42=""),"",'(1)鑑'!$E$6&amp;"-"&amp;OFFSET('(2)出場選手'!$B$2,$A42,D$1))</f>
        <v/>
      </c>
      <c r="E42" s="26" t="str">
        <f ca="1">IF($D42="","",OFFSET('(2)出場選手'!$B$2,$A42,E$1))</f>
        <v/>
      </c>
      <c r="F42" s="26" t="str">
        <f ca="1">IF($D42="","",IF(OFFSET('(2)出場選手'!$B$2,$A42,F$1)="","",OFFSET('(2)出場選手'!$B$2,$A42,F$1)))</f>
        <v/>
      </c>
      <c r="G42" s="26" t="str">
        <f t="shared" ca="1" si="0"/>
        <v/>
      </c>
      <c r="H42" s="26" t="str">
        <f t="shared" ca="1" si="1"/>
        <v/>
      </c>
      <c r="I42" s="26" t="str">
        <f ca="1">IF($D42="","",IF(OFFSET('(2)出場選手'!$B$2,$A42,I$1)="","",OFFSET('(2)出場選手'!$B$2,$A42,I$1)))</f>
        <v/>
      </c>
      <c r="J42" s="26" t="str">
        <f ca="1">IF($D42="","",IF(OFFSET('(2)出場選手'!$B$2,$A42,J$1)="",'(1)鑑'!$E$6,OFFSET('(2)出場選手'!$B$2,$A42,J$1)))</f>
        <v/>
      </c>
      <c r="K42" s="26" t="str">
        <f ca="1">IF($D42="","",TRIM(ASC(IF(OFFSET('(2)出場選手'!$B$2,$A42,K$1)="",'(1)鑑'!$E$7,OFFSET('(2)出場選手'!$B$2,$A42,K$1)))))</f>
        <v/>
      </c>
      <c r="L42" s="26" t="str">
        <f ca="1">IF($D42="","",SUBSTITUTE(SUBSTITUTE(SUBSTITUTE(IF(OFFSET('(2)出場選手'!$B$2,$A42,L$1)="",'(1)鑑'!$E$8,OFFSET('(2)出場選手'!$B$2,$A42,L$1)),"県",""),"府",""),"東京都","東京"))</f>
        <v/>
      </c>
      <c r="M42" s="57" t="str">
        <f ca="1">IF($D42="","",IF(OFFSET('(2)出場選手'!$B$2,$A42,M$1)="","",OFFSET('(2)出場選手'!$B$2,$A42,M$1)))</f>
        <v/>
      </c>
      <c r="N42" s="26" t="str">
        <f ca="1">IF($D42="","",OFFSET('(2)出場選手'!$B$2,$A42,N$1+3*$B42))</f>
        <v/>
      </c>
      <c r="O42" s="26" t="str">
        <f ca="1">IF($D42="","",IF(OFFSET('(2)出場選手'!$B$2,$A42,O$1+3*$B42)="","",OFFSET('(2)出場選手'!$B$2,$A42,O$1+3*$B42)))</f>
        <v/>
      </c>
      <c r="P42" s="26" t="str">
        <f ca="1">IF($D42="","",IF(OFFSET('(2)出場選手'!$B$2,$A42,P$1+3*$B42)="","",OFFSET('(2)出場選手'!$B$2,$A42,P$1+3*$B42)))</f>
        <v/>
      </c>
      <c r="Q42" s="43" t="str">
        <f ca="1">IF(D42="","",VLOOKUP(N42,OFFSET(Competition_Events,0,1),11,FALSE)*IF($S42="リレー",IF(COUNTIF($T$3:$T42,$T42)&gt;1,0,1),1))</f>
        <v/>
      </c>
      <c r="R42" s="26" t="str">
        <f t="shared" ca="1" si="2"/>
        <v/>
      </c>
      <c r="S42" s="26" t="str">
        <f t="shared" ca="1" si="3"/>
        <v/>
      </c>
      <c r="T42" s="26" t="str">
        <f t="shared" ca="1" si="4"/>
        <v/>
      </c>
      <c r="U42" s="26" t="str">
        <f t="shared" ca="1" si="5"/>
        <v/>
      </c>
      <c r="W42" s="17" t="str">
        <f ca="1">IF($D42="","",OFFSET('(2)出場選手'!$B$2,$A42,W$1))</f>
        <v/>
      </c>
      <c r="X42" s="17" t="str">
        <f ca="1">IF($D42="","",OFFSET('(2)出場選手'!$B$2,$A42,X$1))</f>
        <v/>
      </c>
      <c r="Y42" s="17" t="str">
        <f ca="1">IF($D42="","",OFFSET('(2)出場選手'!$B$2,$A42,Y$1))</f>
        <v/>
      </c>
      <c r="Z42" s="17" t="str">
        <f ca="1">IF($D42="","",OFFSET('(2)出場選手'!$B$2,$A42,Z$1))</f>
        <v/>
      </c>
    </row>
    <row r="43" spans="1:26" x14ac:dyDescent="0.15">
      <c r="A43" s="17">
        <f>TRUNC((ROWS($D$3:D43)-2)/Max_Entry_Count)+1</f>
        <v>14</v>
      </c>
      <c r="B43" s="17" t="str">
        <f ca="1">IF($A43&gt;=ROWS(Entries)-2,"",IF(OFFSET('(2)出場選手'!$B$2,$A43,B$1+3*(MOD(ROWS($D$3:D43)-2,Max_Entry_Count)))="","",MOD(ROWS($D$3:D43)-2,Max_Entry_Count)))</f>
        <v/>
      </c>
      <c r="D43" s="26" t="str">
        <f ca="1">IF(OR($A43&gt;=ROWS(Entries)-2,$B43=""),"",'(1)鑑'!$E$6&amp;"-"&amp;OFFSET('(2)出場選手'!$B$2,$A43,D$1))</f>
        <v/>
      </c>
      <c r="E43" s="26" t="str">
        <f ca="1">IF($D43="","",OFFSET('(2)出場選手'!$B$2,$A43,E$1))</f>
        <v/>
      </c>
      <c r="F43" s="26" t="str">
        <f ca="1">IF($D43="","",IF(OFFSET('(2)出場選手'!$B$2,$A43,F$1)="","",OFFSET('(2)出場選手'!$B$2,$A43,F$1)))</f>
        <v/>
      </c>
      <c r="G43" s="26" t="str">
        <f t="shared" ca="1" si="0"/>
        <v/>
      </c>
      <c r="H43" s="26" t="str">
        <f t="shared" ca="1" si="1"/>
        <v/>
      </c>
      <c r="I43" s="26" t="str">
        <f ca="1">IF($D43="","",IF(OFFSET('(2)出場選手'!$B$2,$A43,I$1)="","",OFFSET('(2)出場選手'!$B$2,$A43,I$1)))</f>
        <v/>
      </c>
      <c r="J43" s="26" t="str">
        <f ca="1">IF($D43="","",IF(OFFSET('(2)出場選手'!$B$2,$A43,J$1)="",'(1)鑑'!$E$6,OFFSET('(2)出場選手'!$B$2,$A43,J$1)))</f>
        <v/>
      </c>
      <c r="K43" s="26" t="str">
        <f ca="1">IF($D43="","",TRIM(ASC(IF(OFFSET('(2)出場選手'!$B$2,$A43,K$1)="",'(1)鑑'!$E$7,OFFSET('(2)出場選手'!$B$2,$A43,K$1)))))</f>
        <v/>
      </c>
      <c r="L43" s="26" t="str">
        <f ca="1">IF($D43="","",SUBSTITUTE(SUBSTITUTE(SUBSTITUTE(IF(OFFSET('(2)出場選手'!$B$2,$A43,L$1)="",'(1)鑑'!$E$8,OFFSET('(2)出場選手'!$B$2,$A43,L$1)),"県",""),"府",""),"東京都","東京"))</f>
        <v/>
      </c>
      <c r="M43" s="57" t="str">
        <f ca="1">IF($D43="","",IF(OFFSET('(2)出場選手'!$B$2,$A43,M$1)="","",OFFSET('(2)出場選手'!$B$2,$A43,M$1)))</f>
        <v/>
      </c>
      <c r="N43" s="26" t="str">
        <f ca="1">IF($D43="","",OFFSET('(2)出場選手'!$B$2,$A43,N$1+3*$B43))</f>
        <v/>
      </c>
      <c r="O43" s="26" t="str">
        <f ca="1">IF($D43="","",IF(OFFSET('(2)出場選手'!$B$2,$A43,O$1+3*$B43)="","",OFFSET('(2)出場選手'!$B$2,$A43,O$1+3*$B43)))</f>
        <v/>
      </c>
      <c r="P43" s="26" t="str">
        <f ca="1">IF($D43="","",IF(OFFSET('(2)出場選手'!$B$2,$A43,P$1+3*$B43)="","",OFFSET('(2)出場選手'!$B$2,$A43,P$1+3*$B43)))</f>
        <v/>
      </c>
      <c r="Q43" s="43" t="str">
        <f ca="1">IF(D43="","",VLOOKUP(N43,OFFSET(Competition_Events,0,1),11,FALSE)*IF($S43="リレー",IF(COUNTIF($T$3:$T43,$T43)&gt;1,0,1),1))</f>
        <v/>
      </c>
      <c r="R43" s="26" t="str">
        <f t="shared" ca="1" si="2"/>
        <v/>
      </c>
      <c r="S43" s="26" t="str">
        <f t="shared" ca="1" si="3"/>
        <v/>
      </c>
      <c r="T43" s="26" t="str">
        <f t="shared" ca="1" si="4"/>
        <v/>
      </c>
      <c r="U43" s="26" t="str">
        <f t="shared" ca="1" si="5"/>
        <v/>
      </c>
      <c r="W43" s="17" t="str">
        <f ca="1">IF($D43="","",OFFSET('(2)出場選手'!$B$2,$A43,W$1))</f>
        <v/>
      </c>
      <c r="X43" s="17" t="str">
        <f ca="1">IF($D43="","",OFFSET('(2)出場選手'!$B$2,$A43,X$1))</f>
        <v/>
      </c>
      <c r="Y43" s="17" t="str">
        <f ca="1">IF($D43="","",OFFSET('(2)出場選手'!$B$2,$A43,Y$1))</f>
        <v/>
      </c>
      <c r="Z43" s="17" t="str">
        <f ca="1">IF($D43="","",OFFSET('(2)出場選手'!$B$2,$A43,Z$1))</f>
        <v/>
      </c>
    </row>
    <row r="44" spans="1:26" x14ac:dyDescent="0.15">
      <c r="A44" s="17">
        <f>TRUNC((ROWS($D$3:D44)-2)/Max_Entry_Count)+1</f>
        <v>14</v>
      </c>
      <c r="B44" s="17" t="str">
        <f ca="1">IF($A44&gt;=ROWS(Entries)-2,"",IF(OFFSET('(2)出場選手'!$B$2,$A44,B$1+3*(MOD(ROWS($D$3:D44)-2,Max_Entry_Count)))="","",MOD(ROWS($D$3:D44)-2,Max_Entry_Count)))</f>
        <v/>
      </c>
      <c r="D44" s="26" t="str">
        <f ca="1">IF(OR($A44&gt;=ROWS(Entries)-2,$B44=""),"",'(1)鑑'!$E$6&amp;"-"&amp;OFFSET('(2)出場選手'!$B$2,$A44,D$1))</f>
        <v/>
      </c>
      <c r="E44" s="26" t="str">
        <f ca="1">IF($D44="","",OFFSET('(2)出場選手'!$B$2,$A44,E$1))</f>
        <v/>
      </c>
      <c r="F44" s="26" t="str">
        <f ca="1">IF($D44="","",IF(OFFSET('(2)出場選手'!$B$2,$A44,F$1)="","",OFFSET('(2)出場選手'!$B$2,$A44,F$1)))</f>
        <v/>
      </c>
      <c r="G44" s="26" t="str">
        <f t="shared" ca="1" si="0"/>
        <v/>
      </c>
      <c r="H44" s="26" t="str">
        <f t="shared" ca="1" si="1"/>
        <v/>
      </c>
      <c r="I44" s="26" t="str">
        <f ca="1">IF($D44="","",IF(OFFSET('(2)出場選手'!$B$2,$A44,I$1)="","",OFFSET('(2)出場選手'!$B$2,$A44,I$1)))</f>
        <v/>
      </c>
      <c r="J44" s="26" t="str">
        <f ca="1">IF($D44="","",IF(OFFSET('(2)出場選手'!$B$2,$A44,J$1)="",'(1)鑑'!$E$6,OFFSET('(2)出場選手'!$B$2,$A44,J$1)))</f>
        <v/>
      </c>
      <c r="K44" s="26" t="str">
        <f ca="1">IF($D44="","",TRIM(ASC(IF(OFFSET('(2)出場選手'!$B$2,$A44,K$1)="",'(1)鑑'!$E$7,OFFSET('(2)出場選手'!$B$2,$A44,K$1)))))</f>
        <v/>
      </c>
      <c r="L44" s="26" t="str">
        <f ca="1">IF($D44="","",SUBSTITUTE(SUBSTITUTE(SUBSTITUTE(IF(OFFSET('(2)出場選手'!$B$2,$A44,L$1)="",'(1)鑑'!$E$8,OFFSET('(2)出場選手'!$B$2,$A44,L$1)),"県",""),"府",""),"東京都","東京"))</f>
        <v/>
      </c>
      <c r="M44" s="57" t="str">
        <f ca="1">IF($D44="","",IF(OFFSET('(2)出場選手'!$B$2,$A44,M$1)="","",OFFSET('(2)出場選手'!$B$2,$A44,M$1)))</f>
        <v/>
      </c>
      <c r="N44" s="26" t="str">
        <f ca="1">IF($D44="","",OFFSET('(2)出場選手'!$B$2,$A44,N$1+3*$B44))</f>
        <v/>
      </c>
      <c r="O44" s="26" t="str">
        <f ca="1">IF($D44="","",IF(OFFSET('(2)出場選手'!$B$2,$A44,O$1+3*$B44)="","",OFFSET('(2)出場選手'!$B$2,$A44,O$1+3*$B44)))</f>
        <v/>
      </c>
      <c r="P44" s="26" t="str">
        <f ca="1">IF($D44="","",IF(OFFSET('(2)出場選手'!$B$2,$A44,P$1+3*$B44)="","",OFFSET('(2)出場選手'!$B$2,$A44,P$1+3*$B44)))</f>
        <v/>
      </c>
      <c r="Q44" s="43" t="str">
        <f ca="1">IF(D44="","",VLOOKUP(N44,OFFSET(Competition_Events,0,1),11,FALSE)*IF($S44="リレー",IF(COUNTIF($T$3:$T44,$T44)&gt;1,0,1),1))</f>
        <v/>
      </c>
      <c r="R44" s="26" t="str">
        <f t="shared" ca="1" si="2"/>
        <v/>
      </c>
      <c r="S44" s="26" t="str">
        <f t="shared" ca="1" si="3"/>
        <v/>
      </c>
      <c r="T44" s="26" t="str">
        <f t="shared" ca="1" si="4"/>
        <v/>
      </c>
      <c r="U44" s="26" t="str">
        <f t="shared" ca="1" si="5"/>
        <v/>
      </c>
      <c r="W44" s="17" t="str">
        <f ca="1">IF($D44="","",OFFSET('(2)出場選手'!$B$2,$A44,W$1))</f>
        <v/>
      </c>
      <c r="X44" s="17" t="str">
        <f ca="1">IF($D44="","",OFFSET('(2)出場選手'!$B$2,$A44,X$1))</f>
        <v/>
      </c>
      <c r="Y44" s="17" t="str">
        <f ca="1">IF($D44="","",OFFSET('(2)出場選手'!$B$2,$A44,Y$1))</f>
        <v/>
      </c>
      <c r="Z44" s="17" t="str">
        <f ca="1">IF($D44="","",OFFSET('(2)出場選手'!$B$2,$A44,Z$1))</f>
        <v/>
      </c>
    </row>
    <row r="45" spans="1:26" x14ac:dyDescent="0.15">
      <c r="A45" s="17">
        <f>TRUNC((ROWS($D$3:D45)-2)/Max_Entry_Count)+1</f>
        <v>14</v>
      </c>
      <c r="B45" s="17" t="str">
        <f ca="1">IF($A45&gt;=ROWS(Entries)-2,"",IF(OFFSET('(2)出場選手'!$B$2,$A45,B$1+3*(MOD(ROWS($D$3:D45)-2,Max_Entry_Count)))="","",MOD(ROWS($D$3:D45)-2,Max_Entry_Count)))</f>
        <v/>
      </c>
      <c r="D45" s="26" t="str">
        <f ca="1">IF(OR($A45&gt;=ROWS(Entries)-2,$B45=""),"",'(1)鑑'!$E$6&amp;"-"&amp;OFFSET('(2)出場選手'!$B$2,$A45,D$1))</f>
        <v/>
      </c>
      <c r="E45" s="26" t="str">
        <f ca="1">IF($D45="","",OFFSET('(2)出場選手'!$B$2,$A45,E$1))</f>
        <v/>
      </c>
      <c r="F45" s="26" t="str">
        <f ca="1">IF($D45="","",IF(OFFSET('(2)出場選手'!$B$2,$A45,F$1)="","",OFFSET('(2)出場選手'!$B$2,$A45,F$1)))</f>
        <v/>
      </c>
      <c r="G45" s="26" t="str">
        <f t="shared" ca="1" si="0"/>
        <v/>
      </c>
      <c r="H45" s="26" t="str">
        <f t="shared" ca="1" si="1"/>
        <v/>
      </c>
      <c r="I45" s="26" t="str">
        <f ca="1">IF($D45="","",IF(OFFSET('(2)出場選手'!$B$2,$A45,I$1)="","",OFFSET('(2)出場選手'!$B$2,$A45,I$1)))</f>
        <v/>
      </c>
      <c r="J45" s="26" t="str">
        <f ca="1">IF($D45="","",IF(OFFSET('(2)出場選手'!$B$2,$A45,J$1)="",'(1)鑑'!$E$6,OFFSET('(2)出場選手'!$B$2,$A45,J$1)))</f>
        <v/>
      </c>
      <c r="K45" s="26" t="str">
        <f ca="1">IF($D45="","",TRIM(ASC(IF(OFFSET('(2)出場選手'!$B$2,$A45,K$1)="",'(1)鑑'!$E$7,OFFSET('(2)出場選手'!$B$2,$A45,K$1)))))</f>
        <v/>
      </c>
      <c r="L45" s="26" t="str">
        <f ca="1">IF($D45="","",SUBSTITUTE(SUBSTITUTE(SUBSTITUTE(IF(OFFSET('(2)出場選手'!$B$2,$A45,L$1)="",'(1)鑑'!$E$8,OFFSET('(2)出場選手'!$B$2,$A45,L$1)),"県",""),"府",""),"東京都","東京"))</f>
        <v/>
      </c>
      <c r="M45" s="57" t="str">
        <f ca="1">IF($D45="","",IF(OFFSET('(2)出場選手'!$B$2,$A45,M$1)="","",OFFSET('(2)出場選手'!$B$2,$A45,M$1)))</f>
        <v/>
      </c>
      <c r="N45" s="26" t="str">
        <f ca="1">IF($D45="","",OFFSET('(2)出場選手'!$B$2,$A45,N$1+3*$B45))</f>
        <v/>
      </c>
      <c r="O45" s="26" t="str">
        <f ca="1">IF($D45="","",IF(OFFSET('(2)出場選手'!$B$2,$A45,O$1+3*$B45)="","",OFFSET('(2)出場選手'!$B$2,$A45,O$1+3*$B45)))</f>
        <v/>
      </c>
      <c r="P45" s="26" t="str">
        <f ca="1">IF($D45="","",IF(OFFSET('(2)出場選手'!$B$2,$A45,P$1+3*$B45)="","",OFFSET('(2)出場選手'!$B$2,$A45,P$1+3*$B45)))</f>
        <v/>
      </c>
      <c r="Q45" s="43" t="str">
        <f ca="1">IF(D45="","",VLOOKUP(N45,OFFSET(Competition_Events,0,1),11,FALSE)*IF($S45="リレー",IF(COUNTIF($T$3:$T45,$T45)&gt;1,0,1),1))</f>
        <v/>
      </c>
      <c r="R45" s="26" t="str">
        <f t="shared" ca="1" si="2"/>
        <v/>
      </c>
      <c r="S45" s="26" t="str">
        <f t="shared" ca="1" si="3"/>
        <v/>
      </c>
      <c r="T45" s="26" t="str">
        <f t="shared" ca="1" si="4"/>
        <v/>
      </c>
      <c r="U45" s="26" t="str">
        <f t="shared" ca="1" si="5"/>
        <v/>
      </c>
      <c r="W45" s="17" t="str">
        <f ca="1">IF($D45="","",OFFSET('(2)出場選手'!$B$2,$A45,W$1))</f>
        <v/>
      </c>
      <c r="X45" s="17" t="str">
        <f ca="1">IF($D45="","",OFFSET('(2)出場選手'!$B$2,$A45,X$1))</f>
        <v/>
      </c>
      <c r="Y45" s="17" t="str">
        <f ca="1">IF($D45="","",OFFSET('(2)出場選手'!$B$2,$A45,Y$1))</f>
        <v/>
      </c>
      <c r="Z45" s="17" t="str">
        <f ca="1">IF($D45="","",OFFSET('(2)出場選手'!$B$2,$A45,Z$1))</f>
        <v/>
      </c>
    </row>
    <row r="46" spans="1:26" x14ac:dyDescent="0.15">
      <c r="A46" s="17">
        <f>TRUNC((ROWS($D$3:D46)-2)/Max_Entry_Count)+1</f>
        <v>15</v>
      </c>
      <c r="B46" s="17" t="str">
        <f ca="1">IF($A46&gt;=ROWS(Entries)-2,"",IF(OFFSET('(2)出場選手'!$B$2,$A46,B$1+3*(MOD(ROWS($D$3:D46)-2,Max_Entry_Count)))="","",MOD(ROWS($D$3:D46)-2,Max_Entry_Count)))</f>
        <v/>
      </c>
      <c r="D46" s="26" t="str">
        <f ca="1">IF(OR($A46&gt;=ROWS(Entries)-2,$B46=""),"",'(1)鑑'!$E$6&amp;"-"&amp;OFFSET('(2)出場選手'!$B$2,$A46,D$1))</f>
        <v/>
      </c>
      <c r="E46" s="26" t="str">
        <f ca="1">IF($D46="","",OFFSET('(2)出場選手'!$B$2,$A46,E$1))</f>
        <v/>
      </c>
      <c r="F46" s="26" t="str">
        <f ca="1">IF($D46="","",IF(OFFSET('(2)出場選手'!$B$2,$A46,F$1)="","",OFFSET('(2)出場選手'!$B$2,$A46,F$1)))</f>
        <v/>
      </c>
      <c r="G46" s="26" t="str">
        <f t="shared" ca="1" si="0"/>
        <v/>
      </c>
      <c r="H46" s="26" t="str">
        <f t="shared" ca="1" si="1"/>
        <v/>
      </c>
      <c r="I46" s="26" t="str">
        <f ca="1">IF($D46="","",IF(OFFSET('(2)出場選手'!$B$2,$A46,I$1)="","",OFFSET('(2)出場選手'!$B$2,$A46,I$1)))</f>
        <v/>
      </c>
      <c r="J46" s="26" t="str">
        <f ca="1">IF($D46="","",IF(OFFSET('(2)出場選手'!$B$2,$A46,J$1)="",'(1)鑑'!$E$6,OFFSET('(2)出場選手'!$B$2,$A46,J$1)))</f>
        <v/>
      </c>
      <c r="K46" s="26" t="str">
        <f ca="1">IF($D46="","",TRIM(ASC(IF(OFFSET('(2)出場選手'!$B$2,$A46,K$1)="",'(1)鑑'!$E$7,OFFSET('(2)出場選手'!$B$2,$A46,K$1)))))</f>
        <v/>
      </c>
      <c r="L46" s="26" t="str">
        <f ca="1">IF($D46="","",SUBSTITUTE(SUBSTITUTE(SUBSTITUTE(IF(OFFSET('(2)出場選手'!$B$2,$A46,L$1)="",'(1)鑑'!$E$8,OFFSET('(2)出場選手'!$B$2,$A46,L$1)),"県",""),"府",""),"東京都","東京"))</f>
        <v/>
      </c>
      <c r="M46" s="57" t="str">
        <f ca="1">IF($D46="","",IF(OFFSET('(2)出場選手'!$B$2,$A46,M$1)="","",OFFSET('(2)出場選手'!$B$2,$A46,M$1)))</f>
        <v/>
      </c>
      <c r="N46" s="26" t="str">
        <f ca="1">IF($D46="","",OFFSET('(2)出場選手'!$B$2,$A46,N$1+3*$B46))</f>
        <v/>
      </c>
      <c r="O46" s="26" t="str">
        <f ca="1">IF($D46="","",IF(OFFSET('(2)出場選手'!$B$2,$A46,O$1+3*$B46)="","",OFFSET('(2)出場選手'!$B$2,$A46,O$1+3*$B46)))</f>
        <v/>
      </c>
      <c r="P46" s="26" t="str">
        <f ca="1">IF($D46="","",IF(OFFSET('(2)出場選手'!$B$2,$A46,P$1+3*$B46)="","",OFFSET('(2)出場選手'!$B$2,$A46,P$1+3*$B46)))</f>
        <v/>
      </c>
      <c r="Q46" s="43" t="str">
        <f ca="1">IF(D46="","",VLOOKUP(N46,OFFSET(Competition_Events,0,1),11,FALSE)*IF($S46="リレー",IF(COUNTIF($T$3:$T46,$T46)&gt;1,0,1),1))</f>
        <v/>
      </c>
      <c r="R46" s="26" t="str">
        <f t="shared" ca="1" si="2"/>
        <v/>
      </c>
      <c r="S46" s="26" t="str">
        <f t="shared" ca="1" si="3"/>
        <v/>
      </c>
      <c r="T46" s="26" t="str">
        <f t="shared" ca="1" si="4"/>
        <v/>
      </c>
      <c r="U46" s="26" t="str">
        <f t="shared" ca="1" si="5"/>
        <v/>
      </c>
      <c r="W46" s="17" t="str">
        <f ca="1">IF($D46="","",OFFSET('(2)出場選手'!$B$2,$A46,W$1))</f>
        <v/>
      </c>
      <c r="X46" s="17" t="str">
        <f ca="1">IF($D46="","",OFFSET('(2)出場選手'!$B$2,$A46,X$1))</f>
        <v/>
      </c>
      <c r="Y46" s="17" t="str">
        <f ca="1">IF($D46="","",OFFSET('(2)出場選手'!$B$2,$A46,Y$1))</f>
        <v/>
      </c>
      <c r="Z46" s="17" t="str">
        <f ca="1">IF($D46="","",OFFSET('(2)出場選手'!$B$2,$A46,Z$1))</f>
        <v/>
      </c>
    </row>
    <row r="47" spans="1:26" x14ac:dyDescent="0.15">
      <c r="A47" s="17">
        <f>TRUNC((ROWS($D$3:D47)-2)/Max_Entry_Count)+1</f>
        <v>15</v>
      </c>
      <c r="B47" s="17" t="str">
        <f ca="1">IF($A47&gt;=ROWS(Entries)-2,"",IF(OFFSET('(2)出場選手'!$B$2,$A47,B$1+3*(MOD(ROWS($D$3:D47)-2,Max_Entry_Count)))="","",MOD(ROWS($D$3:D47)-2,Max_Entry_Count)))</f>
        <v/>
      </c>
      <c r="D47" s="26" t="str">
        <f ca="1">IF(OR($A47&gt;=ROWS(Entries)-2,$B47=""),"",'(1)鑑'!$E$6&amp;"-"&amp;OFFSET('(2)出場選手'!$B$2,$A47,D$1))</f>
        <v/>
      </c>
      <c r="E47" s="26" t="str">
        <f ca="1">IF($D47="","",OFFSET('(2)出場選手'!$B$2,$A47,E$1))</f>
        <v/>
      </c>
      <c r="F47" s="26" t="str">
        <f ca="1">IF($D47="","",IF(OFFSET('(2)出場選手'!$B$2,$A47,F$1)="","",OFFSET('(2)出場選手'!$B$2,$A47,F$1)))</f>
        <v/>
      </c>
      <c r="G47" s="26" t="str">
        <f t="shared" ca="1" si="0"/>
        <v/>
      </c>
      <c r="H47" s="26" t="str">
        <f t="shared" ca="1" si="1"/>
        <v/>
      </c>
      <c r="I47" s="26" t="str">
        <f ca="1">IF($D47="","",IF(OFFSET('(2)出場選手'!$B$2,$A47,I$1)="","",OFFSET('(2)出場選手'!$B$2,$A47,I$1)))</f>
        <v/>
      </c>
      <c r="J47" s="26" t="str">
        <f ca="1">IF($D47="","",IF(OFFSET('(2)出場選手'!$B$2,$A47,J$1)="",'(1)鑑'!$E$6,OFFSET('(2)出場選手'!$B$2,$A47,J$1)))</f>
        <v/>
      </c>
      <c r="K47" s="26" t="str">
        <f ca="1">IF($D47="","",TRIM(ASC(IF(OFFSET('(2)出場選手'!$B$2,$A47,K$1)="",'(1)鑑'!$E$7,OFFSET('(2)出場選手'!$B$2,$A47,K$1)))))</f>
        <v/>
      </c>
      <c r="L47" s="26" t="str">
        <f ca="1">IF($D47="","",SUBSTITUTE(SUBSTITUTE(SUBSTITUTE(IF(OFFSET('(2)出場選手'!$B$2,$A47,L$1)="",'(1)鑑'!$E$8,OFFSET('(2)出場選手'!$B$2,$A47,L$1)),"県",""),"府",""),"東京都","東京"))</f>
        <v/>
      </c>
      <c r="M47" s="57" t="str">
        <f ca="1">IF($D47="","",IF(OFFSET('(2)出場選手'!$B$2,$A47,M$1)="","",OFFSET('(2)出場選手'!$B$2,$A47,M$1)))</f>
        <v/>
      </c>
      <c r="N47" s="26" t="str">
        <f ca="1">IF($D47="","",OFFSET('(2)出場選手'!$B$2,$A47,N$1+3*$B47))</f>
        <v/>
      </c>
      <c r="O47" s="26" t="str">
        <f ca="1">IF($D47="","",IF(OFFSET('(2)出場選手'!$B$2,$A47,O$1+3*$B47)="","",OFFSET('(2)出場選手'!$B$2,$A47,O$1+3*$B47)))</f>
        <v/>
      </c>
      <c r="P47" s="26" t="str">
        <f ca="1">IF($D47="","",IF(OFFSET('(2)出場選手'!$B$2,$A47,P$1+3*$B47)="","",OFFSET('(2)出場選手'!$B$2,$A47,P$1+3*$B47)))</f>
        <v/>
      </c>
      <c r="Q47" s="43" t="str">
        <f ca="1">IF(D47="","",VLOOKUP(N47,OFFSET(Competition_Events,0,1),11,FALSE)*IF($S47="リレー",IF(COUNTIF($T$3:$T47,$T47)&gt;1,0,1),1))</f>
        <v/>
      </c>
      <c r="R47" s="26" t="str">
        <f t="shared" ca="1" si="2"/>
        <v/>
      </c>
      <c r="S47" s="26" t="str">
        <f t="shared" ca="1" si="3"/>
        <v/>
      </c>
      <c r="T47" s="26" t="str">
        <f t="shared" ca="1" si="4"/>
        <v/>
      </c>
      <c r="U47" s="26" t="str">
        <f t="shared" ca="1" si="5"/>
        <v/>
      </c>
      <c r="W47" s="17" t="str">
        <f ca="1">IF($D47="","",OFFSET('(2)出場選手'!$B$2,$A47,W$1))</f>
        <v/>
      </c>
      <c r="X47" s="17" t="str">
        <f ca="1">IF($D47="","",OFFSET('(2)出場選手'!$B$2,$A47,X$1))</f>
        <v/>
      </c>
      <c r="Y47" s="17" t="str">
        <f ca="1">IF($D47="","",OFFSET('(2)出場選手'!$B$2,$A47,Y$1))</f>
        <v/>
      </c>
      <c r="Z47" s="17" t="str">
        <f ca="1">IF($D47="","",OFFSET('(2)出場選手'!$B$2,$A47,Z$1))</f>
        <v/>
      </c>
    </row>
    <row r="48" spans="1:26" x14ac:dyDescent="0.15">
      <c r="A48" s="17">
        <f>TRUNC((ROWS($D$3:D48)-2)/Max_Entry_Count)+1</f>
        <v>15</v>
      </c>
      <c r="B48" s="17" t="str">
        <f ca="1">IF($A48&gt;=ROWS(Entries)-2,"",IF(OFFSET('(2)出場選手'!$B$2,$A48,B$1+3*(MOD(ROWS($D$3:D48)-2,Max_Entry_Count)))="","",MOD(ROWS($D$3:D48)-2,Max_Entry_Count)))</f>
        <v/>
      </c>
      <c r="D48" s="26" t="str">
        <f ca="1">IF(OR($A48&gt;=ROWS(Entries)-2,$B48=""),"",'(1)鑑'!$E$6&amp;"-"&amp;OFFSET('(2)出場選手'!$B$2,$A48,D$1))</f>
        <v/>
      </c>
      <c r="E48" s="26" t="str">
        <f ca="1">IF($D48="","",OFFSET('(2)出場選手'!$B$2,$A48,E$1))</f>
        <v/>
      </c>
      <c r="F48" s="26" t="str">
        <f ca="1">IF($D48="","",IF(OFFSET('(2)出場選手'!$B$2,$A48,F$1)="","",OFFSET('(2)出場選手'!$B$2,$A48,F$1)))</f>
        <v/>
      </c>
      <c r="G48" s="26" t="str">
        <f t="shared" ca="1" si="0"/>
        <v/>
      </c>
      <c r="H48" s="26" t="str">
        <f t="shared" ca="1" si="1"/>
        <v/>
      </c>
      <c r="I48" s="26" t="str">
        <f ca="1">IF($D48="","",IF(OFFSET('(2)出場選手'!$B$2,$A48,I$1)="","",OFFSET('(2)出場選手'!$B$2,$A48,I$1)))</f>
        <v/>
      </c>
      <c r="J48" s="26" t="str">
        <f ca="1">IF($D48="","",IF(OFFSET('(2)出場選手'!$B$2,$A48,J$1)="",'(1)鑑'!$E$6,OFFSET('(2)出場選手'!$B$2,$A48,J$1)))</f>
        <v/>
      </c>
      <c r="K48" s="26" t="str">
        <f ca="1">IF($D48="","",TRIM(ASC(IF(OFFSET('(2)出場選手'!$B$2,$A48,K$1)="",'(1)鑑'!$E$7,OFFSET('(2)出場選手'!$B$2,$A48,K$1)))))</f>
        <v/>
      </c>
      <c r="L48" s="26" t="str">
        <f ca="1">IF($D48="","",SUBSTITUTE(SUBSTITUTE(SUBSTITUTE(IF(OFFSET('(2)出場選手'!$B$2,$A48,L$1)="",'(1)鑑'!$E$8,OFFSET('(2)出場選手'!$B$2,$A48,L$1)),"県",""),"府",""),"東京都","東京"))</f>
        <v/>
      </c>
      <c r="M48" s="57" t="str">
        <f ca="1">IF($D48="","",IF(OFFSET('(2)出場選手'!$B$2,$A48,M$1)="","",OFFSET('(2)出場選手'!$B$2,$A48,M$1)))</f>
        <v/>
      </c>
      <c r="N48" s="26" t="str">
        <f ca="1">IF($D48="","",OFFSET('(2)出場選手'!$B$2,$A48,N$1+3*$B48))</f>
        <v/>
      </c>
      <c r="O48" s="26" t="str">
        <f ca="1">IF($D48="","",IF(OFFSET('(2)出場選手'!$B$2,$A48,O$1+3*$B48)="","",OFFSET('(2)出場選手'!$B$2,$A48,O$1+3*$B48)))</f>
        <v/>
      </c>
      <c r="P48" s="26" t="str">
        <f ca="1">IF($D48="","",IF(OFFSET('(2)出場選手'!$B$2,$A48,P$1+3*$B48)="","",OFFSET('(2)出場選手'!$B$2,$A48,P$1+3*$B48)))</f>
        <v/>
      </c>
      <c r="Q48" s="43" t="str">
        <f ca="1">IF(D48="","",VLOOKUP(N48,OFFSET(Competition_Events,0,1),11,FALSE)*IF($S48="リレー",IF(COUNTIF($T$3:$T48,$T48)&gt;1,0,1),1))</f>
        <v/>
      </c>
      <c r="R48" s="26" t="str">
        <f t="shared" ca="1" si="2"/>
        <v/>
      </c>
      <c r="S48" s="26" t="str">
        <f t="shared" ca="1" si="3"/>
        <v/>
      </c>
      <c r="T48" s="26" t="str">
        <f t="shared" ca="1" si="4"/>
        <v/>
      </c>
      <c r="U48" s="26" t="str">
        <f t="shared" ca="1" si="5"/>
        <v/>
      </c>
      <c r="W48" s="17" t="str">
        <f ca="1">IF($D48="","",OFFSET('(2)出場選手'!$B$2,$A48,W$1))</f>
        <v/>
      </c>
      <c r="X48" s="17" t="str">
        <f ca="1">IF($D48="","",OFFSET('(2)出場選手'!$B$2,$A48,X$1))</f>
        <v/>
      </c>
      <c r="Y48" s="17" t="str">
        <f ca="1">IF($D48="","",OFFSET('(2)出場選手'!$B$2,$A48,Y$1))</f>
        <v/>
      </c>
      <c r="Z48" s="17" t="str">
        <f ca="1">IF($D48="","",OFFSET('(2)出場選手'!$B$2,$A48,Z$1))</f>
        <v/>
      </c>
    </row>
    <row r="49" spans="1:26" x14ac:dyDescent="0.15">
      <c r="A49" s="17">
        <f>TRUNC((ROWS($D$3:D49)-2)/Max_Entry_Count)+1</f>
        <v>16</v>
      </c>
      <c r="B49" s="17" t="str">
        <f ca="1">IF($A49&gt;=ROWS(Entries)-2,"",IF(OFFSET('(2)出場選手'!$B$2,$A49,B$1+3*(MOD(ROWS($D$3:D49)-2,Max_Entry_Count)))="","",MOD(ROWS($D$3:D49)-2,Max_Entry_Count)))</f>
        <v/>
      </c>
      <c r="D49" s="26" t="str">
        <f ca="1">IF(OR($A49&gt;=ROWS(Entries)-2,$B49=""),"",'(1)鑑'!$E$6&amp;"-"&amp;OFFSET('(2)出場選手'!$B$2,$A49,D$1))</f>
        <v/>
      </c>
      <c r="E49" s="26" t="str">
        <f ca="1">IF($D49="","",OFFSET('(2)出場選手'!$B$2,$A49,E$1))</f>
        <v/>
      </c>
      <c r="F49" s="26" t="str">
        <f ca="1">IF($D49="","",IF(OFFSET('(2)出場選手'!$B$2,$A49,F$1)="","",OFFSET('(2)出場選手'!$B$2,$A49,F$1)))</f>
        <v/>
      </c>
      <c r="G49" s="26" t="str">
        <f t="shared" ca="1" si="0"/>
        <v/>
      </c>
      <c r="H49" s="26" t="str">
        <f t="shared" ca="1" si="1"/>
        <v/>
      </c>
      <c r="I49" s="26" t="str">
        <f ca="1">IF($D49="","",IF(OFFSET('(2)出場選手'!$B$2,$A49,I$1)="","",OFFSET('(2)出場選手'!$B$2,$A49,I$1)))</f>
        <v/>
      </c>
      <c r="J49" s="26" t="str">
        <f ca="1">IF($D49="","",IF(OFFSET('(2)出場選手'!$B$2,$A49,J$1)="",'(1)鑑'!$E$6,OFFSET('(2)出場選手'!$B$2,$A49,J$1)))</f>
        <v/>
      </c>
      <c r="K49" s="26" t="str">
        <f ca="1">IF($D49="","",TRIM(ASC(IF(OFFSET('(2)出場選手'!$B$2,$A49,K$1)="",'(1)鑑'!$E$7,OFFSET('(2)出場選手'!$B$2,$A49,K$1)))))</f>
        <v/>
      </c>
      <c r="L49" s="26" t="str">
        <f ca="1">IF($D49="","",SUBSTITUTE(SUBSTITUTE(SUBSTITUTE(IF(OFFSET('(2)出場選手'!$B$2,$A49,L$1)="",'(1)鑑'!$E$8,OFFSET('(2)出場選手'!$B$2,$A49,L$1)),"県",""),"府",""),"東京都","東京"))</f>
        <v/>
      </c>
      <c r="M49" s="57" t="str">
        <f ca="1">IF($D49="","",IF(OFFSET('(2)出場選手'!$B$2,$A49,M$1)="","",OFFSET('(2)出場選手'!$B$2,$A49,M$1)))</f>
        <v/>
      </c>
      <c r="N49" s="26" t="str">
        <f ca="1">IF($D49="","",OFFSET('(2)出場選手'!$B$2,$A49,N$1+3*$B49))</f>
        <v/>
      </c>
      <c r="O49" s="26" t="str">
        <f ca="1">IF($D49="","",IF(OFFSET('(2)出場選手'!$B$2,$A49,O$1+3*$B49)="","",OFFSET('(2)出場選手'!$B$2,$A49,O$1+3*$B49)))</f>
        <v/>
      </c>
      <c r="P49" s="26" t="str">
        <f ca="1">IF($D49="","",IF(OFFSET('(2)出場選手'!$B$2,$A49,P$1+3*$B49)="","",OFFSET('(2)出場選手'!$B$2,$A49,P$1+3*$B49)))</f>
        <v/>
      </c>
      <c r="Q49" s="43" t="str">
        <f ca="1">IF(D49="","",VLOOKUP(N49,OFFSET(Competition_Events,0,1),11,FALSE)*IF($S49="リレー",IF(COUNTIF($T$3:$T49,$T49)&gt;1,0,1),1))</f>
        <v/>
      </c>
      <c r="R49" s="26" t="str">
        <f t="shared" ca="1" si="2"/>
        <v/>
      </c>
      <c r="S49" s="26" t="str">
        <f t="shared" ca="1" si="3"/>
        <v/>
      </c>
      <c r="T49" s="26" t="str">
        <f t="shared" ca="1" si="4"/>
        <v/>
      </c>
      <c r="U49" s="26" t="str">
        <f t="shared" ca="1" si="5"/>
        <v/>
      </c>
      <c r="W49" s="17" t="str">
        <f ca="1">IF($D49="","",OFFSET('(2)出場選手'!$B$2,$A49,W$1))</f>
        <v/>
      </c>
      <c r="X49" s="17" t="str">
        <f ca="1">IF($D49="","",OFFSET('(2)出場選手'!$B$2,$A49,X$1))</f>
        <v/>
      </c>
      <c r="Y49" s="17" t="str">
        <f ca="1">IF($D49="","",OFFSET('(2)出場選手'!$B$2,$A49,Y$1))</f>
        <v/>
      </c>
      <c r="Z49" s="17" t="str">
        <f ca="1">IF($D49="","",OFFSET('(2)出場選手'!$B$2,$A49,Z$1))</f>
        <v/>
      </c>
    </row>
    <row r="50" spans="1:26" x14ac:dyDescent="0.15">
      <c r="A50" s="17">
        <f>TRUNC((ROWS($D$3:D50)-2)/Max_Entry_Count)+1</f>
        <v>16</v>
      </c>
      <c r="B50" s="17" t="str">
        <f ca="1">IF($A50&gt;=ROWS(Entries)-2,"",IF(OFFSET('(2)出場選手'!$B$2,$A50,B$1+3*(MOD(ROWS($D$3:D50)-2,Max_Entry_Count)))="","",MOD(ROWS($D$3:D50)-2,Max_Entry_Count)))</f>
        <v/>
      </c>
      <c r="D50" s="26" t="str">
        <f ca="1">IF(OR($A50&gt;=ROWS(Entries)-2,$B50=""),"",'(1)鑑'!$E$6&amp;"-"&amp;OFFSET('(2)出場選手'!$B$2,$A50,D$1))</f>
        <v/>
      </c>
      <c r="E50" s="26" t="str">
        <f ca="1">IF($D50="","",OFFSET('(2)出場選手'!$B$2,$A50,E$1))</f>
        <v/>
      </c>
      <c r="F50" s="26" t="str">
        <f ca="1">IF($D50="","",IF(OFFSET('(2)出場選手'!$B$2,$A50,F$1)="","",OFFSET('(2)出場選手'!$B$2,$A50,F$1)))</f>
        <v/>
      </c>
      <c r="G50" s="26" t="str">
        <f t="shared" ca="1" si="0"/>
        <v/>
      </c>
      <c r="H50" s="26" t="str">
        <f t="shared" ca="1" si="1"/>
        <v/>
      </c>
      <c r="I50" s="26" t="str">
        <f ca="1">IF($D50="","",IF(OFFSET('(2)出場選手'!$B$2,$A50,I$1)="","",OFFSET('(2)出場選手'!$B$2,$A50,I$1)))</f>
        <v/>
      </c>
      <c r="J50" s="26" t="str">
        <f ca="1">IF($D50="","",IF(OFFSET('(2)出場選手'!$B$2,$A50,J$1)="",'(1)鑑'!$E$6,OFFSET('(2)出場選手'!$B$2,$A50,J$1)))</f>
        <v/>
      </c>
      <c r="K50" s="26" t="str">
        <f ca="1">IF($D50="","",TRIM(ASC(IF(OFFSET('(2)出場選手'!$B$2,$A50,K$1)="",'(1)鑑'!$E$7,OFFSET('(2)出場選手'!$B$2,$A50,K$1)))))</f>
        <v/>
      </c>
      <c r="L50" s="26" t="str">
        <f ca="1">IF($D50="","",SUBSTITUTE(SUBSTITUTE(SUBSTITUTE(IF(OFFSET('(2)出場選手'!$B$2,$A50,L$1)="",'(1)鑑'!$E$8,OFFSET('(2)出場選手'!$B$2,$A50,L$1)),"県",""),"府",""),"東京都","東京"))</f>
        <v/>
      </c>
      <c r="M50" s="57" t="str">
        <f ca="1">IF($D50="","",IF(OFFSET('(2)出場選手'!$B$2,$A50,M$1)="","",OFFSET('(2)出場選手'!$B$2,$A50,M$1)))</f>
        <v/>
      </c>
      <c r="N50" s="26" t="str">
        <f ca="1">IF($D50="","",OFFSET('(2)出場選手'!$B$2,$A50,N$1+3*$B50))</f>
        <v/>
      </c>
      <c r="O50" s="26" t="str">
        <f ca="1">IF($D50="","",IF(OFFSET('(2)出場選手'!$B$2,$A50,O$1+3*$B50)="","",OFFSET('(2)出場選手'!$B$2,$A50,O$1+3*$B50)))</f>
        <v/>
      </c>
      <c r="P50" s="26" t="str">
        <f ca="1">IF($D50="","",IF(OFFSET('(2)出場選手'!$B$2,$A50,P$1+3*$B50)="","",OFFSET('(2)出場選手'!$B$2,$A50,P$1+3*$B50)))</f>
        <v/>
      </c>
      <c r="Q50" s="43" t="str">
        <f ca="1">IF(D50="","",VLOOKUP(N50,OFFSET(Competition_Events,0,1),11,FALSE)*IF($S50="リレー",IF(COUNTIF($T$3:$T50,$T50)&gt;1,0,1),1))</f>
        <v/>
      </c>
      <c r="R50" s="26" t="str">
        <f t="shared" ca="1" si="2"/>
        <v/>
      </c>
      <c r="S50" s="26" t="str">
        <f t="shared" ca="1" si="3"/>
        <v/>
      </c>
      <c r="T50" s="26" t="str">
        <f t="shared" ca="1" si="4"/>
        <v/>
      </c>
      <c r="U50" s="26" t="str">
        <f t="shared" ca="1" si="5"/>
        <v/>
      </c>
      <c r="W50" s="17" t="str">
        <f ca="1">IF($D50="","",OFFSET('(2)出場選手'!$B$2,$A50,W$1))</f>
        <v/>
      </c>
      <c r="X50" s="17" t="str">
        <f ca="1">IF($D50="","",OFFSET('(2)出場選手'!$B$2,$A50,X$1))</f>
        <v/>
      </c>
      <c r="Y50" s="17" t="str">
        <f ca="1">IF($D50="","",OFFSET('(2)出場選手'!$B$2,$A50,Y$1))</f>
        <v/>
      </c>
      <c r="Z50" s="17" t="str">
        <f ca="1">IF($D50="","",OFFSET('(2)出場選手'!$B$2,$A50,Z$1))</f>
        <v/>
      </c>
    </row>
    <row r="51" spans="1:26" x14ac:dyDescent="0.15">
      <c r="A51" s="17">
        <f>TRUNC((ROWS($D$3:D51)-2)/Max_Entry_Count)+1</f>
        <v>16</v>
      </c>
      <c r="B51" s="17" t="str">
        <f ca="1">IF($A51&gt;=ROWS(Entries)-2,"",IF(OFFSET('(2)出場選手'!$B$2,$A51,B$1+3*(MOD(ROWS($D$3:D51)-2,Max_Entry_Count)))="","",MOD(ROWS($D$3:D51)-2,Max_Entry_Count)))</f>
        <v/>
      </c>
      <c r="D51" s="26" t="str">
        <f ca="1">IF(OR($A51&gt;=ROWS(Entries)-2,$B51=""),"",'(1)鑑'!$E$6&amp;"-"&amp;OFFSET('(2)出場選手'!$B$2,$A51,D$1))</f>
        <v/>
      </c>
      <c r="E51" s="26" t="str">
        <f ca="1">IF($D51="","",OFFSET('(2)出場選手'!$B$2,$A51,E$1))</f>
        <v/>
      </c>
      <c r="F51" s="26" t="str">
        <f ca="1">IF($D51="","",IF(OFFSET('(2)出場選手'!$B$2,$A51,F$1)="","",OFFSET('(2)出場選手'!$B$2,$A51,F$1)))</f>
        <v/>
      </c>
      <c r="G51" s="26" t="str">
        <f t="shared" ca="1" si="0"/>
        <v/>
      </c>
      <c r="H51" s="26" t="str">
        <f t="shared" ca="1" si="1"/>
        <v/>
      </c>
      <c r="I51" s="26" t="str">
        <f ca="1">IF($D51="","",IF(OFFSET('(2)出場選手'!$B$2,$A51,I$1)="","",OFFSET('(2)出場選手'!$B$2,$A51,I$1)))</f>
        <v/>
      </c>
      <c r="J51" s="26" t="str">
        <f ca="1">IF($D51="","",IF(OFFSET('(2)出場選手'!$B$2,$A51,J$1)="",'(1)鑑'!$E$6,OFFSET('(2)出場選手'!$B$2,$A51,J$1)))</f>
        <v/>
      </c>
      <c r="K51" s="26" t="str">
        <f ca="1">IF($D51="","",TRIM(ASC(IF(OFFSET('(2)出場選手'!$B$2,$A51,K$1)="",'(1)鑑'!$E$7,OFFSET('(2)出場選手'!$B$2,$A51,K$1)))))</f>
        <v/>
      </c>
      <c r="L51" s="26" t="str">
        <f ca="1">IF($D51="","",SUBSTITUTE(SUBSTITUTE(SUBSTITUTE(IF(OFFSET('(2)出場選手'!$B$2,$A51,L$1)="",'(1)鑑'!$E$8,OFFSET('(2)出場選手'!$B$2,$A51,L$1)),"県",""),"府",""),"東京都","東京"))</f>
        <v/>
      </c>
      <c r="M51" s="57" t="str">
        <f ca="1">IF($D51="","",IF(OFFSET('(2)出場選手'!$B$2,$A51,M$1)="","",OFFSET('(2)出場選手'!$B$2,$A51,M$1)))</f>
        <v/>
      </c>
      <c r="N51" s="26" t="str">
        <f ca="1">IF($D51="","",OFFSET('(2)出場選手'!$B$2,$A51,N$1+3*$B51))</f>
        <v/>
      </c>
      <c r="O51" s="26" t="str">
        <f ca="1">IF($D51="","",IF(OFFSET('(2)出場選手'!$B$2,$A51,O$1+3*$B51)="","",OFFSET('(2)出場選手'!$B$2,$A51,O$1+3*$B51)))</f>
        <v/>
      </c>
      <c r="P51" s="26" t="str">
        <f ca="1">IF($D51="","",IF(OFFSET('(2)出場選手'!$B$2,$A51,P$1+3*$B51)="","",OFFSET('(2)出場選手'!$B$2,$A51,P$1+3*$B51)))</f>
        <v/>
      </c>
      <c r="Q51" s="43" t="str">
        <f ca="1">IF(D51="","",VLOOKUP(N51,OFFSET(Competition_Events,0,1),11,FALSE)*IF($S51="リレー",IF(COUNTIF($T$3:$T51,$T51)&gt;1,0,1),1))</f>
        <v/>
      </c>
      <c r="R51" s="26" t="str">
        <f t="shared" ca="1" si="2"/>
        <v/>
      </c>
      <c r="S51" s="26" t="str">
        <f t="shared" ca="1" si="3"/>
        <v/>
      </c>
      <c r="T51" s="26" t="str">
        <f t="shared" ca="1" si="4"/>
        <v/>
      </c>
      <c r="U51" s="26" t="str">
        <f t="shared" ca="1" si="5"/>
        <v/>
      </c>
      <c r="W51" s="17" t="str">
        <f ca="1">IF($D51="","",OFFSET('(2)出場選手'!$B$2,$A51,W$1))</f>
        <v/>
      </c>
      <c r="X51" s="17" t="str">
        <f ca="1">IF($D51="","",OFFSET('(2)出場選手'!$B$2,$A51,X$1))</f>
        <v/>
      </c>
      <c r="Y51" s="17" t="str">
        <f ca="1">IF($D51="","",OFFSET('(2)出場選手'!$B$2,$A51,Y$1))</f>
        <v/>
      </c>
      <c r="Z51" s="17" t="str">
        <f ca="1">IF($D51="","",OFFSET('(2)出場選手'!$B$2,$A51,Z$1))</f>
        <v/>
      </c>
    </row>
    <row r="52" spans="1:26" x14ac:dyDescent="0.15">
      <c r="A52" s="17">
        <f>TRUNC((ROWS($D$3:D52)-2)/Max_Entry_Count)+1</f>
        <v>17</v>
      </c>
      <c r="B52" s="17" t="str">
        <f ca="1">IF($A52&gt;=ROWS(Entries)-2,"",IF(OFFSET('(2)出場選手'!$B$2,$A52,B$1+3*(MOD(ROWS($D$3:D52)-2,Max_Entry_Count)))="","",MOD(ROWS($D$3:D52)-2,Max_Entry_Count)))</f>
        <v/>
      </c>
      <c r="D52" s="26" t="str">
        <f ca="1">IF(OR($A52&gt;=ROWS(Entries)-2,$B52=""),"",'(1)鑑'!$E$6&amp;"-"&amp;OFFSET('(2)出場選手'!$B$2,$A52,D$1))</f>
        <v/>
      </c>
      <c r="E52" s="26" t="str">
        <f ca="1">IF($D52="","",OFFSET('(2)出場選手'!$B$2,$A52,E$1))</f>
        <v/>
      </c>
      <c r="F52" s="26" t="str">
        <f ca="1">IF($D52="","",IF(OFFSET('(2)出場選手'!$B$2,$A52,F$1)="","",OFFSET('(2)出場選手'!$B$2,$A52,F$1)))</f>
        <v/>
      </c>
      <c r="G52" s="26" t="str">
        <f t="shared" ca="1" si="0"/>
        <v/>
      </c>
      <c r="H52" s="26" t="str">
        <f t="shared" ca="1" si="1"/>
        <v/>
      </c>
      <c r="I52" s="26" t="str">
        <f ca="1">IF($D52="","",IF(OFFSET('(2)出場選手'!$B$2,$A52,I$1)="","",OFFSET('(2)出場選手'!$B$2,$A52,I$1)))</f>
        <v/>
      </c>
      <c r="J52" s="26" t="str">
        <f ca="1">IF($D52="","",IF(OFFSET('(2)出場選手'!$B$2,$A52,J$1)="",'(1)鑑'!$E$6,OFFSET('(2)出場選手'!$B$2,$A52,J$1)))</f>
        <v/>
      </c>
      <c r="K52" s="26" t="str">
        <f ca="1">IF($D52="","",TRIM(ASC(IF(OFFSET('(2)出場選手'!$B$2,$A52,K$1)="",'(1)鑑'!$E$7,OFFSET('(2)出場選手'!$B$2,$A52,K$1)))))</f>
        <v/>
      </c>
      <c r="L52" s="26" t="str">
        <f ca="1">IF($D52="","",SUBSTITUTE(SUBSTITUTE(SUBSTITUTE(IF(OFFSET('(2)出場選手'!$B$2,$A52,L$1)="",'(1)鑑'!$E$8,OFFSET('(2)出場選手'!$B$2,$A52,L$1)),"県",""),"府",""),"東京都","東京"))</f>
        <v/>
      </c>
      <c r="M52" s="57" t="str">
        <f ca="1">IF($D52="","",IF(OFFSET('(2)出場選手'!$B$2,$A52,M$1)="","",OFFSET('(2)出場選手'!$B$2,$A52,M$1)))</f>
        <v/>
      </c>
      <c r="N52" s="26" t="str">
        <f ca="1">IF($D52="","",OFFSET('(2)出場選手'!$B$2,$A52,N$1+3*$B52))</f>
        <v/>
      </c>
      <c r="O52" s="26" t="str">
        <f ca="1">IF($D52="","",IF(OFFSET('(2)出場選手'!$B$2,$A52,O$1+3*$B52)="","",OFFSET('(2)出場選手'!$B$2,$A52,O$1+3*$B52)))</f>
        <v/>
      </c>
      <c r="P52" s="26" t="str">
        <f ca="1">IF($D52="","",IF(OFFSET('(2)出場選手'!$B$2,$A52,P$1+3*$B52)="","",OFFSET('(2)出場選手'!$B$2,$A52,P$1+3*$B52)))</f>
        <v/>
      </c>
      <c r="Q52" s="43" t="str">
        <f ca="1">IF(D52="","",VLOOKUP(N52,OFFSET(Competition_Events,0,1),11,FALSE)*IF($S52="リレー",IF(COUNTIF($T$3:$T52,$T52)&gt;1,0,1),1))</f>
        <v/>
      </c>
      <c r="R52" s="26" t="str">
        <f t="shared" ca="1" si="2"/>
        <v/>
      </c>
      <c r="S52" s="26" t="str">
        <f t="shared" ca="1" si="3"/>
        <v/>
      </c>
      <c r="T52" s="26" t="str">
        <f t="shared" ca="1" si="4"/>
        <v/>
      </c>
      <c r="U52" s="26" t="str">
        <f t="shared" ca="1" si="5"/>
        <v/>
      </c>
      <c r="W52" s="17" t="str">
        <f ca="1">IF($D52="","",OFFSET('(2)出場選手'!$B$2,$A52,W$1))</f>
        <v/>
      </c>
      <c r="X52" s="17" t="str">
        <f ca="1">IF($D52="","",OFFSET('(2)出場選手'!$B$2,$A52,X$1))</f>
        <v/>
      </c>
      <c r="Y52" s="17" t="str">
        <f ca="1">IF($D52="","",OFFSET('(2)出場選手'!$B$2,$A52,Y$1))</f>
        <v/>
      </c>
      <c r="Z52" s="17" t="str">
        <f ca="1">IF($D52="","",OFFSET('(2)出場選手'!$B$2,$A52,Z$1))</f>
        <v/>
      </c>
    </row>
    <row r="53" spans="1:26" x14ac:dyDescent="0.15">
      <c r="A53" s="17">
        <f>TRUNC((ROWS($D$3:D53)-2)/Max_Entry_Count)+1</f>
        <v>17</v>
      </c>
      <c r="B53" s="17" t="str">
        <f ca="1">IF($A53&gt;=ROWS(Entries)-2,"",IF(OFFSET('(2)出場選手'!$B$2,$A53,B$1+3*(MOD(ROWS($D$3:D53)-2,Max_Entry_Count)))="","",MOD(ROWS($D$3:D53)-2,Max_Entry_Count)))</f>
        <v/>
      </c>
      <c r="D53" s="26" t="str">
        <f ca="1">IF(OR($A53&gt;=ROWS(Entries)-2,$B53=""),"",'(1)鑑'!$E$6&amp;"-"&amp;OFFSET('(2)出場選手'!$B$2,$A53,D$1))</f>
        <v/>
      </c>
      <c r="E53" s="26" t="str">
        <f ca="1">IF($D53="","",OFFSET('(2)出場選手'!$B$2,$A53,E$1))</f>
        <v/>
      </c>
      <c r="F53" s="26" t="str">
        <f ca="1">IF($D53="","",IF(OFFSET('(2)出場選手'!$B$2,$A53,F$1)="","",OFFSET('(2)出場選手'!$B$2,$A53,F$1)))</f>
        <v/>
      </c>
      <c r="G53" s="26" t="str">
        <f t="shared" ca="1" si="0"/>
        <v/>
      </c>
      <c r="H53" s="26" t="str">
        <f t="shared" ca="1" si="1"/>
        <v/>
      </c>
      <c r="I53" s="26" t="str">
        <f ca="1">IF($D53="","",IF(OFFSET('(2)出場選手'!$B$2,$A53,I$1)="","",OFFSET('(2)出場選手'!$B$2,$A53,I$1)))</f>
        <v/>
      </c>
      <c r="J53" s="26" t="str">
        <f ca="1">IF($D53="","",IF(OFFSET('(2)出場選手'!$B$2,$A53,J$1)="",'(1)鑑'!$E$6,OFFSET('(2)出場選手'!$B$2,$A53,J$1)))</f>
        <v/>
      </c>
      <c r="K53" s="26" t="str">
        <f ca="1">IF($D53="","",TRIM(ASC(IF(OFFSET('(2)出場選手'!$B$2,$A53,K$1)="",'(1)鑑'!$E$7,OFFSET('(2)出場選手'!$B$2,$A53,K$1)))))</f>
        <v/>
      </c>
      <c r="L53" s="26" t="str">
        <f ca="1">IF($D53="","",SUBSTITUTE(SUBSTITUTE(SUBSTITUTE(IF(OFFSET('(2)出場選手'!$B$2,$A53,L$1)="",'(1)鑑'!$E$8,OFFSET('(2)出場選手'!$B$2,$A53,L$1)),"県",""),"府",""),"東京都","東京"))</f>
        <v/>
      </c>
      <c r="M53" s="57" t="str">
        <f ca="1">IF($D53="","",IF(OFFSET('(2)出場選手'!$B$2,$A53,M$1)="","",OFFSET('(2)出場選手'!$B$2,$A53,M$1)))</f>
        <v/>
      </c>
      <c r="N53" s="26" t="str">
        <f ca="1">IF($D53="","",OFFSET('(2)出場選手'!$B$2,$A53,N$1+3*$B53))</f>
        <v/>
      </c>
      <c r="O53" s="26" t="str">
        <f ca="1">IF($D53="","",IF(OFFSET('(2)出場選手'!$B$2,$A53,O$1+3*$B53)="","",OFFSET('(2)出場選手'!$B$2,$A53,O$1+3*$B53)))</f>
        <v/>
      </c>
      <c r="P53" s="26" t="str">
        <f ca="1">IF($D53="","",IF(OFFSET('(2)出場選手'!$B$2,$A53,P$1+3*$B53)="","",OFFSET('(2)出場選手'!$B$2,$A53,P$1+3*$B53)))</f>
        <v/>
      </c>
      <c r="Q53" s="43" t="str">
        <f ca="1">IF(D53="","",VLOOKUP(N53,OFFSET(Competition_Events,0,1),11,FALSE)*IF($S53="リレー",IF(COUNTIF($T$3:$T53,$T53)&gt;1,0,1),1))</f>
        <v/>
      </c>
      <c r="R53" s="26" t="str">
        <f t="shared" ca="1" si="2"/>
        <v/>
      </c>
      <c r="S53" s="26" t="str">
        <f t="shared" ca="1" si="3"/>
        <v/>
      </c>
      <c r="T53" s="26" t="str">
        <f t="shared" ca="1" si="4"/>
        <v/>
      </c>
      <c r="U53" s="26" t="str">
        <f t="shared" ca="1" si="5"/>
        <v/>
      </c>
      <c r="W53" s="17" t="str">
        <f ca="1">IF($D53="","",OFFSET('(2)出場選手'!$B$2,$A53,W$1))</f>
        <v/>
      </c>
      <c r="X53" s="17" t="str">
        <f ca="1">IF($D53="","",OFFSET('(2)出場選手'!$B$2,$A53,X$1))</f>
        <v/>
      </c>
      <c r="Y53" s="17" t="str">
        <f ca="1">IF($D53="","",OFFSET('(2)出場選手'!$B$2,$A53,Y$1))</f>
        <v/>
      </c>
      <c r="Z53" s="17" t="str">
        <f ca="1">IF($D53="","",OFFSET('(2)出場選手'!$B$2,$A53,Z$1))</f>
        <v/>
      </c>
    </row>
    <row r="54" spans="1:26" x14ac:dyDescent="0.15">
      <c r="A54" s="17">
        <f>TRUNC((ROWS($D$3:D54)-2)/Max_Entry_Count)+1</f>
        <v>17</v>
      </c>
      <c r="B54" s="17" t="str">
        <f ca="1">IF($A54&gt;=ROWS(Entries)-2,"",IF(OFFSET('(2)出場選手'!$B$2,$A54,B$1+3*(MOD(ROWS($D$3:D54)-2,Max_Entry_Count)))="","",MOD(ROWS($D$3:D54)-2,Max_Entry_Count)))</f>
        <v/>
      </c>
      <c r="D54" s="26" t="str">
        <f ca="1">IF(OR($A54&gt;=ROWS(Entries)-2,$B54=""),"",'(1)鑑'!$E$6&amp;"-"&amp;OFFSET('(2)出場選手'!$B$2,$A54,D$1))</f>
        <v/>
      </c>
      <c r="E54" s="26" t="str">
        <f ca="1">IF($D54="","",OFFSET('(2)出場選手'!$B$2,$A54,E$1))</f>
        <v/>
      </c>
      <c r="F54" s="26" t="str">
        <f ca="1">IF($D54="","",IF(OFFSET('(2)出場選手'!$B$2,$A54,F$1)="","",OFFSET('(2)出場選手'!$B$2,$A54,F$1)))</f>
        <v/>
      </c>
      <c r="G54" s="26" t="str">
        <f t="shared" ca="1" si="0"/>
        <v/>
      </c>
      <c r="H54" s="26" t="str">
        <f t="shared" ca="1" si="1"/>
        <v/>
      </c>
      <c r="I54" s="26" t="str">
        <f ca="1">IF($D54="","",IF(OFFSET('(2)出場選手'!$B$2,$A54,I$1)="","",OFFSET('(2)出場選手'!$B$2,$A54,I$1)))</f>
        <v/>
      </c>
      <c r="J54" s="26" t="str">
        <f ca="1">IF($D54="","",IF(OFFSET('(2)出場選手'!$B$2,$A54,J$1)="",'(1)鑑'!$E$6,OFFSET('(2)出場選手'!$B$2,$A54,J$1)))</f>
        <v/>
      </c>
      <c r="K54" s="26" t="str">
        <f ca="1">IF($D54="","",TRIM(ASC(IF(OFFSET('(2)出場選手'!$B$2,$A54,K$1)="",'(1)鑑'!$E$7,OFFSET('(2)出場選手'!$B$2,$A54,K$1)))))</f>
        <v/>
      </c>
      <c r="L54" s="26" t="str">
        <f ca="1">IF($D54="","",SUBSTITUTE(SUBSTITUTE(SUBSTITUTE(IF(OFFSET('(2)出場選手'!$B$2,$A54,L$1)="",'(1)鑑'!$E$8,OFFSET('(2)出場選手'!$B$2,$A54,L$1)),"県",""),"府",""),"東京都","東京"))</f>
        <v/>
      </c>
      <c r="M54" s="57" t="str">
        <f ca="1">IF($D54="","",IF(OFFSET('(2)出場選手'!$B$2,$A54,M$1)="","",OFFSET('(2)出場選手'!$B$2,$A54,M$1)))</f>
        <v/>
      </c>
      <c r="N54" s="26" t="str">
        <f ca="1">IF($D54="","",OFFSET('(2)出場選手'!$B$2,$A54,N$1+3*$B54))</f>
        <v/>
      </c>
      <c r="O54" s="26" t="str">
        <f ca="1">IF($D54="","",IF(OFFSET('(2)出場選手'!$B$2,$A54,O$1+3*$B54)="","",OFFSET('(2)出場選手'!$B$2,$A54,O$1+3*$B54)))</f>
        <v/>
      </c>
      <c r="P54" s="26" t="str">
        <f ca="1">IF($D54="","",IF(OFFSET('(2)出場選手'!$B$2,$A54,P$1+3*$B54)="","",OFFSET('(2)出場選手'!$B$2,$A54,P$1+3*$B54)))</f>
        <v/>
      </c>
      <c r="Q54" s="43" t="str">
        <f ca="1">IF(D54="","",VLOOKUP(N54,OFFSET(Competition_Events,0,1),11,FALSE)*IF($S54="リレー",IF(COUNTIF($T$3:$T54,$T54)&gt;1,0,1),1))</f>
        <v/>
      </c>
      <c r="R54" s="26" t="str">
        <f t="shared" ca="1" si="2"/>
        <v/>
      </c>
      <c r="S54" s="26" t="str">
        <f t="shared" ca="1" si="3"/>
        <v/>
      </c>
      <c r="T54" s="26" t="str">
        <f t="shared" ca="1" si="4"/>
        <v/>
      </c>
      <c r="U54" s="26" t="str">
        <f t="shared" ca="1" si="5"/>
        <v/>
      </c>
      <c r="W54" s="17" t="str">
        <f ca="1">IF($D54="","",OFFSET('(2)出場選手'!$B$2,$A54,W$1))</f>
        <v/>
      </c>
      <c r="X54" s="17" t="str">
        <f ca="1">IF($D54="","",OFFSET('(2)出場選手'!$B$2,$A54,X$1))</f>
        <v/>
      </c>
      <c r="Y54" s="17" t="str">
        <f ca="1">IF($D54="","",OFFSET('(2)出場選手'!$B$2,$A54,Y$1))</f>
        <v/>
      </c>
      <c r="Z54" s="17" t="str">
        <f ca="1">IF($D54="","",OFFSET('(2)出場選手'!$B$2,$A54,Z$1))</f>
        <v/>
      </c>
    </row>
    <row r="55" spans="1:26" x14ac:dyDescent="0.15">
      <c r="A55" s="17">
        <f>TRUNC((ROWS($D$3:D55)-2)/Max_Entry_Count)+1</f>
        <v>18</v>
      </c>
      <c r="B55" s="17" t="str">
        <f ca="1">IF($A55&gt;=ROWS(Entries)-2,"",IF(OFFSET('(2)出場選手'!$B$2,$A55,B$1+3*(MOD(ROWS($D$3:D55)-2,Max_Entry_Count)))="","",MOD(ROWS($D$3:D55)-2,Max_Entry_Count)))</f>
        <v/>
      </c>
      <c r="D55" s="26" t="str">
        <f ca="1">IF(OR($A55&gt;=ROWS(Entries)-2,$B55=""),"",'(1)鑑'!$E$6&amp;"-"&amp;OFFSET('(2)出場選手'!$B$2,$A55,D$1))</f>
        <v/>
      </c>
      <c r="E55" s="26" t="str">
        <f ca="1">IF($D55="","",OFFSET('(2)出場選手'!$B$2,$A55,E$1))</f>
        <v/>
      </c>
      <c r="F55" s="26" t="str">
        <f ca="1">IF($D55="","",IF(OFFSET('(2)出場選手'!$B$2,$A55,F$1)="","",OFFSET('(2)出場選手'!$B$2,$A55,F$1)))</f>
        <v/>
      </c>
      <c r="G55" s="26" t="str">
        <f t="shared" ca="1" si="0"/>
        <v/>
      </c>
      <c r="H55" s="26" t="str">
        <f t="shared" ca="1" si="1"/>
        <v/>
      </c>
      <c r="I55" s="26" t="str">
        <f ca="1">IF($D55="","",IF(OFFSET('(2)出場選手'!$B$2,$A55,I$1)="","",OFFSET('(2)出場選手'!$B$2,$A55,I$1)))</f>
        <v/>
      </c>
      <c r="J55" s="26" t="str">
        <f ca="1">IF($D55="","",IF(OFFSET('(2)出場選手'!$B$2,$A55,J$1)="",'(1)鑑'!$E$6,OFFSET('(2)出場選手'!$B$2,$A55,J$1)))</f>
        <v/>
      </c>
      <c r="K55" s="26" t="str">
        <f ca="1">IF($D55="","",TRIM(ASC(IF(OFFSET('(2)出場選手'!$B$2,$A55,K$1)="",'(1)鑑'!$E$7,OFFSET('(2)出場選手'!$B$2,$A55,K$1)))))</f>
        <v/>
      </c>
      <c r="L55" s="26" t="str">
        <f ca="1">IF($D55="","",SUBSTITUTE(SUBSTITUTE(SUBSTITUTE(IF(OFFSET('(2)出場選手'!$B$2,$A55,L$1)="",'(1)鑑'!$E$8,OFFSET('(2)出場選手'!$B$2,$A55,L$1)),"県",""),"府",""),"東京都","東京"))</f>
        <v/>
      </c>
      <c r="M55" s="57" t="str">
        <f ca="1">IF($D55="","",IF(OFFSET('(2)出場選手'!$B$2,$A55,M$1)="","",OFFSET('(2)出場選手'!$B$2,$A55,M$1)))</f>
        <v/>
      </c>
      <c r="N55" s="26" t="str">
        <f ca="1">IF($D55="","",OFFSET('(2)出場選手'!$B$2,$A55,N$1+3*$B55))</f>
        <v/>
      </c>
      <c r="O55" s="26" t="str">
        <f ca="1">IF($D55="","",IF(OFFSET('(2)出場選手'!$B$2,$A55,O$1+3*$B55)="","",OFFSET('(2)出場選手'!$B$2,$A55,O$1+3*$B55)))</f>
        <v/>
      </c>
      <c r="P55" s="26" t="str">
        <f ca="1">IF($D55="","",IF(OFFSET('(2)出場選手'!$B$2,$A55,P$1+3*$B55)="","",OFFSET('(2)出場選手'!$B$2,$A55,P$1+3*$B55)))</f>
        <v/>
      </c>
      <c r="Q55" s="43" t="str">
        <f ca="1">IF(D55="","",VLOOKUP(N55,OFFSET(Competition_Events,0,1),11,FALSE)*IF($S55="リレー",IF(COUNTIF($T$3:$T55,$T55)&gt;1,0,1),1))</f>
        <v/>
      </c>
      <c r="R55" s="26" t="str">
        <f t="shared" ca="1" si="2"/>
        <v/>
      </c>
      <c r="S55" s="26" t="str">
        <f t="shared" ca="1" si="3"/>
        <v/>
      </c>
      <c r="T55" s="26" t="str">
        <f t="shared" ca="1" si="4"/>
        <v/>
      </c>
      <c r="U55" s="26" t="str">
        <f t="shared" ca="1" si="5"/>
        <v/>
      </c>
      <c r="W55" s="17" t="str">
        <f ca="1">IF($D55="","",OFFSET('(2)出場選手'!$B$2,$A55,W$1))</f>
        <v/>
      </c>
      <c r="X55" s="17" t="str">
        <f ca="1">IF($D55="","",OFFSET('(2)出場選手'!$B$2,$A55,X$1))</f>
        <v/>
      </c>
      <c r="Y55" s="17" t="str">
        <f ca="1">IF($D55="","",OFFSET('(2)出場選手'!$B$2,$A55,Y$1))</f>
        <v/>
      </c>
      <c r="Z55" s="17" t="str">
        <f ca="1">IF($D55="","",OFFSET('(2)出場選手'!$B$2,$A55,Z$1))</f>
        <v/>
      </c>
    </row>
    <row r="56" spans="1:26" x14ac:dyDescent="0.15">
      <c r="A56" s="17">
        <f>TRUNC((ROWS($D$3:D56)-2)/Max_Entry_Count)+1</f>
        <v>18</v>
      </c>
      <c r="B56" s="17" t="str">
        <f ca="1">IF($A56&gt;=ROWS(Entries)-2,"",IF(OFFSET('(2)出場選手'!$B$2,$A56,B$1+3*(MOD(ROWS($D$3:D56)-2,Max_Entry_Count)))="","",MOD(ROWS($D$3:D56)-2,Max_Entry_Count)))</f>
        <v/>
      </c>
      <c r="D56" s="26" t="str">
        <f ca="1">IF(OR($A56&gt;=ROWS(Entries)-2,$B56=""),"",'(1)鑑'!$E$6&amp;"-"&amp;OFFSET('(2)出場選手'!$B$2,$A56,D$1))</f>
        <v/>
      </c>
      <c r="E56" s="26" t="str">
        <f ca="1">IF($D56="","",OFFSET('(2)出場選手'!$B$2,$A56,E$1))</f>
        <v/>
      </c>
      <c r="F56" s="26" t="str">
        <f ca="1">IF($D56="","",IF(OFFSET('(2)出場選手'!$B$2,$A56,F$1)="","",OFFSET('(2)出場選手'!$B$2,$A56,F$1)))</f>
        <v/>
      </c>
      <c r="G56" s="26" t="str">
        <f t="shared" ca="1" si="0"/>
        <v/>
      </c>
      <c r="H56" s="26" t="str">
        <f t="shared" ca="1" si="1"/>
        <v/>
      </c>
      <c r="I56" s="26" t="str">
        <f ca="1">IF($D56="","",IF(OFFSET('(2)出場選手'!$B$2,$A56,I$1)="","",OFFSET('(2)出場選手'!$B$2,$A56,I$1)))</f>
        <v/>
      </c>
      <c r="J56" s="26" t="str">
        <f ca="1">IF($D56="","",IF(OFFSET('(2)出場選手'!$B$2,$A56,J$1)="",'(1)鑑'!$E$6,OFFSET('(2)出場選手'!$B$2,$A56,J$1)))</f>
        <v/>
      </c>
      <c r="K56" s="26" t="str">
        <f ca="1">IF($D56="","",TRIM(ASC(IF(OFFSET('(2)出場選手'!$B$2,$A56,K$1)="",'(1)鑑'!$E$7,OFFSET('(2)出場選手'!$B$2,$A56,K$1)))))</f>
        <v/>
      </c>
      <c r="L56" s="26" t="str">
        <f ca="1">IF($D56="","",SUBSTITUTE(SUBSTITUTE(SUBSTITUTE(IF(OFFSET('(2)出場選手'!$B$2,$A56,L$1)="",'(1)鑑'!$E$8,OFFSET('(2)出場選手'!$B$2,$A56,L$1)),"県",""),"府",""),"東京都","東京"))</f>
        <v/>
      </c>
      <c r="M56" s="57" t="str">
        <f ca="1">IF($D56="","",IF(OFFSET('(2)出場選手'!$B$2,$A56,M$1)="","",OFFSET('(2)出場選手'!$B$2,$A56,M$1)))</f>
        <v/>
      </c>
      <c r="N56" s="26" t="str">
        <f ca="1">IF($D56="","",OFFSET('(2)出場選手'!$B$2,$A56,N$1+3*$B56))</f>
        <v/>
      </c>
      <c r="O56" s="26" t="str">
        <f ca="1">IF($D56="","",IF(OFFSET('(2)出場選手'!$B$2,$A56,O$1+3*$B56)="","",OFFSET('(2)出場選手'!$B$2,$A56,O$1+3*$B56)))</f>
        <v/>
      </c>
      <c r="P56" s="26" t="str">
        <f ca="1">IF($D56="","",IF(OFFSET('(2)出場選手'!$B$2,$A56,P$1+3*$B56)="","",OFFSET('(2)出場選手'!$B$2,$A56,P$1+3*$B56)))</f>
        <v/>
      </c>
      <c r="Q56" s="43" t="str">
        <f ca="1">IF(D56="","",VLOOKUP(N56,OFFSET(Competition_Events,0,1),11,FALSE)*IF($S56="リレー",IF(COUNTIF($T$3:$T56,$T56)&gt;1,0,1),1))</f>
        <v/>
      </c>
      <c r="R56" s="26" t="str">
        <f t="shared" ca="1" si="2"/>
        <v/>
      </c>
      <c r="S56" s="26" t="str">
        <f t="shared" ca="1" si="3"/>
        <v/>
      </c>
      <c r="T56" s="26" t="str">
        <f t="shared" ca="1" si="4"/>
        <v/>
      </c>
      <c r="U56" s="26" t="str">
        <f t="shared" ca="1" si="5"/>
        <v/>
      </c>
      <c r="W56" s="17" t="str">
        <f ca="1">IF($D56="","",OFFSET('(2)出場選手'!$B$2,$A56,W$1))</f>
        <v/>
      </c>
      <c r="X56" s="17" t="str">
        <f ca="1">IF($D56="","",OFFSET('(2)出場選手'!$B$2,$A56,X$1))</f>
        <v/>
      </c>
      <c r="Y56" s="17" t="str">
        <f ca="1">IF($D56="","",OFFSET('(2)出場選手'!$B$2,$A56,Y$1))</f>
        <v/>
      </c>
      <c r="Z56" s="17" t="str">
        <f ca="1">IF($D56="","",OFFSET('(2)出場選手'!$B$2,$A56,Z$1))</f>
        <v/>
      </c>
    </row>
    <row r="57" spans="1:26" x14ac:dyDescent="0.15">
      <c r="A57" s="17">
        <f>TRUNC((ROWS($D$3:D57)-2)/Max_Entry_Count)+1</f>
        <v>18</v>
      </c>
      <c r="B57" s="17" t="str">
        <f ca="1">IF($A57&gt;=ROWS(Entries)-2,"",IF(OFFSET('(2)出場選手'!$B$2,$A57,B$1+3*(MOD(ROWS($D$3:D57)-2,Max_Entry_Count)))="","",MOD(ROWS($D$3:D57)-2,Max_Entry_Count)))</f>
        <v/>
      </c>
      <c r="D57" s="26" t="str">
        <f ca="1">IF(OR($A57&gt;=ROWS(Entries)-2,$B57=""),"",'(1)鑑'!$E$6&amp;"-"&amp;OFFSET('(2)出場選手'!$B$2,$A57,D$1))</f>
        <v/>
      </c>
      <c r="E57" s="26" t="str">
        <f ca="1">IF($D57="","",OFFSET('(2)出場選手'!$B$2,$A57,E$1))</f>
        <v/>
      </c>
      <c r="F57" s="26" t="str">
        <f ca="1">IF($D57="","",IF(OFFSET('(2)出場選手'!$B$2,$A57,F$1)="","",OFFSET('(2)出場選手'!$B$2,$A57,F$1)))</f>
        <v/>
      </c>
      <c r="G57" s="26" t="str">
        <f t="shared" ca="1" si="0"/>
        <v/>
      </c>
      <c r="H57" s="26" t="str">
        <f t="shared" ca="1" si="1"/>
        <v/>
      </c>
      <c r="I57" s="26" t="str">
        <f ca="1">IF($D57="","",IF(OFFSET('(2)出場選手'!$B$2,$A57,I$1)="","",OFFSET('(2)出場選手'!$B$2,$A57,I$1)))</f>
        <v/>
      </c>
      <c r="J57" s="26" t="str">
        <f ca="1">IF($D57="","",IF(OFFSET('(2)出場選手'!$B$2,$A57,J$1)="",'(1)鑑'!$E$6,OFFSET('(2)出場選手'!$B$2,$A57,J$1)))</f>
        <v/>
      </c>
      <c r="K57" s="26" t="str">
        <f ca="1">IF($D57="","",TRIM(ASC(IF(OFFSET('(2)出場選手'!$B$2,$A57,K$1)="",'(1)鑑'!$E$7,OFFSET('(2)出場選手'!$B$2,$A57,K$1)))))</f>
        <v/>
      </c>
      <c r="L57" s="26" t="str">
        <f ca="1">IF($D57="","",SUBSTITUTE(SUBSTITUTE(SUBSTITUTE(IF(OFFSET('(2)出場選手'!$B$2,$A57,L$1)="",'(1)鑑'!$E$8,OFFSET('(2)出場選手'!$B$2,$A57,L$1)),"県",""),"府",""),"東京都","東京"))</f>
        <v/>
      </c>
      <c r="M57" s="57" t="str">
        <f ca="1">IF($D57="","",IF(OFFSET('(2)出場選手'!$B$2,$A57,M$1)="","",OFFSET('(2)出場選手'!$B$2,$A57,M$1)))</f>
        <v/>
      </c>
      <c r="N57" s="26" t="str">
        <f ca="1">IF($D57="","",OFFSET('(2)出場選手'!$B$2,$A57,N$1+3*$B57))</f>
        <v/>
      </c>
      <c r="O57" s="26" t="str">
        <f ca="1">IF($D57="","",IF(OFFSET('(2)出場選手'!$B$2,$A57,O$1+3*$B57)="","",OFFSET('(2)出場選手'!$B$2,$A57,O$1+3*$B57)))</f>
        <v/>
      </c>
      <c r="P57" s="26" t="str">
        <f ca="1">IF($D57="","",IF(OFFSET('(2)出場選手'!$B$2,$A57,P$1+3*$B57)="","",OFFSET('(2)出場選手'!$B$2,$A57,P$1+3*$B57)))</f>
        <v/>
      </c>
      <c r="Q57" s="43" t="str">
        <f ca="1">IF(D57="","",VLOOKUP(N57,OFFSET(Competition_Events,0,1),11,FALSE)*IF($S57="リレー",IF(COUNTIF($T$3:$T57,$T57)&gt;1,0,1),1))</f>
        <v/>
      </c>
      <c r="R57" s="26" t="str">
        <f t="shared" ca="1" si="2"/>
        <v/>
      </c>
      <c r="S57" s="26" t="str">
        <f t="shared" ca="1" si="3"/>
        <v/>
      </c>
      <c r="T57" s="26" t="str">
        <f t="shared" ca="1" si="4"/>
        <v/>
      </c>
      <c r="U57" s="26" t="str">
        <f t="shared" ca="1" si="5"/>
        <v/>
      </c>
      <c r="W57" s="17" t="str">
        <f ca="1">IF($D57="","",OFFSET('(2)出場選手'!$B$2,$A57,W$1))</f>
        <v/>
      </c>
      <c r="X57" s="17" t="str">
        <f ca="1">IF($D57="","",OFFSET('(2)出場選手'!$B$2,$A57,X$1))</f>
        <v/>
      </c>
      <c r="Y57" s="17" t="str">
        <f ca="1">IF($D57="","",OFFSET('(2)出場選手'!$B$2,$A57,Y$1))</f>
        <v/>
      </c>
      <c r="Z57" s="17" t="str">
        <f ca="1">IF($D57="","",OFFSET('(2)出場選手'!$B$2,$A57,Z$1))</f>
        <v/>
      </c>
    </row>
    <row r="58" spans="1:26" x14ac:dyDescent="0.15">
      <c r="A58" s="17">
        <f>TRUNC((ROWS($D$3:D58)-2)/Max_Entry_Count)+1</f>
        <v>19</v>
      </c>
      <c r="B58" s="17" t="str">
        <f ca="1">IF($A58&gt;=ROWS(Entries)-2,"",IF(OFFSET('(2)出場選手'!$B$2,$A58,B$1+3*(MOD(ROWS($D$3:D58)-2,Max_Entry_Count)))="","",MOD(ROWS($D$3:D58)-2,Max_Entry_Count)))</f>
        <v/>
      </c>
      <c r="D58" s="26" t="str">
        <f ca="1">IF(OR($A58&gt;=ROWS(Entries)-2,$B58=""),"",'(1)鑑'!$E$6&amp;"-"&amp;OFFSET('(2)出場選手'!$B$2,$A58,D$1))</f>
        <v/>
      </c>
      <c r="E58" s="26" t="str">
        <f ca="1">IF($D58="","",OFFSET('(2)出場選手'!$B$2,$A58,E$1))</f>
        <v/>
      </c>
      <c r="F58" s="26" t="str">
        <f ca="1">IF($D58="","",IF(OFFSET('(2)出場選手'!$B$2,$A58,F$1)="","",OFFSET('(2)出場選手'!$B$2,$A58,F$1)))</f>
        <v/>
      </c>
      <c r="G58" s="26" t="str">
        <f t="shared" ca="1" si="0"/>
        <v/>
      </c>
      <c r="H58" s="26" t="str">
        <f t="shared" ca="1" si="1"/>
        <v/>
      </c>
      <c r="I58" s="26" t="str">
        <f ca="1">IF($D58="","",IF(OFFSET('(2)出場選手'!$B$2,$A58,I$1)="","",OFFSET('(2)出場選手'!$B$2,$A58,I$1)))</f>
        <v/>
      </c>
      <c r="J58" s="26" t="str">
        <f ca="1">IF($D58="","",IF(OFFSET('(2)出場選手'!$B$2,$A58,J$1)="",'(1)鑑'!$E$6,OFFSET('(2)出場選手'!$B$2,$A58,J$1)))</f>
        <v/>
      </c>
      <c r="K58" s="26" t="str">
        <f ca="1">IF($D58="","",TRIM(ASC(IF(OFFSET('(2)出場選手'!$B$2,$A58,K$1)="",'(1)鑑'!$E$7,OFFSET('(2)出場選手'!$B$2,$A58,K$1)))))</f>
        <v/>
      </c>
      <c r="L58" s="26" t="str">
        <f ca="1">IF($D58="","",SUBSTITUTE(SUBSTITUTE(SUBSTITUTE(IF(OFFSET('(2)出場選手'!$B$2,$A58,L$1)="",'(1)鑑'!$E$8,OFFSET('(2)出場選手'!$B$2,$A58,L$1)),"県",""),"府",""),"東京都","東京"))</f>
        <v/>
      </c>
      <c r="M58" s="57" t="str">
        <f ca="1">IF($D58="","",IF(OFFSET('(2)出場選手'!$B$2,$A58,M$1)="","",OFFSET('(2)出場選手'!$B$2,$A58,M$1)))</f>
        <v/>
      </c>
      <c r="N58" s="26" t="str">
        <f ca="1">IF($D58="","",OFFSET('(2)出場選手'!$B$2,$A58,N$1+3*$B58))</f>
        <v/>
      </c>
      <c r="O58" s="26" t="str">
        <f ca="1">IF($D58="","",IF(OFFSET('(2)出場選手'!$B$2,$A58,O$1+3*$B58)="","",OFFSET('(2)出場選手'!$B$2,$A58,O$1+3*$B58)))</f>
        <v/>
      </c>
      <c r="P58" s="26" t="str">
        <f ca="1">IF($D58="","",IF(OFFSET('(2)出場選手'!$B$2,$A58,P$1+3*$B58)="","",OFFSET('(2)出場選手'!$B$2,$A58,P$1+3*$B58)))</f>
        <v/>
      </c>
      <c r="Q58" s="43" t="str">
        <f ca="1">IF(D58="","",VLOOKUP(N58,OFFSET(Competition_Events,0,1),11,FALSE)*IF($S58="リレー",IF(COUNTIF($T$3:$T58,$T58)&gt;1,0,1),1))</f>
        <v/>
      </c>
      <c r="R58" s="26" t="str">
        <f t="shared" ca="1" si="2"/>
        <v/>
      </c>
      <c r="S58" s="26" t="str">
        <f t="shared" ca="1" si="3"/>
        <v/>
      </c>
      <c r="T58" s="26" t="str">
        <f t="shared" ca="1" si="4"/>
        <v/>
      </c>
      <c r="U58" s="26" t="str">
        <f t="shared" ca="1" si="5"/>
        <v/>
      </c>
      <c r="W58" s="17" t="str">
        <f ca="1">IF($D58="","",OFFSET('(2)出場選手'!$B$2,$A58,W$1))</f>
        <v/>
      </c>
      <c r="X58" s="17" t="str">
        <f ca="1">IF($D58="","",OFFSET('(2)出場選手'!$B$2,$A58,X$1))</f>
        <v/>
      </c>
      <c r="Y58" s="17" t="str">
        <f ca="1">IF($D58="","",OFFSET('(2)出場選手'!$B$2,$A58,Y$1))</f>
        <v/>
      </c>
      <c r="Z58" s="17" t="str">
        <f ca="1">IF($D58="","",OFFSET('(2)出場選手'!$B$2,$A58,Z$1))</f>
        <v/>
      </c>
    </row>
    <row r="59" spans="1:26" x14ac:dyDescent="0.15">
      <c r="A59" s="17">
        <f>TRUNC((ROWS($D$3:D59)-2)/Max_Entry_Count)+1</f>
        <v>19</v>
      </c>
      <c r="B59" s="17" t="str">
        <f ca="1">IF($A59&gt;=ROWS(Entries)-2,"",IF(OFFSET('(2)出場選手'!$B$2,$A59,B$1+3*(MOD(ROWS($D$3:D59)-2,Max_Entry_Count)))="","",MOD(ROWS($D$3:D59)-2,Max_Entry_Count)))</f>
        <v/>
      </c>
      <c r="D59" s="26" t="str">
        <f ca="1">IF(OR($A59&gt;=ROWS(Entries)-2,$B59=""),"",'(1)鑑'!$E$6&amp;"-"&amp;OFFSET('(2)出場選手'!$B$2,$A59,D$1))</f>
        <v/>
      </c>
      <c r="E59" s="26" t="str">
        <f ca="1">IF($D59="","",OFFSET('(2)出場選手'!$B$2,$A59,E$1))</f>
        <v/>
      </c>
      <c r="F59" s="26" t="str">
        <f ca="1">IF($D59="","",IF(OFFSET('(2)出場選手'!$B$2,$A59,F$1)="","",OFFSET('(2)出場選手'!$B$2,$A59,F$1)))</f>
        <v/>
      </c>
      <c r="G59" s="26" t="str">
        <f t="shared" ca="1" si="0"/>
        <v/>
      </c>
      <c r="H59" s="26" t="str">
        <f t="shared" ca="1" si="1"/>
        <v/>
      </c>
      <c r="I59" s="26" t="str">
        <f ca="1">IF($D59="","",IF(OFFSET('(2)出場選手'!$B$2,$A59,I$1)="","",OFFSET('(2)出場選手'!$B$2,$A59,I$1)))</f>
        <v/>
      </c>
      <c r="J59" s="26" t="str">
        <f ca="1">IF($D59="","",IF(OFFSET('(2)出場選手'!$B$2,$A59,J$1)="",'(1)鑑'!$E$6,OFFSET('(2)出場選手'!$B$2,$A59,J$1)))</f>
        <v/>
      </c>
      <c r="K59" s="26" t="str">
        <f ca="1">IF($D59="","",TRIM(ASC(IF(OFFSET('(2)出場選手'!$B$2,$A59,K$1)="",'(1)鑑'!$E$7,OFFSET('(2)出場選手'!$B$2,$A59,K$1)))))</f>
        <v/>
      </c>
      <c r="L59" s="26" t="str">
        <f ca="1">IF($D59="","",SUBSTITUTE(SUBSTITUTE(SUBSTITUTE(IF(OFFSET('(2)出場選手'!$B$2,$A59,L$1)="",'(1)鑑'!$E$8,OFFSET('(2)出場選手'!$B$2,$A59,L$1)),"県",""),"府",""),"東京都","東京"))</f>
        <v/>
      </c>
      <c r="M59" s="57" t="str">
        <f ca="1">IF($D59="","",IF(OFFSET('(2)出場選手'!$B$2,$A59,M$1)="","",OFFSET('(2)出場選手'!$B$2,$A59,M$1)))</f>
        <v/>
      </c>
      <c r="N59" s="26" t="str">
        <f ca="1">IF($D59="","",OFFSET('(2)出場選手'!$B$2,$A59,N$1+3*$B59))</f>
        <v/>
      </c>
      <c r="O59" s="26" t="str">
        <f ca="1">IF($D59="","",IF(OFFSET('(2)出場選手'!$B$2,$A59,O$1+3*$B59)="","",OFFSET('(2)出場選手'!$B$2,$A59,O$1+3*$B59)))</f>
        <v/>
      </c>
      <c r="P59" s="26" t="str">
        <f ca="1">IF($D59="","",IF(OFFSET('(2)出場選手'!$B$2,$A59,P$1+3*$B59)="","",OFFSET('(2)出場選手'!$B$2,$A59,P$1+3*$B59)))</f>
        <v/>
      </c>
      <c r="Q59" s="43" t="str">
        <f ca="1">IF(D59="","",VLOOKUP(N59,OFFSET(Competition_Events,0,1),11,FALSE)*IF($S59="リレー",IF(COUNTIF($T$3:$T59,$T59)&gt;1,0,1),1))</f>
        <v/>
      </c>
      <c r="R59" s="26" t="str">
        <f t="shared" ca="1" si="2"/>
        <v/>
      </c>
      <c r="S59" s="26" t="str">
        <f t="shared" ca="1" si="3"/>
        <v/>
      </c>
      <c r="T59" s="26" t="str">
        <f t="shared" ca="1" si="4"/>
        <v/>
      </c>
      <c r="U59" s="26" t="str">
        <f t="shared" ca="1" si="5"/>
        <v/>
      </c>
      <c r="W59" s="17" t="str">
        <f ca="1">IF($D59="","",OFFSET('(2)出場選手'!$B$2,$A59,W$1))</f>
        <v/>
      </c>
      <c r="X59" s="17" t="str">
        <f ca="1">IF($D59="","",OFFSET('(2)出場選手'!$B$2,$A59,X$1))</f>
        <v/>
      </c>
      <c r="Y59" s="17" t="str">
        <f ca="1">IF($D59="","",OFFSET('(2)出場選手'!$B$2,$A59,Y$1))</f>
        <v/>
      </c>
      <c r="Z59" s="17" t="str">
        <f ca="1">IF($D59="","",OFFSET('(2)出場選手'!$B$2,$A59,Z$1))</f>
        <v/>
      </c>
    </row>
    <row r="60" spans="1:26" x14ac:dyDescent="0.15">
      <c r="A60" s="17">
        <f>TRUNC((ROWS($D$3:D60)-2)/Max_Entry_Count)+1</f>
        <v>19</v>
      </c>
      <c r="B60" s="17" t="str">
        <f ca="1">IF($A60&gt;=ROWS(Entries)-2,"",IF(OFFSET('(2)出場選手'!$B$2,$A60,B$1+3*(MOD(ROWS($D$3:D60)-2,Max_Entry_Count)))="","",MOD(ROWS($D$3:D60)-2,Max_Entry_Count)))</f>
        <v/>
      </c>
      <c r="D60" s="26" t="str">
        <f ca="1">IF(OR($A60&gt;=ROWS(Entries)-2,$B60=""),"",'(1)鑑'!$E$6&amp;"-"&amp;OFFSET('(2)出場選手'!$B$2,$A60,D$1))</f>
        <v/>
      </c>
      <c r="E60" s="26" t="str">
        <f ca="1">IF($D60="","",OFFSET('(2)出場選手'!$B$2,$A60,E$1))</f>
        <v/>
      </c>
      <c r="F60" s="26" t="str">
        <f ca="1">IF($D60="","",IF(OFFSET('(2)出場選手'!$B$2,$A60,F$1)="","",OFFSET('(2)出場選手'!$B$2,$A60,F$1)))</f>
        <v/>
      </c>
      <c r="G60" s="26" t="str">
        <f t="shared" ca="1" si="0"/>
        <v/>
      </c>
      <c r="H60" s="26" t="str">
        <f t="shared" ca="1" si="1"/>
        <v/>
      </c>
      <c r="I60" s="26" t="str">
        <f ca="1">IF($D60="","",IF(OFFSET('(2)出場選手'!$B$2,$A60,I$1)="","",OFFSET('(2)出場選手'!$B$2,$A60,I$1)))</f>
        <v/>
      </c>
      <c r="J60" s="26" t="str">
        <f ca="1">IF($D60="","",IF(OFFSET('(2)出場選手'!$B$2,$A60,J$1)="",'(1)鑑'!$E$6,OFFSET('(2)出場選手'!$B$2,$A60,J$1)))</f>
        <v/>
      </c>
      <c r="K60" s="26" t="str">
        <f ca="1">IF($D60="","",TRIM(ASC(IF(OFFSET('(2)出場選手'!$B$2,$A60,K$1)="",'(1)鑑'!$E$7,OFFSET('(2)出場選手'!$B$2,$A60,K$1)))))</f>
        <v/>
      </c>
      <c r="L60" s="26" t="str">
        <f ca="1">IF($D60="","",SUBSTITUTE(SUBSTITUTE(SUBSTITUTE(IF(OFFSET('(2)出場選手'!$B$2,$A60,L$1)="",'(1)鑑'!$E$8,OFFSET('(2)出場選手'!$B$2,$A60,L$1)),"県",""),"府",""),"東京都","東京"))</f>
        <v/>
      </c>
      <c r="M60" s="57" t="str">
        <f ca="1">IF($D60="","",IF(OFFSET('(2)出場選手'!$B$2,$A60,M$1)="","",OFFSET('(2)出場選手'!$B$2,$A60,M$1)))</f>
        <v/>
      </c>
      <c r="N60" s="26" t="str">
        <f ca="1">IF($D60="","",OFFSET('(2)出場選手'!$B$2,$A60,N$1+3*$B60))</f>
        <v/>
      </c>
      <c r="O60" s="26" t="str">
        <f ca="1">IF($D60="","",IF(OFFSET('(2)出場選手'!$B$2,$A60,O$1+3*$B60)="","",OFFSET('(2)出場選手'!$B$2,$A60,O$1+3*$B60)))</f>
        <v/>
      </c>
      <c r="P60" s="26" t="str">
        <f ca="1">IF($D60="","",IF(OFFSET('(2)出場選手'!$B$2,$A60,P$1+3*$B60)="","",OFFSET('(2)出場選手'!$B$2,$A60,P$1+3*$B60)))</f>
        <v/>
      </c>
      <c r="Q60" s="43" t="str">
        <f ca="1">IF(D60="","",VLOOKUP(N60,OFFSET(Competition_Events,0,1),11,FALSE)*IF($S60="リレー",IF(COUNTIF($T$3:$T60,$T60)&gt;1,0,1),1))</f>
        <v/>
      </c>
      <c r="R60" s="26" t="str">
        <f t="shared" ca="1" si="2"/>
        <v/>
      </c>
      <c r="S60" s="26" t="str">
        <f t="shared" ca="1" si="3"/>
        <v/>
      </c>
      <c r="T60" s="26" t="str">
        <f t="shared" ca="1" si="4"/>
        <v/>
      </c>
      <c r="U60" s="26" t="str">
        <f t="shared" ca="1" si="5"/>
        <v/>
      </c>
      <c r="W60" s="17" t="str">
        <f ca="1">IF($D60="","",OFFSET('(2)出場選手'!$B$2,$A60,W$1))</f>
        <v/>
      </c>
      <c r="X60" s="17" t="str">
        <f ca="1">IF($D60="","",OFFSET('(2)出場選手'!$B$2,$A60,X$1))</f>
        <v/>
      </c>
      <c r="Y60" s="17" t="str">
        <f ca="1">IF($D60="","",OFFSET('(2)出場選手'!$B$2,$A60,Y$1))</f>
        <v/>
      </c>
      <c r="Z60" s="17" t="str">
        <f ca="1">IF($D60="","",OFFSET('(2)出場選手'!$B$2,$A60,Z$1))</f>
        <v/>
      </c>
    </row>
    <row r="61" spans="1:26" x14ac:dyDescent="0.15">
      <c r="A61" s="17">
        <f>TRUNC((ROWS($D$3:D61)-2)/Max_Entry_Count)+1</f>
        <v>20</v>
      </c>
      <c r="B61" s="17" t="str">
        <f ca="1">IF($A61&gt;=ROWS(Entries)-2,"",IF(OFFSET('(2)出場選手'!$B$2,$A61,B$1+3*(MOD(ROWS($D$3:D61)-2,Max_Entry_Count)))="","",MOD(ROWS($D$3:D61)-2,Max_Entry_Count)))</f>
        <v/>
      </c>
      <c r="D61" s="26" t="str">
        <f ca="1">IF(OR($A61&gt;=ROWS(Entries)-2,$B61=""),"",'(1)鑑'!$E$6&amp;"-"&amp;OFFSET('(2)出場選手'!$B$2,$A61,D$1))</f>
        <v/>
      </c>
      <c r="E61" s="26" t="str">
        <f ca="1">IF($D61="","",OFFSET('(2)出場選手'!$B$2,$A61,E$1))</f>
        <v/>
      </c>
      <c r="F61" s="26" t="str">
        <f ca="1">IF($D61="","",IF(OFFSET('(2)出場選手'!$B$2,$A61,F$1)="","",OFFSET('(2)出場選手'!$B$2,$A61,F$1)))</f>
        <v/>
      </c>
      <c r="G61" s="26" t="str">
        <f t="shared" ca="1" si="0"/>
        <v/>
      </c>
      <c r="H61" s="26" t="str">
        <f t="shared" ca="1" si="1"/>
        <v/>
      </c>
      <c r="I61" s="26" t="str">
        <f ca="1">IF($D61="","",IF(OFFSET('(2)出場選手'!$B$2,$A61,I$1)="","",OFFSET('(2)出場選手'!$B$2,$A61,I$1)))</f>
        <v/>
      </c>
      <c r="J61" s="26" t="str">
        <f ca="1">IF($D61="","",IF(OFFSET('(2)出場選手'!$B$2,$A61,J$1)="",'(1)鑑'!$E$6,OFFSET('(2)出場選手'!$B$2,$A61,J$1)))</f>
        <v/>
      </c>
      <c r="K61" s="26" t="str">
        <f ca="1">IF($D61="","",TRIM(ASC(IF(OFFSET('(2)出場選手'!$B$2,$A61,K$1)="",'(1)鑑'!$E$7,OFFSET('(2)出場選手'!$B$2,$A61,K$1)))))</f>
        <v/>
      </c>
      <c r="L61" s="26" t="str">
        <f ca="1">IF($D61="","",SUBSTITUTE(SUBSTITUTE(SUBSTITUTE(IF(OFFSET('(2)出場選手'!$B$2,$A61,L$1)="",'(1)鑑'!$E$8,OFFSET('(2)出場選手'!$B$2,$A61,L$1)),"県",""),"府",""),"東京都","東京"))</f>
        <v/>
      </c>
      <c r="M61" s="57" t="str">
        <f ca="1">IF($D61="","",IF(OFFSET('(2)出場選手'!$B$2,$A61,M$1)="","",OFFSET('(2)出場選手'!$B$2,$A61,M$1)))</f>
        <v/>
      </c>
      <c r="N61" s="26" t="str">
        <f ca="1">IF($D61="","",OFFSET('(2)出場選手'!$B$2,$A61,N$1+3*$B61))</f>
        <v/>
      </c>
      <c r="O61" s="26" t="str">
        <f ca="1">IF($D61="","",IF(OFFSET('(2)出場選手'!$B$2,$A61,O$1+3*$B61)="","",OFFSET('(2)出場選手'!$B$2,$A61,O$1+3*$B61)))</f>
        <v/>
      </c>
      <c r="P61" s="26" t="str">
        <f ca="1">IF($D61="","",IF(OFFSET('(2)出場選手'!$B$2,$A61,P$1+3*$B61)="","",OFFSET('(2)出場選手'!$B$2,$A61,P$1+3*$B61)))</f>
        <v/>
      </c>
      <c r="Q61" s="43" t="str">
        <f ca="1">IF(D61="","",VLOOKUP(N61,OFFSET(Competition_Events,0,1),11,FALSE)*IF($S61="リレー",IF(COUNTIF($T$3:$T61,$T61)&gt;1,0,1),1))</f>
        <v/>
      </c>
      <c r="R61" s="26" t="str">
        <f t="shared" ca="1" si="2"/>
        <v/>
      </c>
      <c r="S61" s="26" t="str">
        <f t="shared" ca="1" si="3"/>
        <v/>
      </c>
      <c r="T61" s="26" t="str">
        <f t="shared" ca="1" si="4"/>
        <v/>
      </c>
      <c r="U61" s="26" t="str">
        <f t="shared" ca="1" si="5"/>
        <v/>
      </c>
      <c r="W61" s="17" t="str">
        <f ca="1">IF($D61="","",OFFSET('(2)出場選手'!$B$2,$A61,W$1))</f>
        <v/>
      </c>
      <c r="X61" s="17" t="str">
        <f ca="1">IF($D61="","",OFFSET('(2)出場選手'!$B$2,$A61,X$1))</f>
        <v/>
      </c>
      <c r="Y61" s="17" t="str">
        <f ca="1">IF($D61="","",OFFSET('(2)出場選手'!$B$2,$A61,Y$1))</f>
        <v/>
      </c>
      <c r="Z61" s="17" t="str">
        <f ca="1">IF($D61="","",OFFSET('(2)出場選手'!$B$2,$A61,Z$1))</f>
        <v/>
      </c>
    </row>
    <row r="62" spans="1:26" x14ac:dyDescent="0.15">
      <c r="A62" s="17">
        <f>TRUNC((ROWS($D$3:D62)-2)/Max_Entry_Count)+1</f>
        <v>20</v>
      </c>
      <c r="B62" s="17" t="str">
        <f ca="1">IF($A62&gt;=ROWS(Entries)-2,"",IF(OFFSET('(2)出場選手'!$B$2,$A62,B$1+3*(MOD(ROWS($D$3:D62)-2,Max_Entry_Count)))="","",MOD(ROWS($D$3:D62)-2,Max_Entry_Count)))</f>
        <v/>
      </c>
      <c r="D62" s="26" t="str">
        <f ca="1">IF(OR($A62&gt;=ROWS(Entries)-2,$B62=""),"",'(1)鑑'!$E$6&amp;"-"&amp;OFFSET('(2)出場選手'!$B$2,$A62,D$1))</f>
        <v/>
      </c>
      <c r="E62" s="26" t="str">
        <f ca="1">IF($D62="","",OFFSET('(2)出場選手'!$B$2,$A62,E$1))</f>
        <v/>
      </c>
      <c r="F62" s="26" t="str">
        <f ca="1">IF($D62="","",IF(OFFSET('(2)出場選手'!$B$2,$A62,F$1)="","",OFFSET('(2)出場選手'!$B$2,$A62,F$1)))</f>
        <v/>
      </c>
      <c r="G62" s="26" t="str">
        <f t="shared" ca="1" si="0"/>
        <v/>
      </c>
      <c r="H62" s="26" t="str">
        <f t="shared" ca="1" si="1"/>
        <v/>
      </c>
      <c r="I62" s="26" t="str">
        <f ca="1">IF($D62="","",IF(OFFSET('(2)出場選手'!$B$2,$A62,I$1)="","",OFFSET('(2)出場選手'!$B$2,$A62,I$1)))</f>
        <v/>
      </c>
      <c r="J62" s="26" t="str">
        <f ca="1">IF($D62="","",IF(OFFSET('(2)出場選手'!$B$2,$A62,J$1)="",'(1)鑑'!$E$6,OFFSET('(2)出場選手'!$B$2,$A62,J$1)))</f>
        <v/>
      </c>
      <c r="K62" s="26" t="str">
        <f ca="1">IF($D62="","",TRIM(ASC(IF(OFFSET('(2)出場選手'!$B$2,$A62,K$1)="",'(1)鑑'!$E$7,OFFSET('(2)出場選手'!$B$2,$A62,K$1)))))</f>
        <v/>
      </c>
      <c r="L62" s="26" t="str">
        <f ca="1">IF($D62="","",SUBSTITUTE(SUBSTITUTE(SUBSTITUTE(IF(OFFSET('(2)出場選手'!$B$2,$A62,L$1)="",'(1)鑑'!$E$8,OFFSET('(2)出場選手'!$B$2,$A62,L$1)),"県",""),"府",""),"東京都","東京"))</f>
        <v/>
      </c>
      <c r="M62" s="57" t="str">
        <f ca="1">IF($D62="","",IF(OFFSET('(2)出場選手'!$B$2,$A62,M$1)="","",OFFSET('(2)出場選手'!$B$2,$A62,M$1)))</f>
        <v/>
      </c>
      <c r="N62" s="26" t="str">
        <f ca="1">IF($D62="","",OFFSET('(2)出場選手'!$B$2,$A62,N$1+3*$B62))</f>
        <v/>
      </c>
      <c r="O62" s="26" t="str">
        <f ca="1">IF($D62="","",IF(OFFSET('(2)出場選手'!$B$2,$A62,O$1+3*$B62)="","",OFFSET('(2)出場選手'!$B$2,$A62,O$1+3*$B62)))</f>
        <v/>
      </c>
      <c r="P62" s="26" t="str">
        <f ca="1">IF($D62="","",IF(OFFSET('(2)出場選手'!$B$2,$A62,P$1+3*$B62)="","",OFFSET('(2)出場選手'!$B$2,$A62,P$1+3*$B62)))</f>
        <v/>
      </c>
      <c r="Q62" s="43" t="str">
        <f ca="1">IF(D62="","",VLOOKUP(N62,OFFSET(Competition_Events,0,1),11,FALSE)*IF($S62="リレー",IF(COUNTIF($T$3:$T62,$T62)&gt;1,0,1),1))</f>
        <v/>
      </c>
      <c r="R62" s="26" t="str">
        <f t="shared" ca="1" si="2"/>
        <v/>
      </c>
      <c r="S62" s="26" t="str">
        <f t="shared" ca="1" si="3"/>
        <v/>
      </c>
      <c r="T62" s="26" t="str">
        <f t="shared" ca="1" si="4"/>
        <v/>
      </c>
      <c r="U62" s="26" t="str">
        <f t="shared" ca="1" si="5"/>
        <v/>
      </c>
      <c r="W62" s="17" t="str">
        <f ca="1">IF($D62="","",OFFSET('(2)出場選手'!$B$2,$A62,W$1))</f>
        <v/>
      </c>
      <c r="X62" s="17" t="str">
        <f ca="1">IF($D62="","",OFFSET('(2)出場選手'!$B$2,$A62,X$1))</f>
        <v/>
      </c>
      <c r="Y62" s="17" t="str">
        <f ca="1">IF($D62="","",OFFSET('(2)出場選手'!$B$2,$A62,Y$1))</f>
        <v/>
      </c>
      <c r="Z62" s="17" t="str">
        <f ca="1">IF($D62="","",OFFSET('(2)出場選手'!$B$2,$A62,Z$1))</f>
        <v/>
      </c>
    </row>
    <row r="63" spans="1:26" x14ac:dyDescent="0.15">
      <c r="A63" s="17">
        <f>TRUNC((ROWS($D$3:D63)-2)/Max_Entry_Count)+1</f>
        <v>20</v>
      </c>
      <c r="B63" s="17" t="str">
        <f ca="1">IF($A63&gt;=ROWS(Entries)-2,"",IF(OFFSET('(2)出場選手'!$B$2,$A63,B$1+3*(MOD(ROWS($D$3:D63)-2,Max_Entry_Count)))="","",MOD(ROWS($D$3:D63)-2,Max_Entry_Count)))</f>
        <v/>
      </c>
      <c r="D63" s="26" t="str">
        <f ca="1">IF(OR($A63&gt;=ROWS(Entries)-2,$B63=""),"",'(1)鑑'!$E$6&amp;"-"&amp;OFFSET('(2)出場選手'!$B$2,$A63,D$1))</f>
        <v/>
      </c>
      <c r="E63" s="26" t="str">
        <f ca="1">IF($D63="","",OFFSET('(2)出場選手'!$B$2,$A63,E$1))</f>
        <v/>
      </c>
      <c r="F63" s="26" t="str">
        <f ca="1">IF($D63="","",IF(OFFSET('(2)出場選手'!$B$2,$A63,F$1)="","",OFFSET('(2)出場選手'!$B$2,$A63,F$1)))</f>
        <v/>
      </c>
      <c r="G63" s="26" t="str">
        <f t="shared" ca="1" si="0"/>
        <v/>
      </c>
      <c r="H63" s="26" t="str">
        <f t="shared" ca="1" si="1"/>
        <v/>
      </c>
      <c r="I63" s="26" t="str">
        <f ca="1">IF($D63="","",IF(OFFSET('(2)出場選手'!$B$2,$A63,I$1)="","",OFFSET('(2)出場選手'!$B$2,$A63,I$1)))</f>
        <v/>
      </c>
      <c r="J63" s="26" t="str">
        <f ca="1">IF($D63="","",IF(OFFSET('(2)出場選手'!$B$2,$A63,J$1)="",'(1)鑑'!$E$6,OFFSET('(2)出場選手'!$B$2,$A63,J$1)))</f>
        <v/>
      </c>
      <c r="K63" s="26" t="str">
        <f ca="1">IF($D63="","",TRIM(ASC(IF(OFFSET('(2)出場選手'!$B$2,$A63,K$1)="",'(1)鑑'!$E$7,OFFSET('(2)出場選手'!$B$2,$A63,K$1)))))</f>
        <v/>
      </c>
      <c r="L63" s="26" t="str">
        <f ca="1">IF($D63="","",SUBSTITUTE(SUBSTITUTE(SUBSTITUTE(IF(OFFSET('(2)出場選手'!$B$2,$A63,L$1)="",'(1)鑑'!$E$8,OFFSET('(2)出場選手'!$B$2,$A63,L$1)),"県",""),"府",""),"東京都","東京"))</f>
        <v/>
      </c>
      <c r="M63" s="57" t="str">
        <f ca="1">IF($D63="","",IF(OFFSET('(2)出場選手'!$B$2,$A63,M$1)="","",OFFSET('(2)出場選手'!$B$2,$A63,M$1)))</f>
        <v/>
      </c>
      <c r="N63" s="26" t="str">
        <f ca="1">IF($D63="","",OFFSET('(2)出場選手'!$B$2,$A63,N$1+3*$B63))</f>
        <v/>
      </c>
      <c r="O63" s="26" t="str">
        <f ca="1">IF($D63="","",IF(OFFSET('(2)出場選手'!$B$2,$A63,O$1+3*$B63)="","",OFFSET('(2)出場選手'!$B$2,$A63,O$1+3*$B63)))</f>
        <v/>
      </c>
      <c r="P63" s="26" t="str">
        <f ca="1">IF($D63="","",IF(OFFSET('(2)出場選手'!$B$2,$A63,P$1+3*$B63)="","",OFFSET('(2)出場選手'!$B$2,$A63,P$1+3*$B63)))</f>
        <v/>
      </c>
      <c r="Q63" s="43" t="str">
        <f ca="1">IF(D63="","",VLOOKUP(N63,OFFSET(Competition_Events,0,1),11,FALSE)*IF($S63="リレー",IF(COUNTIF($T$3:$T63,$T63)&gt;1,0,1),1))</f>
        <v/>
      </c>
      <c r="R63" s="26" t="str">
        <f t="shared" ca="1" si="2"/>
        <v/>
      </c>
      <c r="S63" s="26" t="str">
        <f t="shared" ca="1" si="3"/>
        <v/>
      </c>
      <c r="T63" s="26" t="str">
        <f t="shared" ca="1" si="4"/>
        <v/>
      </c>
      <c r="U63" s="26" t="str">
        <f t="shared" ca="1" si="5"/>
        <v/>
      </c>
      <c r="W63" s="17" t="str">
        <f ca="1">IF($D63="","",OFFSET('(2)出場選手'!$B$2,$A63,W$1))</f>
        <v/>
      </c>
      <c r="X63" s="17" t="str">
        <f ca="1">IF($D63="","",OFFSET('(2)出場選手'!$B$2,$A63,X$1))</f>
        <v/>
      </c>
      <c r="Y63" s="17" t="str">
        <f ca="1">IF($D63="","",OFFSET('(2)出場選手'!$B$2,$A63,Y$1))</f>
        <v/>
      </c>
      <c r="Z63" s="17" t="str">
        <f ca="1">IF($D63="","",OFFSET('(2)出場選手'!$B$2,$A63,Z$1))</f>
        <v/>
      </c>
    </row>
    <row r="64" spans="1:26" x14ac:dyDescent="0.15">
      <c r="A64" s="17">
        <f>TRUNC((ROWS($D$3:D64)-2)/Max_Entry_Count)+1</f>
        <v>21</v>
      </c>
      <c r="B64" s="17" t="str">
        <f ca="1">IF($A64&gt;=ROWS(Entries)-2,"",IF(OFFSET('(2)出場選手'!$B$2,$A64,B$1+3*(MOD(ROWS($D$3:D64)-2,Max_Entry_Count)))="","",MOD(ROWS($D$3:D64)-2,Max_Entry_Count)))</f>
        <v/>
      </c>
      <c r="D64" s="26" t="str">
        <f ca="1">IF(OR($A64&gt;=ROWS(Entries)-2,$B64=""),"",'(1)鑑'!$E$6&amp;"-"&amp;OFFSET('(2)出場選手'!$B$2,$A64,D$1))</f>
        <v/>
      </c>
      <c r="E64" s="26" t="str">
        <f ca="1">IF($D64="","",OFFSET('(2)出場選手'!$B$2,$A64,E$1))</f>
        <v/>
      </c>
      <c r="F64" s="26" t="str">
        <f ca="1">IF($D64="","",IF(OFFSET('(2)出場選手'!$B$2,$A64,F$1)="","",OFFSET('(2)出場選手'!$B$2,$A64,F$1)))</f>
        <v/>
      </c>
      <c r="G64" s="26" t="str">
        <f t="shared" ca="1" si="0"/>
        <v/>
      </c>
      <c r="H64" s="26" t="str">
        <f t="shared" ca="1" si="1"/>
        <v/>
      </c>
      <c r="I64" s="26" t="str">
        <f ca="1">IF($D64="","",IF(OFFSET('(2)出場選手'!$B$2,$A64,I$1)="","",OFFSET('(2)出場選手'!$B$2,$A64,I$1)))</f>
        <v/>
      </c>
      <c r="J64" s="26" t="str">
        <f ca="1">IF($D64="","",IF(OFFSET('(2)出場選手'!$B$2,$A64,J$1)="",'(1)鑑'!$E$6,OFFSET('(2)出場選手'!$B$2,$A64,J$1)))</f>
        <v/>
      </c>
      <c r="K64" s="26" t="str">
        <f ca="1">IF($D64="","",TRIM(ASC(IF(OFFSET('(2)出場選手'!$B$2,$A64,K$1)="",'(1)鑑'!$E$7,OFFSET('(2)出場選手'!$B$2,$A64,K$1)))))</f>
        <v/>
      </c>
      <c r="L64" s="26" t="str">
        <f ca="1">IF($D64="","",SUBSTITUTE(SUBSTITUTE(SUBSTITUTE(IF(OFFSET('(2)出場選手'!$B$2,$A64,L$1)="",'(1)鑑'!$E$8,OFFSET('(2)出場選手'!$B$2,$A64,L$1)),"県",""),"府",""),"東京都","東京"))</f>
        <v/>
      </c>
      <c r="M64" s="57" t="str">
        <f ca="1">IF($D64="","",IF(OFFSET('(2)出場選手'!$B$2,$A64,M$1)="","",OFFSET('(2)出場選手'!$B$2,$A64,M$1)))</f>
        <v/>
      </c>
      <c r="N64" s="26" t="str">
        <f ca="1">IF($D64="","",OFFSET('(2)出場選手'!$B$2,$A64,N$1+3*$B64))</f>
        <v/>
      </c>
      <c r="O64" s="26" t="str">
        <f ca="1">IF($D64="","",IF(OFFSET('(2)出場選手'!$B$2,$A64,O$1+3*$B64)="","",OFFSET('(2)出場選手'!$B$2,$A64,O$1+3*$B64)))</f>
        <v/>
      </c>
      <c r="P64" s="26" t="str">
        <f ca="1">IF($D64="","",IF(OFFSET('(2)出場選手'!$B$2,$A64,P$1+3*$B64)="","",OFFSET('(2)出場選手'!$B$2,$A64,P$1+3*$B64)))</f>
        <v/>
      </c>
      <c r="Q64" s="43" t="str">
        <f ca="1">IF(D64="","",VLOOKUP(N64,OFFSET(Competition_Events,0,1),11,FALSE)*IF($S64="リレー",IF(COUNTIF($T$3:$T64,$T64)&gt;1,0,1),1))</f>
        <v/>
      </c>
      <c r="R64" s="26" t="str">
        <f t="shared" ca="1" si="2"/>
        <v/>
      </c>
      <c r="S64" s="26" t="str">
        <f t="shared" ca="1" si="3"/>
        <v/>
      </c>
      <c r="T64" s="26" t="str">
        <f t="shared" ca="1" si="4"/>
        <v/>
      </c>
      <c r="U64" s="26" t="str">
        <f t="shared" ca="1" si="5"/>
        <v/>
      </c>
      <c r="W64" s="17" t="str">
        <f ca="1">IF($D64="","",OFFSET('(2)出場選手'!$B$2,$A64,W$1))</f>
        <v/>
      </c>
      <c r="X64" s="17" t="str">
        <f ca="1">IF($D64="","",OFFSET('(2)出場選手'!$B$2,$A64,X$1))</f>
        <v/>
      </c>
      <c r="Y64" s="17" t="str">
        <f ca="1">IF($D64="","",OFFSET('(2)出場選手'!$B$2,$A64,Y$1))</f>
        <v/>
      </c>
      <c r="Z64" s="17" t="str">
        <f ca="1">IF($D64="","",OFFSET('(2)出場選手'!$B$2,$A64,Z$1))</f>
        <v/>
      </c>
    </row>
    <row r="65" spans="1:26" x14ac:dyDescent="0.15">
      <c r="A65" s="17">
        <f>TRUNC((ROWS($D$3:D65)-2)/Max_Entry_Count)+1</f>
        <v>21</v>
      </c>
      <c r="B65" s="17" t="str">
        <f ca="1">IF($A65&gt;=ROWS(Entries)-2,"",IF(OFFSET('(2)出場選手'!$B$2,$A65,B$1+3*(MOD(ROWS($D$3:D65)-2,Max_Entry_Count)))="","",MOD(ROWS($D$3:D65)-2,Max_Entry_Count)))</f>
        <v/>
      </c>
      <c r="D65" s="26" t="str">
        <f ca="1">IF(OR($A65&gt;=ROWS(Entries)-2,$B65=""),"",'(1)鑑'!$E$6&amp;"-"&amp;OFFSET('(2)出場選手'!$B$2,$A65,D$1))</f>
        <v/>
      </c>
      <c r="E65" s="26" t="str">
        <f ca="1">IF($D65="","",OFFSET('(2)出場選手'!$B$2,$A65,E$1))</f>
        <v/>
      </c>
      <c r="F65" s="26" t="str">
        <f ca="1">IF($D65="","",IF(OFFSET('(2)出場選手'!$B$2,$A65,F$1)="","",OFFSET('(2)出場選手'!$B$2,$A65,F$1)))</f>
        <v/>
      </c>
      <c r="G65" s="26" t="str">
        <f t="shared" ca="1" si="0"/>
        <v/>
      </c>
      <c r="H65" s="26" t="str">
        <f t="shared" ca="1" si="1"/>
        <v/>
      </c>
      <c r="I65" s="26" t="str">
        <f ca="1">IF($D65="","",IF(OFFSET('(2)出場選手'!$B$2,$A65,I$1)="","",OFFSET('(2)出場選手'!$B$2,$A65,I$1)))</f>
        <v/>
      </c>
      <c r="J65" s="26" t="str">
        <f ca="1">IF($D65="","",IF(OFFSET('(2)出場選手'!$B$2,$A65,J$1)="",'(1)鑑'!$E$6,OFFSET('(2)出場選手'!$B$2,$A65,J$1)))</f>
        <v/>
      </c>
      <c r="K65" s="26" t="str">
        <f ca="1">IF($D65="","",TRIM(ASC(IF(OFFSET('(2)出場選手'!$B$2,$A65,K$1)="",'(1)鑑'!$E$7,OFFSET('(2)出場選手'!$B$2,$A65,K$1)))))</f>
        <v/>
      </c>
      <c r="L65" s="26" t="str">
        <f ca="1">IF($D65="","",SUBSTITUTE(SUBSTITUTE(SUBSTITUTE(IF(OFFSET('(2)出場選手'!$B$2,$A65,L$1)="",'(1)鑑'!$E$8,OFFSET('(2)出場選手'!$B$2,$A65,L$1)),"県",""),"府",""),"東京都","東京"))</f>
        <v/>
      </c>
      <c r="M65" s="57" t="str">
        <f ca="1">IF($D65="","",IF(OFFSET('(2)出場選手'!$B$2,$A65,M$1)="","",OFFSET('(2)出場選手'!$B$2,$A65,M$1)))</f>
        <v/>
      </c>
      <c r="N65" s="26" t="str">
        <f ca="1">IF($D65="","",OFFSET('(2)出場選手'!$B$2,$A65,N$1+3*$B65))</f>
        <v/>
      </c>
      <c r="O65" s="26" t="str">
        <f ca="1">IF($D65="","",IF(OFFSET('(2)出場選手'!$B$2,$A65,O$1+3*$B65)="","",OFFSET('(2)出場選手'!$B$2,$A65,O$1+3*$B65)))</f>
        <v/>
      </c>
      <c r="P65" s="26" t="str">
        <f ca="1">IF($D65="","",IF(OFFSET('(2)出場選手'!$B$2,$A65,P$1+3*$B65)="","",OFFSET('(2)出場選手'!$B$2,$A65,P$1+3*$B65)))</f>
        <v/>
      </c>
      <c r="Q65" s="43" t="str">
        <f ca="1">IF(D65="","",VLOOKUP(N65,OFFSET(Competition_Events,0,1),11,FALSE)*IF($S65="リレー",IF(COUNTIF($T$3:$T65,$T65)&gt;1,0,1),1))</f>
        <v/>
      </c>
      <c r="R65" s="26" t="str">
        <f t="shared" ca="1" si="2"/>
        <v/>
      </c>
      <c r="S65" s="26" t="str">
        <f t="shared" ca="1" si="3"/>
        <v/>
      </c>
      <c r="T65" s="26" t="str">
        <f t="shared" ca="1" si="4"/>
        <v/>
      </c>
      <c r="U65" s="26" t="str">
        <f t="shared" ca="1" si="5"/>
        <v/>
      </c>
      <c r="W65" s="17" t="str">
        <f ca="1">IF($D65="","",OFFSET('(2)出場選手'!$B$2,$A65,W$1))</f>
        <v/>
      </c>
      <c r="X65" s="17" t="str">
        <f ca="1">IF($D65="","",OFFSET('(2)出場選手'!$B$2,$A65,X$1))</f>
        <v/>
      </c>
      <c r="Y65" s="17" t="str">
        <f ca="1">IF($D65="","",OFFSET('(2)出場選手'!$B$2,$A65,Y$1))</f>
        <v/>
      </c>
      <c r="Z65" s="17" t="str">
        <f ca="1">IF($D65="","",OFFSET('(2)出場選手'!$B$2,$A65,Z$1))</f>
        <v/>
      </c>
    </row>
    <row r="66" spans="1:26" x14ac:dyDescent="0.15">
      <c r="A66" s="17">
        <f>TRUNC((ROWS($D$3:D66)-2)/Max_Entry_Count)+1</f>
        <v>21</v>
      </c>
      <c r="B66" s="17" t="str">
        <f ca="1">IF($A66&gt;=ROWS(Entries)-2,"",IF(OFFSET('(2)出場選手'!$B$2,$A66,B$1+3*(MOD(ROWS($D$3:D66)-2,Max_Entry_Count)))="","",MOD(ROWS($D$3:D66)-2,Max_Entry_Count)))</f>
        <v/>
      </c>
      <c r="D66" s="26" t="str">
        <f ca="1">IF(OR($A66&gt;=ROWS(Entries)-2,$B66=""),"",'(1)鑑'!$E$6&amp;"-"&amp;OFFSET('(2)出場選手'!$B$2,$A66,D$1))</f>
        <v/>
      </c>
      <c r="E66" s="26" t="str">
        <f ca="1">IF($D66="","",OFFSET('(2)出場選手'!$B$2,$A66,E$1))</f>
        <v/>
      </c>
      <c r="F66" s="26" t="str">
        <f ca="1">IF($D66="","",IF(OFFSET('(2)出場選手'!$B$2,$A66,F$1)="","",OFFSET('(2)出場選手'!$B$2,$A66,F$1)))</f>
        <v/>
      </c>
      <c r="G66" s="26" t="str">
        <f t="shared" ca="1" si="0"/>
        <v/>
      </c>
      <c r="H66" s="26" t="str">
        <f t="shared" ca="1" si="1"/>
        <v/>
      </c>
      <c r="I66" s="26" t="str">
        <f ca="1">IF($D66="","",IF(OFFSET('(2)出場選手'!$B$2,$A66,I$1)="","",OFFSET('(2)出場選手'!$B$2,$A66,I$1)))</f>
        <v/>
      </c>
      <c r="J66" s="26" t="str">
        <f ca="1">IF($D66="","",IF(OFFSET('(2)出場選手'!$B$2,$A66,J$1)="",'(1)鑑'!$E$6,OFFSET('(2)出場選手'!$B$2,$A66,J$1)))</f>
        <v/>
      </c>
      <c r="K66" s="26" t="str">
        <f ca="1">IF($D66="","",TRIM(ASC(IF(OFFSET('(2)出場選手'!$B$2,$A66,K$1)="",'(1)鑑'!$E$7,OFFSET('(2)出場選手'!$B$2,$A66,K$1)))))</f>
        <v/>
      </c>
      <c r="L66" s="26" t="str">
        <f ca="1">IF($D66="","",SUBSTITUTE(SUBSTITUTE(SUBSTITUTE(IF(OFFSET('(2)出場選手'!$B$2,$A66,L$1)="",'(1)鑑'!$E$8,OFFSET('(2)出場選手'!$B$2,$A66,L$1)),"県",""),"府",""),"東京都","東京"))</f>
        <v/>
      </c>
      <c r="M66" s="57" t="str">
        <f ca="1">IF($D66="","",IF(OFFSET('(2)出場選手'!$B$2,$A66,M$1)="","",OFFSET('(2)出場選手'!$B$2,$A66,M$1)))</f>
        <v/>
      </c>
      <c r="N66" s="26" t="str">
        <f ca="1">IF($D66="","",OFFSET('(2)出場選手'!$B$2,$A66,N$1+3*$B66))</f>
        <v/>
      </c>
      <c r="O66" s="26" t="str">
        <f ca="1">IF($D66="","",IF(OFFSET('(2)出場選手'!$B$2,$A66,O$1+3*$B66)="","",OFFSET('(2)出場選手'!$B$2,$A66,O$1+3*$B66)))</f>
        <v/>
      </c>
      <c r="P66" s="26" t="str">
        <f ca="1">IF($D66="","",IF(OFFSET('(2)出場選手'!$B$2,$A66,P$1+3*$B66)="","",OFFSET('(2)出場選手'!$B$2,$A66,P$1+3*$B66)))</f>
        <v/>
      </c>
      <c r="Q66" s="43" t="str">
        <f ca="1">IF(D66="","",VLOOKUP(N66,OFFSET(Competition_Events,0,1),11,FALSE)*IF($S66="リレー",IF(COUNTIF($T$3:$T66,$T66)&gt;1,0,1),1))</f>
        <v/>
      </c>
      <c r="R66" s="26" t="str">
        <f t="shared" ca="1" si="2"/>
        <v/>
      </c>
      <c r="S66" s="26" t="str">
        <f t="shared" ca="1" si="3"/>
        <v/>
      </c>
      <c r="T66" s="26" t="str">
        <f t="shared" ca="1" si="4"/>
        <v/>
      </c>
      <c r="U66" s="26" t="str">
        <f t="shared" ca="1" si="5"/>
        <v/>
      </c>
      <c r="W66" s="17" t="str">
        <f ca="1">IF($D66="","",OFFSET('(2)出場選手'!$B$2,$A66,W$1))</f>
        <v/>
      </c>
      <c r="X66" s="17" t="str">
        <f ca="1">IF($D66="","",OFFSET('(2)出場選手'!$B$2,$A66,X$1))</f>
        <v/>
      </c>
      <c r="Y66" s="17" t="str">
        <f ca="1">IF($D66="","",OFFSET('(2)出場選手'!$B$2,$A66,Y$1))</f>
        <v/>
      </c>
      <c r="Z66" s="17" t="str">
        <f ca="1">IF($D66="","",OFFSET('(2)出場選手'!$B$2,$A66,Z$1))</f>
        <v/>
      </c>
    </row>
    <row r="67" spans="1:26" x14ac:dyDescent="0.15">
      <c r="A67" s="17">
        <f>TRUNC((ROWS($D$3:D67)-2)/Max_Entry_Count)+1</f>
        <v>22</v>
      </c>
      <c r="B67" s="17" t="str">
        <f ca="1">IF($A67&gt;=ROWS(Entries)-2,"",IF(OFFSET('(2)出場選手'!$B$2,$A67,B$1+3*(MOD(ROWS($D$3:D67)-2,Max_Entry_Count)))="","",MOD(ROWS($D$3:D67)-2,Max_Entry_Count)))</f>
        <v/>
      </c>
      <c r="D67" s="26" t="str">
        <f ca="1">IF(OR($A67&gt;=ROWS(Entries)-2,$B67=""),"",'(1)鑑'!$E$6&amp;"-"&amp;OFFSET('(2)出場選手'!$B$2,$A67,D$1))</f>
        <v/>
      </c>
      <c r="E67" s="26" t="str">
        <f ca="1">IF($D67="","",OFFSET('(2)出場選手'!$B$2,$A67,E$1))</f>
        <v/>
      </c>
      <c r="F67" s="26" t="str">
        <f ca="1">IF($D67="","",IF(OFFSET('(2)出場選手'!$B$2,$A67,F$1)="","",OFFSET('(2)出場選手'!$B$2,$A67,F$1)))</f>
        <v/>
      </c>
      <c r="G67" s="26" t="str">
        <f t="shared" ca="1" si="0"/>
        <v/>
      </c>
      <c r="H67" s="26" t="str">
        <f t="shared" ca="1" si="1"/>
        <v/>
      </c>
      <c r="I67" s="26" t="str">
        <f ca="1">IF($D67="","",IF(OFFSET('(2)出場選手'!$B$2,$A67,I$1)="","",OFFSET('(2)出場選手'!$B$2,$A67,I$1)))</f>
        <v/>
      </c>
      <c r="J67" s="26" t="str">
        <f ca="1">IF($D67="","",IF(OFFSET('(2)出場選手'!$B$2,$A67,J$1)="",'(1)鑑'!$E$6,OFFSET('(2)出場選手'!$B$2,$A67,J$1)))</f>
        <v/>
      </c>
      <c r="K67" s="26" t="str">
        <f ca="1">IF($D67="","",TRIM(ASC(IF(OFFSET('(2)出場選手'!$B$2,$A67,K$1)="",'(1)鑑'!$E$7,OFFSET('(2)出場選手'!$B$2,$A67,K$1)))))</f>
        <v/>
      </c>
      <c r="L67" s="26" t="str">
        <f ca="1">IF($D67="","",SUBSTITUTE(SUBSTITUTE(SUBSTITUTE(IF(OFFSET('(2)出場選手'!$B$2,$A67,L$1)="",'(1)鑑'!$E$8,OFFSET('(2)出場選手'!$B$2,$A67,L$1)),"県",""),"府",""),"東京都","東京"))</f>
        <v/>
      </c>
      <c r="M67" s="57" t="str">
        <f ca="1">IF($D67="","",IF(OFFSET('(2)出場選手'!$B$2,$A67,M$1)="","",OFFSET('(2)出場選手'!$B$2,$A67,M$1)))</f>
        <v/>
      </c>
      <c r="N67" s="26" t="str">
        <f ca="1">IF($D67="","",OFFSET('(2)出場選手'!$B$2,$A67,N$1+3*$B67))</f>
        <v/>
      </c>
      <c r="O67" s="26" t="str">
        <f ca="1">IF($D67="","",IF(OFFSET('(2)出場選手'!$B$2,$A67,O$1+3*$B67)="","",OFFSET('(2)出場選手'!$B$2,$A67,O$1+3*$B67)))</f>
        <v/>
      </c>
      <c r="P67" s="26" t="str">
        <f ca="1">IF($D67="","",IF(OFFSET('(2)出場選手'!$B$2,$A67,P$1+3*$B67)="","",OFFSET('(2)出場選手'!$B$2,$A67,P$1+3*$B67)))</f>
        <v/>
      </c>
      <c r="Q67" s="43" t="str">
        <f ca="1">IF(D67="","",VLOOKUP(N67,OFFSET(Competition_Events,0,1),11,FALSE)*IF($S67="リレー",IF(COUNTIF($T$3:$T67,$T67)&gt;1,0,1),1))</f>
        <v/>
      </c>
      <c r="R67" s="26" t="str">
        <f t="shared" ca="1" si="2"/>
        <v/>
      </c>
      <c r="S67" s="26" t="str">
        <f t="shared" ca="1" si="3"/>
        <v/>
      </c>
      <c r="T67" s="26" t="str">
        <f t="shared" ca="1" si="4"/>
        <v/>
      </c>
      <c r="U67" s="26" t="str">
        <f t="shared" ca="1" si="5"/>
        <v/>
      </c>
      <c r="W67" s="17" t="str">
        <f ca="1">IF($D67="","",OFFSET('(2)出場選手'!$B$2,$A67,W$1))</f>
        <v/>
      </c>
      <c r="X67" s="17" t="str">
        <f ca="1">IF($D67="","",OFFSET('(2)出場選手'!$B$2,$A67,X$1))</f>
        <v/>
      </c>
      <c r="Y67" s="17" t="str">
        <f ca="1">IF($D67="","",OFFSET('(2)出場選手'!$B$2,$A67,Y$1))</f>
        <v/>
      </c>
      <c r="Z67" s="17" t="str">
        <f ca="1">IF($D67="","",OFFSET('(2)出場選手'!$B$2,$A67,Z$1))</f>
        <v/>
      </c>
    </row>
    <row r="68" spans="1:26" x14ac:dyDescent="0.15">
      <c r="A68" s="17">
        <f>TRUNC((ROWS($D$3:D68)-2)/Max_Entry_Count)+1</f>
        <v>22</v>
      </c>
      <c r="B68" s="17" t="str">
        <f ca="1">IF($A68&gt;=ROWS(Entries)-2,"",IF(OFFSET('(2)出場選手'!$B$2,$A68,B$1+3*(MOD(ROWS($D$3:D68)-2,Max_Entry_Count)))="","",MOD(ROWS($D$3:D68)-2,Max_Entry_Count)))</f>
        <v/>
      </c>
      <c r="D68" s="26" t="str">
        <f ca="1">IF(OR($A68&gt;=ROWS(Entries)-2,$B68=""),"",'(1)鑑'!$E$6&amp;"-"&amp;OFFSET('(2)出場選手'!$B$2,$A68,D$1))</f>
        <v/>
      </c>
      <c r="E68" s="26" t="str">
        <f ca="1">IF($D68="","",OFFSET('(2)出場選手'!$B$2,$A68,E$1))</f>
        <v/>
      </c>
      <c r="F68" s="26" t="str">
        <f ca="1">IF($D68="","",IF(OFFSET('(2)出場選手'!$B$2,$A68,F$1)="","",OFFSET('(2)出場選手'!$B$2,$A68,F$1)))</f>
        <v/>
      </c>
      <c r="G68" s="26" t="str">
        <f t="shared" ref="G68:G131" ca="1" si="6">IF($D68="","",$W68&amp;"　"&amp;$X68)</f>
        <v/>
      </c>
      <c r="H68" s="26" t="str">
        <f t="shared" ref="H68:H131" ca="1" si="7">IF($D68="","",ASC(TRIM($Y68)&amp;"　"&amp;TRIM($Z68)))</f>
        <v/>
      </c>
      <c r="I68" s="26" t="str">
        <f ca="1">IF($D68="","",IF(OFFSET('(2)出場選手'!$B$2,$A68,I$1)="","",OFFSET('(2)出場選手'!$B$2,$A68,I$1)))</f>
        <v/>
      </c>
      <c r="J68" s="26" t="str">
        <f ca="1">IF($D68="","",IF(OFFSET('(2)出場選手'!$B$2,$A68,J$1)="",'(1)鑑'!$E$6,OFFSET('(2)出場選手'!$B$2,$A68,J$1)))</f>
        <v/>
      </c>
      <c r="K68" s="26" t="str">
        <f ca="1">IF($D68="","",TRIM(ASC(IF(OFFSET('(2)出場選手'!$B$2,$A68,K$1)="",'(1)鑑'!$E$7,OFFSET('(2)出場選手'!$B$2,$A68,K$1)))))</f>
        <v/>
      </c>
      <c r="L68" s="26" t="str">
        <f ca="1">IF($D68="","",SUBSTITUTE(SUBSTITUTE(SUBSTITUTE(IF(OFFSET('(2)出場選手'!$B$2,$A68,L$1)="",'(1)鑑'!$E$8,OFFSET('(2)出場選手'!$B$2,$A68,L$1)),"県",""),"府",""),"東京都","東京"))</f>
        <v/>
      </c>
      <c r="M68" s="57" t="str">
        <f ca="1">IF($D68="","",IF(OFFSET('(2)出場選手'!$B$2,$A68,M$1)="","",OFFSET('(2)出場選手'!$B$2,$A68,M$1)))</f>
        <v/>
      </c>
      <c r="N68" s="26" t="str">
        <f ca="1">IF($D68="","",OFFSET('(2)出場選手'!$B$2,$A68,N$1+3*$B68))</f>
        <v/>
      </c>
      <c r="O68" s="26" t="str">
        <f ca="1">IF($D68="","",IF(OFFSET('(2)出場選手'!$B$2,$A68,O$1+3*$B68)="","",OFFSET('(2)出場選手'!$B$2,$A68,O$1+3*$B68)))</f>
        <v/>
      </c>
      <c r="P68" s="26" t="str">
        <f ca="1">IF($D68="","",IF(OFFSET('(2)出場選手'!$B$2,$A68,P$1+3*$B68)="","",OFFSET('(2)出場選手'!$B$2,$A68,P$1+3*$B68)))</f>
        <v/>
      </c>
      <c r="Q68" s="43" t="str">
        <f ca="1">IF(D68="","",VLOOKUP(N68,OFFSET(Competition_Events,0,1),11,FALSE)*IF($S68="リレー",IF(COUNTIF($T$3:$T68,$T68)&gt;1,0,1),1))</f>
        <v/>
      </c>
      <c r="R68" s="26" t="str">
        <f t="shared" ref="R68:R131" ca="1" si="8">IF($D68="","",VLOOKUP($N68,OFFSET(Competition_Events,0,1),3,FALSE))</f>
        <v/>
      </c>
      <c r="S68" s="26" t="str">
        <f t="shared" ref="S68:S131" ca="1" si="9">IF($D68="","",VLOOKUP($R68,Competition_Events,7,FALSE))</f>
        <v/>
      </c>
      <c r="T68" s="26" t="str">
        <f t="shared" ref="T68:T131" ca="1" si="10">IF($D68="","",$N68&amp;"//"&amp;$P68)</f>
        <v/>
      </c>
      <c r="U68" s="26" t="str">
        <f t="shared" ref="U68:U131" ca="1" si="11">IF($D68="","",IFERROR(CHOOSE(VLOOKUP($R68,Competition_Events,6,FALSE),SUBSTITUTE(O68,"点","")*1,SUBSTITUTE(O68,"m",".")*100,SUBSTITUTE(SUBSTITUTE("0:"&amp;O68,"'",":"),"""",".")/"0:00:00.01"*-1,SUBSTITUTE(O68,"m",".")*100,SUBSTITUTE(SUBSTITUTE(O68,"'",":"),"""",".")/"0:00:00.01"*-1),-8640000))</f>
        <v/>
      </c>
      <c r="W68" s="17" t="str">
        <f ca="1">IF($D68="","",OFFSET('(2)出場選手'!$B$2,$A68,W$1))</f>
        <v/>
      </c>
      <c r="X68" s="17" t="str">
        <f ca="1">IF($D68="","",OFFSET('(2)出場選手'!$B$2,$A68,X$1))</f>
        <v/>
      </c>
      <c r="Y68" s="17" t="str">
        <f ca="1">IF($D68="","",OFFSET('(2)出場選手'!$B$2,$A68,Y$1))</f>
        <v/>
      </c>
      <c r="Z68" s="17" t="str">
        <f ca="1">IF($D68="","",OFFSET('(2)出場選手'!$B$2,$A68,Z$1))</f>
        <v/>
      </c>
    </row>
    <row r="69" spans="1:26" x14ac:dyDescent="0.15">
      <c r="A69" s="17">
        <f>TRUNC((ROWS($D$3:D69)-2)/Max_Entry_Count)+1</f>
        <v>22</v>
      </c>
      <c r="B69" s="17" t="str">
        <f ca="1">IF($A69&gt;=ROWS(Entries)-2,"",IF(OFFSET('(2)出場選手'!$B$2,$A69,B$1+3*(MOD(ROWS($D$3:D69)-2,Max_Entry_Count)))="","",MOD(ROWS($D$3:D69)-2,Max_Entry_Count)))</f>
        <v/>
      </c>
      <c r="D69" s="26" t="str">
        <f ca="1">IF(OR($A69&gt;=ROWS(Entries)-2,$B69=""),"",'(1)鑑'!$E$6&amp;"-"&amp;OFFSET('(2)出場選手'!$B$2,$A69,D$1))</f>
        <v/>
      </c>
      <c r="E69" s="26" t="str">
        <f ca="1">IF($D69="","",OFFSET('(2)出場選手'!$B$2,$A69,E$1))</f>
        <v/>
      </c>
      <c r="F69" s="26" t="str">
        <f ca="1">IF($D69="","",IF(OFFSET('(2)出場選手'!$B$2,$A69,F$1)="","",OFFSET('(2)出場選手'!$B$2,$A69,F$1)))</f>
        <v/>
      </c>
      <c r="G69" s="26" t="str">
        <f t="shared" ca="1" si="6"/>
        <v/>
      </c>
      <c r="H69" s="26" t="str">
        <f t="shared" ca="1" si="7"/>
        <v/>
      </c>
      <c r="I69" s="26" t="str">
        <f ca="1">IF($D69="","",IF(OFFSET('(2)出場選手'!$B$2,$A69,I$1)="","",OFFSET('(2)出場選手'!$B$2,$A69,I$1)))</f>
        <v/>
      </c>
      <c r="J69" s="26" t="str">
        <f ca="1">IF($D69="","",IF(OFFSET('(2)出場選手'!$B$2,$A69,J$1)="",'(1)鑑'!$E$6,OFFSET('(2)出場選手'!$B$2,$A69,J$1)))</f>
        <v/>
      </c>
      <c r="K69" s="26" t="str">
        <f ca="1">IF($D69="","",TRIM(ASC(IF(OFFSET('(2)出場選手'!$B$2,$A69,K$1)="",'(1)鑑'!$E$7,OFFSET('(2)出場選手'!$B$2,$A69,K$1)))))</f>
        <v/>
      </c>
      <c r="L69" s="26" t="str">
        <f ca="1">IF($D69="","",SUBSTITUTE(SUBSTITUTE(SUBSTITUTE(IF(OFFSET('(2)出場選手'!$B$2,$A69,L$1)="",'(1)鑑'!$E$8,OFFSET('(2)出場選手'!$B$2,$A69,L$1)),"県",""),"府",""),"東京都","東京"))</f>
        <v/>
      </c>
      <c r="M69" s="57" t="str">
        <f ca="1">IF($D69="","",IF(OFFSET('(2)出場選手'!$B$2,$A69,M$1)="","",OFFSET('(2)出場選手'!$B$2,$A69,M$1)))</f>
        <v/>
      </c>
      <c r="N69" s="26" t="str">
        <f ca="1">IF($D69="","",OFFSET('(2)出場選手'!$B$2,$A69,N$1+3*$B69))</f>
        <v/>
      </c>
      <c r="O69" s="26" t="str">
        <f ca="1">IF($D69="","",IF(OFFSET('(2)出場選手'!$B$2,$A69,O$1+3*$B69)="","",OFFSET('(2)出場選手'!$B$2,$A69,O$1+3*$B69)))</f>
        <v/>
      </c>
      <c r="P69" s="26" t="str">
        <f ca="1">IF($D69="","",IF(OFFSET('(2)出場選手'!$B$2,$A69,P$1+3*$B69)="","",OFFSET('(2)出場選手'!$B$2,$A69,P$1+3*$B69)))</f>
        <v/>
      </c>
      <c r="Q69" s="43" t="str">
        <f ca="1">IF(D69="","",VLOOKUP(N69,OFFSET(Competition_Events,0,1),11,FALSE)*IF($S69="リレー",IF(COUNTIF($T$3:$T69,$T69)&gt;1,0,1),1))</f>
        <v/>
      </c>
      <c r="R69" s="26" t="str">
        <f t="shared" ca="1" si="8"/>
        <v/>
      </c>
      <c r="S69" s="26" t="str">
        <f t="shared" ca="1" si="9"/>
        <v/>
      </c>
      <c r="T69" s="26" t="str">
        <f t="shared" ca="1" si="10"/>
        <v/>
      </c>
      <c r="U69" s="26" t="str">
        <f t="shared" ca="1" si="11"/>
        <v/>
      </c>
      <c r="W69" s="17" t="str">
        <f ca="1">IF($D69="","",OFFSET('(2)出場選手'!$B$2,$A69,W$1))</f>
        <v/>
      </c>
      <c r="X69" s="17" t="str">
        <f ca="1">IF($D69="","",OFFSET('(2)出場選手'!$B$2,$A69,X$1))</f>
        <v/>
      </c>
      <c r="Y69" s="17" t="str">
        <f ca="1">IF($D69="","",OFFSET('(2)出場選手'!$B$2,$A69,Y$1))</f>
        <v/>
      </c>
      <c r="Z69" s="17" t="str">
        <f ca="1">IF($D69="","",OFFSET('(2)出場選手'!$B$2,$A69,Z$1))</f>
        <v/>
      </c>
    </row>
    <row r="70" spans="1:26" x14ac:dyDescent="0.15">
      <c r="A70" s="17">
        <f>TRUNC((ROWS($D$3:D70)-2)/Max_Entry_Count)+1</f>
        <v>23</v>
      </c>
      <c r="B70" s="17" t="str">
        <f ca="1">IF($A70&gt;=ROWS(Entries)-2,"",IF(OFFSET('(2)出場選手'!$B$2,$A70,B$1+3*(MOD(ROWS($D$3:D70)-2,Max_Entry_Count)))="","",MOD(ROWS($D$3:D70)-2,Max_Entry_Count)))</f>
        <v/>
      </c>
      <c r="D70" s="26" t="str">
        <f ca="1">IF(OR($A70&gt;=ROWS(Entries)-2,$B70=""),"",'(1)鑑'!$E$6&amp;"-"&amp;OFFSET('(2)出場選手'!$B$2,$A70,D$1))</f>
        <v/>
      </c>
      <c r="E70" s="26" t="str">
        <f ca="1">IF($D70="","",OFFSET('(2)出場選手'!$B$2,$A70,E$1))</f>
        <v/>
      </c>
      <c r="F70" s="26" t="str">
        <f ca="1">IF($D70="","",IF(OFFSET('(2)出場選手'!$B$2,$A70,F$1)="","",OFFSET('(2)出場選手'!$B$2,$A70,F$1)))</f>
        <v/>
      </c>
      <c r="G70" s="26" t="str">
        <f t="shared" ca="1" si="6"/>
        <v/>
      </c>
      <c r="H70" s="26" t="str">
        <f t="shared" ca="1" si="7"/>
        <v/>
      </c>
      <c r="I70" s="26" t="str">
        <f ca="1">IF($D70="","",IF(OFFSET('(2)出場選手'!$B$2,$A70,I$1)="","",OFFSET('(2)出場選手'!$B$2,$A70,I$1)))</f>
        <v/>
      </c>
      <c r="J70" s="26" t="str">
        <f ca="1">IF($D70="","",IF(OFFSET('(2)出場選手'!$B$2,$A70,J$1)="",'(1)鑑'!$E$6,OFFSET('(2)出場選手'!$B$2,$A70,J$1)))</f>
        <v/>
      </c>
      <c r="K70" s="26" t="str">
        <f ca="1">IF($D70="","",TRIM(ASC(IF(OFFSET('(2)出場選手'!$B$2,$A70,K$1)="",'(1)鑑'!$E$7,OFFSET('(2)出場選手'!$B$2,$A70,K$1)))))</f>
        <v/>
      </c>
      <c r="L70" s="26" t="str">
        <f ca="1">IF($D70="","",SUBSTITUTE(SUBSTITUTE(SUBSTITUTE(IF(OFFSET('(2)出場選手'!$B$2,$A70,L$1)="",'(1)鑑'!$E$8,OFFSET('(2)出場選手'!$B$2,$A70,L$1)),"県",""),"府",""),"東京都","東京"))</f>
        <v/>
      </c>
      <c r="M70" s="57" t="str">
        <f ca="1">IF($D70="","",IF(OFFSET('(2)出場選手'!$B$2,$A70,M$1)="","",OFFSET('(2)出場選手'!$B$2,$A70,M$1)))</f>
        <v/>
      </c>
      <c r="N70" s="26" t="str">
        <f ca="1">IF($D70="","",OFFSET('(2)出場選手'!$B$2,$A70,N$1+3*$B70))</f>
        <v/>
      </c>
      <c r="O70" s="26" t="str">
        <f ca="1">IF($D70="","",IF(OFFSET('(2)出場選手'!$B$2,$A70,O$1+3*$B70)="","",OFFSET('(2)出場選手'!$B$2,$A70,O$1+3*$B70)))</f>
        <v/>
      </c>
      <c r="P70" s="26" t="str">
        <f ca="1">IF($D70="","",IF(OFFSET('(2)出場選手'!$B$2,$A70,P$1+3*$B70)="","",OFFSET('(2)出場選手'!$B$2,$A70,P$1+3*$B70)))</f>
        <v/>
      </c>
      <c r="Q70" s="43" t="str">
        <f ca="1">IF(D70="","",VLOOKUP(N70,OFFSET(Competition_Events,0,1),11,FALSE)*IF($S70="リレー",IF(COUNTIF($T$3:$T70,$T70)&gt;1,0,1),1))</f>
        <v/>
      </c>
      <c r="R70" s="26" t="str">
        <f t="shared" ca="1" si="8"/>
        <v/>
      </c>
      <c r="S70" s="26" t="str">
        <f t="shared" ca="1" si="9"/>
        <v/>
      </c>
      <c r="T70" s="26" t="str">
        <f t="shared" ca="1" si="10"/>
        <v/>
      </c>
      <c r="U70" s="26" t="str">
        <f t="shared" ca="1" si="11"/>
        <v/>
      </c>
      <c r="W70" s="17" t="str">
        <f ca="1">IF($D70="","",OFFSET('(2)出場選手'!$B$2,$A70,W$1))</f>
        <v/>
      </c>
      <c r="X70" s="17" t="str">
        <f ca="1">IF($D70="","",OFFSET('(2)出場選手'!$B$2,$A70,X$1))</f>
        <v/>
      </c>
      <c r="Y70" s="17" t="str">
        <f ca="1">IF($D70="","",OFFSET('(2)出場選手'!$B$2,$A70,Y$1))</f>
        <v/>
      </c>
      <c r="Z70" s="17" t="str">
        <f ca="1">IF($D70="","",OFFSET('(2)出場選手'!$B$2,$A70,Z$1))</f>
        <v/>
      </c>
    </row>
    <row r="71" spans="1:26" x14ac:dyDescent="0.15">
      <c r="A71" s="17">
        <f>TRUNC((ROWS($D$3:D71)-2)/Max_Entry_Count)+1</f>
        <v>23</v>
      </c>
      <c r="B71" s="17" t="str">
        <f ca="1">IF($A71&gt;=ROWS(Entries)-2,"",IF(OFFSET('(2)出場選手'!$B$2,$A71,B$1+3*(MOD(ROWS($D$3:D71)-2,Max_Entry_Count)))="","",MOD(ROWS($D$3:D71)-2,Max_Entry_Count)))</f>
        <v/>
      </c>
      <c r="D71" s="26" t="str">
        <f ca="1">IF(OR($A71&gt;=ROWS(Entries)-2,$B71=""),"",'(1)鑑'!$E$6&amp;"-"&amp;OFFSET('(2)出場選手'!$B$2,$A71,D$1))</f>
        <v/>
      </c>
      <c r="E71" s="26" t="str">
        <f ca="1">IF($D71="","",OFFSET('(2)出場選手'!$B$2,$A71,E$1))</f>
        <v/>
      </c>
      <c r="F71" s="26" t="str">
        <f ca="1">IF($D71="","",IF(OFFSET('(2)出場選手'!$B$2,$A71,F$1)="","",OFFSET('(2)出場選手'!$B$2,$A71,F$1)))</f>
        <v/>
      </c>
      <c r="G71" s="26" t="str">
        <f t="shared" ca="1" si="6"/>
        <v/>
      </c>
      <c r="H71" s="26" t="str">
        <f t="shared" ca="1" si="7"/>
        <v/>
      </c>
      <c r="I71" s="26" t="str">
        <f ca="1">IF($D71="","",IF(OFFSET('(2)出場選手'!$B$2,$A71,I$1)="","",OFFSET('(2)出場選手'!$B$2,$A71,I$1)))</f>
        <v/>
      </c>
      <c r="J71" s="26" t="str">
        <f ca="1">IF($D71="","",IF(OFFSET('(2)出場選手'!$B$2,$A71,J$1)="",'(1)鑑'!$E$6,OFFSET('(2)出場選手'!$B$2,$A71,J$1)))</f>
        <v/>
      </c>
      <c r="K71" s="26" t="str">
        <f ca="1">IF($D71="","",TRIM(ASC(IF(OFFSET('(2)出場選手'!$B$2,$A71,K$1)="",'(1)鑑'!$E$7,OFFSET('(2)出場選手'!$B$2,$A71,K$1)))))</f>
        <v/>
      </c>
      <c r="L71" s="26" t="str">
        <f ca="1">IF($D71="","",SUBSTITUTE(SUBSTITUTE(SUBSTITUTE(IF(OFFSET('(2)出場選手'!$B$2,$A71,L$1)="",'(1)鑑'!$E$8,OFFSET('(2)出場選手'!$B$2,$A71,L$1)),"県",""),"府",""),"東京都","東京"))</f>
        <v/>
      </c>
      <c r="M71" s="57" t="str">
        <f ca="1">IF($D71="","",IF(OFFSET('(2)出場選手'!$B$2,$A71,M$1)="","",OFFSET('(2)出場選手'!$B$2,$A71,M$1)))</f>
        <v/>
      </c>
      <c r="N71" s="26" t="str">
        <f ca="1">IF($D71="","",OFFSET('(2)出場選手'!$B$2,$A71,N$1+3*$B71))</f>
        <v/>
      </c>
      <c r="O71" s="26" t="str">
        <f ca="1">IF($D71="","",IF(OFFSET('(2)出場選手'!$B$2,$A71,O$1+3*$B71)="","",OFFSET('(2)出場選手'!$B$2,$A71,O$1+3*$B71)))</f>
        <v/>
      </c>
      <c r="P71" s="26" t="str">
        <f ca="1">IF($D71="","",IF(OFFSET('(2)出場選手'!$B$2,$A71,P$1+3*$B71)="","",OFFSET('(2)出場選手'!$B$2,$A71,P$1+3*$B71)))</f>
        <v/>
      </c>
      <c r="Q71" s="43" t="str">
        <f ca="1">IF(D71="","",VLOOKUP(N71,OFFSET(Competition_Events,0,1),11,FALSE)*IF($S71="リレー",IF(COUNTIF($T$3:$T71,$T71)&gt;1,0,1),1))</f>
        <v/>
      </c>
      <c r="R71" s="26" t="str">
        <f t="shared" ca="1" si="8"/>
        <v/>
      </c>
      <c r="S71" s="26" t="str">
        <f t="shared" ca="1" si="9"/>
        <v/>
      </c>
      <c r="T71" s="26" t="str">
        <f t="shared" ca="1" si="10"/>
        <v/>
      </c>
      <c r="U71" s="26" t="str">
        <f t="shared" ca="1" si="11"/>
        <v/>
      </c>
      <c r="W71" s="17" t="str">
        <f ca="1">IF($D71="","",OFFSET('(2)出場選手'!$B$2,$A71,W$1))</f>
        <v/>
      </c>
      <c r="X71" s="17" t="str">
        <f ca="1">IF($D71="","",OFFSET('(2)出場選手'!$B$2,$A71,X$1))</f>
        <v/>
      </c>
      <c r="Y71" s="17" t="str">
        <f ca="1">IF($D71="","",OFFSET('(2)出場選手'!$B$2,$A71,Y$1))</f>
        <v/>
      </c>
      <c r="Z71" s="17" t="str">
        <f ca="1">IF($D71="","",OFFSET('(2)出場選手'!$B$2,$A71,Z$1))</f>
        <v/>
      </c>
    </row>
    <row r="72" spans="1:26" x14ac:dyDescent="0.15">
      <c r="A72" s="17">
        <f>TRUNC((ROWS($D$3:D72)-2)/Max_Entry_Count)+1</f>
        <v>23</v>
      </c>
      <c r="B72" s="17" t="str">
        <f ca="1">IF($A72&gt;=ROWS(Entries)-2,"",IF(OFFSET('(2)出場選手'!$B$2,$A72,B$1+3*(MOD(ROWS($D$3:D72)-2,Max_Entry_Count)))="","",MOD(ROWS($D$3:D72)-2,Max_Entry_Count)))</f>
        <v/>
      </c>
      <c r="D72" s="26" t="str">
        <f ca="1">IF(OR($A72&gt;=ROWS(Entries)-2,$B72=""),"",'(1)鑑'!$E$6&amp;"-"&amp;OFFSET('(2)出場選手'!$B$2,$A72,D$1))</f>
        <v/>
      </c>
      <c r="E72" s="26" t="str">
        <f ca="1">IF($D72="","",OFFSET('(2)出場選手'!$B$2,$A72,E$1))</f>
        <v/>
      </c>
      <c r="F72" s="26" t="str">
        <f ca="1">IF($D72="","",IF(OFFSET('(2)出場選手'!$B$2,$A72,F$1)="","",OFFSET('(2)出場選手'!$B$2,$A72,F$1)))</f>
        <v/>
      </c>
      <c r="G72" s="26" t="str">
        <f t="shared" ca="1" si="6"/>
        <v/>
      </c>
      <c r="H72" s="26" t="str">
        <f t="shared" ca="1" si="7"/>
        <v/>
      </c>
      <c r="I72" s="26" t="str">
        <f ca="1">IF($D72="","",IF(OFFSET('(2)出場選手'!$B$2,$A72,I$1)="","",OFFSET('(2)出場選手'!$B$2,$A72,I$1)))</f>
        <v/>
      </c>
      <c r="J72" s="26" t="str">
        <f ca="1">IF($D72="","",IF(OFFSET('(2)出場選手'!$B$2,$A72,J$1)="",'(1)鑑'!$E$6,OFFSET('(2)出場選手'!$B$2,$A72,J$1)))</f>
        <v/>
      </c>
      <c r="K72" s="26" t="str">
        <f ca="1">IF($D72="","",TRIM(ASC(IF(OFFSET('(2)出場選手'!$B$2,$A72,K$1)="",'(1)鑑'!$E$7,OFFSET('(2)出場選手'!$B$2,$A72,K$1)))))</f>
        <v/>
      </c>
      <c r="L72" s="26" t="str">
        <f ca="1">IF($D72="","",SUBSTITUTE(SUBSTITUTE(SUBSTITUTE(IF(OFFSET('(2)出場選手'!$B$2,$A72,L$1)="",'(1)鑑'!$E$8,OFFSET('(2)出場選手'!$B$2,$A72,L$1)),"県",""),"府",""),"東京都","東京"))</f>
        <v/>
      </c>
      <c r="M72" s="57" t="str">
        <f ca="1">IF($D72="","",IF(OFFSET('(2)出場選手'!$B$2,$A72,M$1)="","",OFFSET('(2)出場選手'!$B$2,$A72,M$1)))</f>
        <v/>
      </c>
      <c r="N72" s="26" t="str">
        <f ca="1">IF($D72="","",OFFSET('(2)出場選手'!$B$2,$A72,N$1+3*$B72))</f>
        <v/>
      </c>
      <c r="O72" s="26" t="str">
        <f ca="1">IF($D72="","",IF(OFFSET('(2)出場選手'!$B$2,$A72,O$1+3*$B72)="","",OFFSET('(2)出場選手'!$B$2,$A72,O$1+3*$B72)))</f>
        <v/>
      </c>
      <c r="P72" s="26" t="str">
        <f ca="1">IF($D72="","",IF(OFFSET('(2)出場選手'!$B$2,$A72,P$1+3*$B72)="","",OFFSET('(2)出場選手'!$B$2,$A72,P$1+3*$B72)))</f>
        <v/>
      </c>
      <c r="Q72" s="43" t="str">
        <f ca="1">IF(D72="","",VLOOKUP(N72,OFFSET(Competition_Events,0,1),11,FALSE)*IF($S72="リレー",IF(COUNTIF($T$3:$T72,$T72)&gt;1,0,1),1))</f>
        <v/>
      </c>
      <c r="R72" s="26" t="str">
        <f t="shared" ca="1" si="8"/>
        <v/>
      </c>
      <c r="S72" s="26" t="str">
        <f t="shared" ca="1" si="9"/>
        <v/>
      </c>
      <c r="T72" s="26" t="str">
        <f t="shared" ca="1" si="10"/>
        <v/>
      </c>
      <c r="U72" s="26" t="str">
        <f t="shared" ca="1" si="11"/>
        <v/>
      </c>
      <c r="W72" s="17" t="str">
        <f ca="1">IF($D72="","",OFFSET('(2)出場選手'!$B$2,$A72,W$1))</f>
        <v/>
      </c>
      <c r="X72" s="17" t="str">
        <f ca="1">IF($D72="","",OFFSET('(2)出場選手'!$B$2,$A72,X$1))</f>
        <v/>
      </c>
      <c r="Y72" s="17" t="str">
        <f ca="1">IF($D72="","",OFFSET('(2)出場選手'!$B$2,$A72,Y$1))</f>
        <v/>
      </c>
      <c r="Z72" s="17" t="str">
        <f ca="1">IF($D72="","",OFFSET('(2)出場選手'!$B$2,$A72,Z$1))</f>
        <v/>
      </c>
    </row>
    <row r="73" spans="1:26" x14ac:dyDescent="0.15">
      <c r="A73" s="17">
        <f>TRUNC((ROWS($D$3:D73)-2)/Max_Entry_Count)+1</f>
        <v>24</v>
      </c>
      <c r="B73" s="17" t="str">
        <f ca="1">IF($A73&gt;=ROWS(Entries)-2,"",IF(OFFSET('(2)出場選手'!$B$2,$A73,B$1+3*(MOD(ROWS($D$3:D73)-2,Max_Entry_Count)))="","",MOD(ROWS($D$3:D73)-2,Max_Entry_Count)))</f>
        <v/>
      </c>
      <c r="D73" s="26" t="str">
        <f ca="1">IF(OR($A73&gt;=ROWS(Entries)-2,$B73=""),"",'(1)鑑'!$E$6&amp;"-"&amp;OFFSET('(2)出場選手'!$B$2,$A73,D$1))</f>
        <v/>
      </c>
      <c r="E73" s="26" t="str">
        <f ca="1">IF($D73="","",OFFSET('(2)出場選手'!$B$2,$A73,E$1))</f>
        <v/>
      </c>
      <c r="F73" s="26" t="str">
        <f ca="1">IF($D73="","",IF(OFFSET('(2)出場選手'!$B$2,$A73,F$1)="","",OFFSET('(2)出場選手'!$B$2,$A73,F$1)))</f>
        <v/>
      </c>
      <c r="G73" s="26" t="str">
        <f t="shared" ca="1" si="6"/>
        <v/>
      </c>
      <c r="H73" s="26" t="str">
        <f t="shared" ca="1" si="7"/>
        <v/>
      </c>
      <c r="I73" s="26" t="str">
        <f ca="1">IF($D73="","",IF(OFFSET('(2)出場選手'!$B$2,$A73,I$1)="","",OFFSET('(2)出場選手'!$B$2,$A73,I$1)))</f>
        <v/>
      </c>
      <c r="J73" s="26" t="str">
        <f ca="1">IF($D73="","",IF(OFFSET('(2)出場選手'!$B$2,$A73,J$1)="",'(1)鑑'!$E$6,OFFSET('(2)出場選手'!$B$2,$A73,J$1)))</f>
        <v/>
      </c>
      <c r="K73" s="26" t="str">
        <f ca="1">IF($D73="","",TRIM(ASC(IF(OFFSET('(2)出場選手'!$B$2,$A73,K$1)="",'(1)鑑'!$E$7,OFFSET('(2)出場選手'!$B$2,$A73,K$1)))))</f>
        <v/>
      </c>
      <c r="L73" s="26" t="str">
        <f ca="1">IF($D73="","",SUBSTITUTE(SUBSTITUTE(SUBSTITUTE(IF(OFFSET('(2)出場選手'!$B$2,$A73,L$1)="",'(1)鑑'!$E$8,OFFSET('(2)出場選手'!$B$2,$A73,L$1)),"県",""),"府",""),"東京都","東京"))</f>
        <v/>
      </c>
      <c r="M73" s="57" t="str">
        <f ca="1">IF($D73="","",IF(OFFSET('(2)出場選手'!$B$2,$A73,M$1)="","",OFFSET('(2)出場選手'!$B$2,$A73,M$1)))</f>
        <v/>
      </c>
      <c r="N73" s="26" t="str">
        <f ca="1">IF($D73="","",OFFSET('(2)出場選手'!$B$2,$A73,N$1+3*$B73))</f>
        <v/>
      </c>
      <c r="O73" s="26" t="str">
        <f ca="1">IF($D73="","",IF(OFFSET('(2)出場選手'!$B$2,$A73,O$1+3*$B73)="","",OFFSET('(2)出場選手'!$B$2,$A73,O$1+3*$B73)))</f>
        <v/>
      </c>
      <c r="P73" s="26" t="str">
        <f ca="1">IF($D73="","",IF(OFFSET('(2)出場選手'!$B$2,$A73,P$1+3*$B73)="","",OFFSET('(2)出場選手'!$B$2,$A73,P$1+3*$B73)))</f>
        <v/>
      </c>
      <c r="Q73" s="43" t="str">
        <f ca="1">IF(D73="","",VLOOKUP(N73,OFFSET(Competition_Events,0,1),11,FALSE)*IF($S73="リレー",IF(COUNTIF($T$3:$T73,$T73)&gt;1,0,1),1))</f>
        <v/>
      </c>
      <c r="R73" s="26" t="str">
        <f t="shared" ca="1" si="8"/>
        <v/>
      </c>
      <c r="S73" s="26" t="str">
        <f t="shared" ca="1" si="9"/>
        <v/>
      </c>
      <c r="T73" s="26" t="str">
        <f t="shared" ca="1" si="10"/>
        <v/>
      </c>
      <c r="U73" s="26" t="str">
        <f t="shared" ca="1" si="11"/>
        <v/>
      </c>
      <c r="W73" s="17" t="str">
        <f ca="1">IF($D73="","",OFFSET('(2)出場選手'!$B$2,$A73,W$1))</f>
        <v/>
      </c>
      <c r="X73" s="17" t="str">
        <f ca="1">IF($D73="","",OFFSET('(2)出場選手'!$B$2,$A73,X$1))</f>
        <v/>
      </c>
      <c r="Y73" s="17" t="str">
        <f ca="1">IF($D73="","",OFFSET('(2)出場選手'!$B$2,$A73,Y$1))</f>
        <v/>
      </c>
      <c r="Z73" s="17" t="str">
        <f ca="1">IF($D73="","",OFFSET('(2)出場選手'!$B$2,$A73,Z$1))</f>
        <v/>
      </c>
    </row>
    <row r="74" spans="1:26" x14ac:dyDescent="0.15">
      <c r="A74" s="17">
        <f>TRUNC((ROWS($D$3:D74)-2)/Max_Entry_Count)+1</f>
        <v>24</v>
      </c>
      <c r="B74" s="17" t="str">
        <f ca="1">IF($A74&gt;=ROWS(Entries)-2,"",IF(OFFSET('(2)出場選手'!$B$2,$A74,B$1+3*(MOD(ROWS($D$3:D74)-2,Max_Entry_Count)))="","",MOD(ROWS($D$3:D74)-2,Max_Entry_Count)))</f>
        <v/>
      </c>
      <c r="D74" s="26" t="str">
        <f ca="1">IF(OR($A74&gt;=ROWS(Entries)-2,$B74=""),"",'(1)鑑'!$E$6&amp;"-"&amp;OFFSET('(2)出場選手'!$B$2,$A74,D$1))</f>
        <v/>
      </c>
      <c r="E74" s="26" t="str">
        <f ca="1">IF($D74="","",OFFSET('(2)出場選手'!$B$2,$A74,E$1))</f>
        <v/>
      </c>
      <c r="F74" s="26" t="str">
        <f ca="1">IF($D74="","",IF(OFFSET('(2)出場選手'!$B$2,$A74,F$1)="","",OFFSET('(2)出場選手'!$B$2,$A74,F$1)))</f>
        <v/>
      </c>
      <c r="G74" s="26" t="str">
        <f t="shared" ca="1" si="6"/>
        <v/>
      </c>
      <c r="H74" s="26" t="str">
        <f t="shared" ca="1" si="7"/>
        <v/>
      </c>
      <c r="I74" s="26" t="str">
        <f ca="1">IF($D74="","",IF(OFFSET('(2)出場選手'!$B$2,$A74,I$1)="","",OFFSET('(2)出場選手'!$B$2,$A74,I$1)))</f>
        <v/>
      </c>
      <c r="J74" s="26" t="str">
        <f ca="1">IF($D74="","",IF(OFFSET('(2)出場選手'!$B$2,$A74,J$1)="",'(1)鑑'!$E$6,OFFSET('(2)出場選手'!$B$2,$A74,J$1)))</f>
        <v/>
      </c>
      <c r="K74" s="26" t="str">
        <f ca="1">IF($D74="","",TRIM(ASC(IF(OFFSET('(2)出場選手'!$B$2,$A74,K$1)="",'(1)鑑'!$E$7,OFFSET('(2)出場選手'!$B$2,$A74,K$1)))))</f>
        <v/>
      </c>
      <c r="L74" s="26" t="str">
        <f ca="1">IF($D74="","",SUBSTITUTE(SUBSTITUTE(SUBSTITUTE(IF(OFFSET('(2)出場選手'!$B$2,$A74,L$1)="",'(1)鑑'!$E$8,OFFSET('(2)出場選手'!$B$2,$A74,L$1)),"県",""),"府",""),"東京都","東京"))</f>
        <v/>
      </c>
      <c r="M74" s="57" t="str">
        <f ca="1">IF($D74="","",IF(OFFSET('(2)出場選手'!$B$2,$A74,M$1)="","",OFFSET('(2)出場選手'!$B$2,$A74,M$1)))</f>
        <v/>
      </c>
      <c r="N74" s="26" t="str">
        <f ca="1">IF($D74="","",OFFSET('(2)出場選手'!$B$2,$A74,N$1+3*$B74))</f>
        <v/>
      </c>
      <c r="O74" s="26" t="str">
        <f ca="1">IF($D74="","",IF(OFFSET('(2)出場選手'!$B$2,$A74,O$1+3*$B74)="","",OFFSET('(2)出場選手'!$B$2,$A74,O$1+3*$B74)))</f>
        <v/>
      </c>
      <c r="P74" s="26" t="str">
        <f ca="1">IF($D74="","",IF(OFFSET('(2)出場選手'!$B$2,$A74,P$1+3*$B74)="","",OFFSET('(2)出場選手'!$B$2,$A74,P$1+3*$B74)))</f>
        <v/>
      </c>
      <c r="Q74" s="43" t="str">
        <f ca="1">IF(D74="","",VLOOKUP(N74,OFFSET(Competition_Events,0,1),11,FALSE)*IF($S74="リレー",IF(COUNTIF($T$3:$T74,$T74)&gt;1,0,1),1))</f>
        <v/>
      </c>
      <c r="R74" s="26" t="str">
        <f t="shared" ca="1" si="8"/>
        <v/>
      </c>
      <c r="S74" s="26" t="str">
        <f t="shared" ca="1" si="9"/>
        <v/>
      </c>
      <c r="T74" s="26" t="str">
        <f t="shared" ca="1" si="10"/>
        <v/>
      </c>
      <c r="U74" s="26" t="str">
        <f t="shared" ca="1" si="11"/>
        <v/>
      </c>
      <c r="W74" s="17" t="str">
        <f ca="1">IF($D74="","",OFFSET('(2)出場選手'!$B$2,$A74,W$1))</f>
        <v/>
      </c>
      <c r="X74" s="17" t="str">
        <f ca="1">IF($D74="","",OFFSET('(2)出場選手'!$B$2,$A74,X$1))</f>
        <v/>
      </c>
      <c r="Y74" s="17" t="str">
        <f ca="1">IF($D74="","",OFFSET('(2)出場選手'!$B$2,$A74,Y$1))</f>
        <v/>
      </c>
      <c r="Z74" s="17" t="str">
        <f ca="1">IF($D74="","",OFFSET('(2)出場選手'!$B$2,$A74,Z$1))</f>
        <v/>
      </c>
    </row>
    <row r="75" spans="1:26" x14ac:dyDescent="0.15">
      <c r="A75" s="17">
        <f>TRUNC((ROWS($D$3:D75)-2)/Max_Entry_Count)+1</f>
        <v>24</v>
      </c>
      <c r="B75" s="17" t="str">
        <f ca="1">IF($A75&gt;=ROWS(Entries)-2,"",IF(OFFSET('(2)出場選手'!$B$2,$A75,B$1+3*(MOD(ROWS($D$3:D75)-2,Max_Entry_Count)))="","",MOD(ROWS($D$3:D75)-2,Max_Entry_Count)))</f>
        <v/>
      </c>
      <c r="D75" s="26" t="str">
        <f ca="1">IF(OR($A75&gt;=ROWS(Entries)-2,$B75=""),"",'(1)鑑'!$E$6&amp;"-"&amp;OFFSET('(2)出場選手'!$B$2,$A75,D$1))</f>
        <v/>
      </c>
      <c r="E75" s="26" t="str">
        <f ca="1">IF($D75="","",OFFSET('(2)出場選手'!$B$2,$A75,E$1))</f>
        <v/>
      </c>
      <c r="F75" s="26" t="str">
        <f ca="1">IF($D75="","",IF(OFFSET('(2)出場選手'!$B$2,$A75,F$1)="","",OFFSET('(2)出場選手'!$B$2,$A75,F$1)))</f>
        <v/>
      </c>
      <c r="G75" s="26" t="str">
        <f t="shared" ca="1" si="6"/>
        <v/>
      </c>
      <c r="H75" s="26" t="str">
        <f t="shared" ca="1" si="7"/>
        <v/>
      </c>
      <c r="I75" s="26" t="str">
        <f ca="1">IF($D75="","",IF(OFFSET('(2)出場選手'!$B$2,$A75,I$1)="","",OFFSET('(2)出場選手'!$B$2,$A75,I$1)))</f>
        <v/>
      </c>
      <c r="J75" s="26" t="str">
        <f ca="1">IF($D75="","",IF(OFFSET('(2)出場選手'!$B$2,$A75,J$1)="",'(1)鑑'!$E$6,OFFSET('(2)出場選手'!$B$2,$A75,J$1)))</f>
        <v/>
      </c>
      <c r="K75" s="26" t="str">
        <f ca="1">IF($D75="","",TRIM(ASC(IF(OFFSET('(2)出場選手'!$B$2,$A75,K$1)="",'(1)鑑'!$E$7,OFFSET('(2)出場選手'!$B$2,$A75,K$1)))))</f>
        <v/>
      </c>
      <c r="L75" s="26" t="str">
        <f ca="1">IF($D75="","",SUBSTITUTE(SUBSTITUTE(SUBSTITUTE(IF(OFFSET('(2)出場選手'!$B$2,$A75,L$1)="",'(1)鑑'!$E$8,OFFSET('(2)出場選手'!$B$2,$A75,L$1)),"県",""),"府",""),"東京都","東京"))</f>
        <v/>
      </c>
      <c r="M75" s="57" t="str">
        <f ca="1">IF($D75="","",IF(OFFSET('(2)出場選手'!$B$2,$A75,M$1)="","",OFFSET('(2)出場選手'!$B$2,$A75,M$1)))</f>
        <v/>
      </c>
      <c r="N75" s="26" t="str">
        <f ca="1">IF($D75="","",OFFSET('(2)出場選手'!$B$2,$A75,N$1+3*$B75))</f>
        <v/>
      </c>
      <c r="O75" s="26" t="str">
        <f ca="1">IF($D75="","",IF(OFFSET('(2)出場選手'!$B$2,$A75,O$1+3*$B75)="","",OFFSET('(2)出場選手'!$B$2,$A75,O$1+3*$B75)))</f>
        <v/>
      </c>
      <c r="P75" s="26" t="str">
        <f ca="1">IF($D75="","",IF(OFFSET('(2)出場選手'!$B$2,$A75,P$1+3*$B75)="","",OFFSET('(2)出場選手'!$B$2,$A75,P$1+3*$B75)))</f>
        <v/>
      </c>
      <c r="Q75" s="43" t="str">
        <f ca="1">IF(D75="","",VLOOKUP(N75,OFFSET(Competition_Events,0,1),11,FALSE)*IF($S75="リレー",IF(COUNTIF($T$3:$T75,$T75)&gt;1,0,1),1))</f>
        <v/>
      </c>
      <c r="R75" s="26" t="str">
        <f t="shared" ca="1" si="8"/>
        <v/>
      </c>
      <c r="S75" s="26" t="str">
        <f t="shared" ca="1" si="9"/>
        <v/>
      </c>
      <c r="T75" s="26" t="str">
        <f t="shared" ca="1" si="10"/>
        <v/>
      </c>
      <c r="U75" s="26" t="str">
        <f t="shared" ca="1" si="11"/>
        <v/>
      </c>
      <c r="W75" s="17" t="str">
        <f ca="1">IF($D75="","",OFFSET('(2)出場選手'!$B$2,$A75,W$1))</f>
        <v/>
      </c>
      <c r="X75" s="17" t="str">
        <f ca="1">IF($D75="","",OFFSET('(2)出場選手'!$B$2,$A75,X$1))</f>
        <v/>
      </c>
      <c r="Y75" s="17" t="str">
        <f ca="1">IF($D75="","",OFFSET('(2)出場選手'!$B$2,$A75,Y$1))</f>
        <v/>
      </c>
      <c r="Z75" s="17" t="str">
        <f ca="1">IF($D75="","",OFFSET('(2)出場選手'!$B$2,$A75,Z$1))</f>
        <v/>
      </c>
    </row>
    <row r="76" spans="1:26" x14ac:dyDescent="0.15">
      <c r="A76" s="17">
        <f>TRUNC((ROWS($D$3:D76)-2)/Max_Entry_Count)+1</f>
        <v>25</v>
      </c>
      <c r="B76" s="17" t="str">
        <f ca="1">IF($A76&gt;=ROWS(Entries)-2,"",IF(OFFSET('(2)出場選手'!$B$2,$A76,B$1+3*(MOD(ROWS($D$3:D76)-2,Max_Entry_Count)))="","",MOD(ROWS($D$3:D76)-2,Max_Entry_Count)))</f>
        <v/>
      </c>
      <c r="D76" s="26" t="str">
        <f ca="1">IF(OR($A76&gt;=ROWS(Entries)-2,$B76=""),"",'(1)鑑'!$E$6&amp;"-"&amp;OFFSET('(2)出場選手'!$B$2,$A76,D$1))</f>
        <v/>
      </c>
      <c r="E76" s="26" t="str">
        <f ca="1">IF($D76="","",OFFSET('(2)出場選手'!$B$2,$A76,E$1))</f>
        <v/>
      </c>
      <c r="F76" s="26" t="str">
        <f ca="1">IF($D76="","",IF(OFFSET('(2)出場選手'!$B$2,$A76,F$1)="","",OFFSET('(2)出場選手'!$B$2,$A76,F$1)))</f>
        <v/>
      </c>
      <c r="G76" s="26" t="str">
        <f t="shared" ca="1" si="6"/>
        <v/>
      </c>
      <c r="H76" s="26" t="str">
        <f t="shared" ca="1" si="7"/>
        <v/>
      </c>
      <c r="I76" s="26" t="str">
        <f ca="1">IF($D76="","",IF(OFFSET('(2)出場選手'!$B$2,$A76,I$1)="","",OFFSET('(2)出場選手'!$B$2,$A76,I$1)))</f>
        <v/>
      </c>
      <c r="J76" s="26" t="str">
        <f ca="1">IF($D76="","",IF(OFFSET('(2)出場選手'!$B$2,$A76,J$1)="",'(1)鑑'!$E$6,OFFSET('(2)出場選手'!$B$2,$A76,J$1)))</f>
        <v/>
      </c>
      <c r="K76" s="26" t="str">
        <f ca="1">IF($D76="","",TRIM(ASC(IF(OFFSET('(2)出場選手'!$B$2,$A76,K$1)="",'(1)鑑'!$E$7,OFFSET('(2)出場選手'!$B$2,$A76,K$1)))))</f>
        <v/>
      </c>
      <c r="L76" s="26" t="str">
        <f ca="1">IF($D76="","",SUBSTITUTE(SUBSTITUTE(SUBSTITUTE(IF(OFFSET('(2)出場選手'!$B$2,$A76,L$1)="",'(1)鑑'!$E$8,OFFSET('(2)出場選手'!$B$2,$A76,L$1)),"県",""),"府",""),"東京都","東京"))</f>
        <v/>
      </c>
      <c r="M76" s="57" t="str">
        <f ca="1">IF($D76="","",IF(OFFSET('(2)出場選手'!$B$2,$A76,M$1)="","",OFFSET('(2)出場選手'!$B$2,$A76,M$1)))</f>
        <v/>
      </c>
      <c r="N76" s="26" t="str">
        <f ca="1">IF($D76="","",OFFSET('(2)出場選手'!$B$2,$A76,N$1+3*$B76))</f>
        <v/>
      </c>
      <c r="O76" s="26" t="str">
        <f ca="1">IF($D76="","",IF(OFFSET('(2)出場選手'!$B$2,$A76,O$1+3*$B76)="","",OFFSET('(2)出場選手'!$B$2,$A76,O$1+3*$B76)))</f>
        <v/>
      </c>
      <c r="P76" s="26" t="str">
        <f ca="1">IF($D76="","",IF(OFFSET('(2)出場選手'!$B$2,$A76,P$1+3*$B76)="","",OFFSET('(2)出場選手'!$B$2,$A76,P$1+3*$B76)))</f>
        <v/>
      </c>
      <c r="Q76" s="43" t="str">
        <f ca="1">IF(D76="","",VLOOKUP(N76,OFFSET(Competition_Events,0,1),11,FALSE)*IF($S76="リレー",IF(COUNTIF($T$3:$T76,$T76)&gt;1,0,1),1))</f>
        <v/>
      </c>
      <c r="R76" s="26" t="str">
        <f t="shared" ca="1" si="8"/>
        <v/>
      </c>
      <c r="S76" s="26" t="str">
        <f t="shared" ca="1" si="9"/>
        <v/>
      </c>
      <c r="T76" s="26" t="str">
        <f t="shared" ca="1" si="10"/>
        <v/>
      </c>
      <c r="U76" s="26" t="str">
        <f t="shared" ca="1" si="11"/>
        <v/>
      </c>
      <c r="W76" s="17" t="str">
        <f ca="1">IF($D76="","",OFFSET('(2)出場選手'!$B$2,$A76,W$1))</f>
        <v/>
      </c>
      <c r="X76" s="17" t="str">
        <f ca="1">IF($D76="","",OFFSET('(2)出場選手'!$B$2,$A76,X$1))</f>
        <v/>
      </c>
      <c r="Y76" s="17" t="str">
        <f ca="1">IF($D76="","",OFFSET('(2)出場選手'!$B$2,$A76,Y$1))</f>
        <v/>
      </c>
      <c r="Z76" s="17" t="str">
        <f ca="1">IF($D76="","",OFFSET('(2)出場選手'!$B$2,$A76,Z$1))</f>
        <v/>
      </c>
    </row>
    <row r="77" spans="1:26" x14ac:dyDescent="0.15">
      <c r="A77" s="17">
        <f>TRUNC((ROWS($D$3:D77)-2)/Max_Entry_Count)+1</f>
        <v>25</v>
      </c>
      <c r="B77" s="17" t="str">
        <f ca="1">IF($A77&gt;=ROWS(Entries)-2,"",IF(OFFSET('(2)出場選手'!$B$2,$A77,B$1+3*(MOD(ROWS($D$3:D77)-2,Max_Entry_Count)))="","",MOD(ROWS($D$3:D77)-2,Max_Entry_Count)))</f>
        <v/>
      </c>
      <c r="D77" s="26" t="str">
        <f ca="1">IF(OR($A77&gt;=ROWS(Entries)-2,$B77=""),"",'(1)鑑'!$E$6&amp;"-"&amp;OFFSET('(2)出場選手'!$B$2,$A77,D$1))</f>
        <v/>
      </c>
      <c r="E77" s="26" t="str">
        <f ca="1">IF($D77="","",OFFSET('(2)出場選手'!$B$2,$A77,E$1))</f>
        <v/>
      </c>
      <c r="F77" s="26" t="str">
        <f ca="1">IF($D77="","",IF(OFFSET('(2)出場選手'!$B$2,$A77,F$1)="","",OFFSET('(2)出場選手'!$B$2,$A77,F$1)))</f>
        <v/>
      </c>
      <c r="G77" s="26" t="str">
        <f t="shared" ca="1" si="6"/>
        <v/>
      </c>
      <c r="H77" s="26" t="str">
        <f t="shared" ca="1" si="7"/>
        <v/>
      </c>
      <c r="I77" s="26" t="str">
        <f ca="1">IF($D77="","",IF(OFFSET('(2)出場選手'!$B$2,$A77,I$1)="","",OFFSET('(2)出場選手'!$B$2,$A77,I$1)))</f>
        <v/>
      </c>
      <c r="J77" s="26" t="str">
        <f ca="1">IF($D77="","",IF(OFFSET('(2)出場選手'!$B$2,$A77,J$1)="",'(1)鑑'!$E$6,OFFSET('(2)出場選手'!$B$2,$A77,J$1)))</f>
        <v/>
      </c>
      <c r="K77" s="26" t="str">
        <f ca="1">IF($D77="","",TRIM(ASC(IF(OFFSET('(2)出場選手'!$B$2,$A77,K$1)="",'(1)鑑'!$E$7,OFFSET('(2)出場選手'!$B$2,$A77,K$1)))))</f>
        <v/>
      </c>
      <c r="L77" s="26" t="str">
        <f ca="1">IF($D77="","",SUBSTITUTE(SUBSTITUTE(SUBSTITUTE(IF(OFFSET('(2)出場選手'!$B$2,$A77,L$1)="",'(1)鑑'!$E$8,OFFSET('(2)出場選手'!$B$2,$A77,L$1)),"県",""),"府",""),"東京都","東京"))</f>
        <v/>
      </c>
      <c r="M77" s="57" t="str">
        <f ca="1">IF($D77="","",IF(OFFSET('(2)出場選手'!$B$2,$A77,M$1)="","",OFFSET('(2)出場選手'!$B$2,$A77,M$1)))</f>
        <v/>
      </c>
      <c r="N77" s="26" t="str">
        <f ca="1">IF($D77="","",OFFSET('(2)出場選手'!$B$2,$A77,N$1+3*$B77))</f>
        <v/>
      </c>
      <c r="O77" s="26" t="str">
        <f ca="1">IF($D77="","",IF(OFFSET('(2)出場選手'!$B$2,$A77,O$1+3*$B77)="","",OFFSET('(2)出場選手'!$B$2,$A77,O$1+3*$B77)))</f>
        <v/>
      </c>
      <c r="P77" s="26" t="str">
        <f ca="1">IF($D77="","",IF(OFFSET('(2)出場選手'!$B$2,$A77,P$1+3*$B77)="","",OFFSET('(2)出場選手'!$B$2,$A77,P$1+3*$B77)))</f>
        <v/>
      </c>
      <c r="Q77" s="43" t="str">
        <f ca="1">IF(D77="","",VLOOKUP(N77,OFFSET(Competition_Events,0,1),11,FALSE)*IF($S77="リレー",IF(COUNTIF($T$3:$T77,$T77)&gt;1,0,1),1))</f>
        <v/>
      </c>
      <c r="R77" s="26" t="str">
        <f t="shared" ca="1" si="8"/>
        <v/>
      </c>
      <c r="S77" s="26" t="str">
        <f t="shared" ca="1" si="9"/>
        <v/>
      </c>
      <c r="T77" s="26" t="str">
        <f t="shared" ca="1" si="10"/>
        <v/>
      </c>
      <c r="U77" s="26" t="str">
        <f t="shared" ca="1" si="11"/>
        <v/>
      </c>
      <c r="W77" s="17" t="str">
        <f ca="1">IF($D77="","",OFFSET('(2)出場選手'!$B$2,$A77,W$1))</f>
        <v/>
      </c>
      <c r="X77" s="17" t="str">
        <f ca="1">IF($D77="","",OFFSET('(2)出場選手'!$B$2,$A77,X$1))</f>
        <v/>
      </c>
      <c r="Y77" s="17" t="str">
        <f ca="1">IF($D77="","",OFFSET('(2)出場選手'!$B$2,$A77,Y$1))</f>
        <v/>
      </c>
      <c r="Z77" s="17" t="str">
        <f ca="1">IF($D77="","",OFFSET('(2)出場選手'!$B$2,$A77,Z$1))</f>
        <v/>
      </c>
    </row>
    <row r="78" spans="1:26" x14ac:dyDescent="0.15">
      <c r="A78" s="17">
        <f>TRUNC((ROWS($D$3:D78)-2)/Max_Entry_Count)+1</f>
        <v>25</v>
      </c>
      <c r="B78" s="17" t="str">
        <f ca="1">IF($A78&gt;=ROWS(Entries)-2,"",IF(OFFSET('(2)出場選手'!$B$2,$A78,B$1+3*(MOD(ROWS($D$3:D78)-2,Max_Entry_Count)))="","",MOD(ROWS($D$3:D78)-2,Max_Entry_Count)))</f>
        <v/>
      </c>
      <c r="D78" s="26" t="str">
        <f ca="1">IF(OR($A78&gt;=ROWS(Entries)-2,$B78=""),"",'(1)鑑'!$E$6&amp;"-"&amp;OFFSET('(2)出場選手'!$B$2,$A78,D$1))</f>
        <v/>
      </c>
      <c r="E78" s="26" t="str">
        <f ca="1">IF($D78="","",OFFSET('(2)出場選手'!$B$2,$A78,E$1))</f>
        <v/>
      </c>
      <c r="F78" s="26" t="str">
        <f ca="1">IF($D78="","",IF(OFFSET('(2)出場選手'!$B$2,$A78,F$1)="","",OFFSET('(2)出場選手'!$B$2,$A78,F$1)))</f>
        <v/>
      </c>
      <c r="G78" s="26" t="str">
        <f t="shared" ca="1" si="6"/>
        <v/>
      </c>
      <c r="H78" s="26" t="str">
        <f t="shared" ca="1" si="7"/>
        <v/>
      </c>
      <c r="I78" s="26" t="str">
        <f ca="1">IF($D78="","",IF(OFFSET('(2)出場選手'!$B$2,$A78,I$1)="","",OFFSET('(2)出場選手'!$B$2,$A78,I$1)))</f>
        <v/>
      </c>
      <c r="J78" s="26" t="str">
        <f ca="1">IF($D78="","",IF(OFFSET('(2)出場選手'!$B$2,$A78,J$1)="",'(1)鑑'!$E$6,OFFSET('(2)出場選手'!$B$2,$A78,J$1)))</f>
        <v/>
      </c>
      <c r="K78" s="26" t="str">
        <f ca="1">IF($D78="","",TRIM(ASC(IF(OFFSET('(2)出場選手'!$B$2,$A78,K$1)="",'(1)鑑'!$E$7,OFFSET('(2)出場選手'!$B$2,$A78,K$1)))))</f>
        <v/>
      </c>
      <c r="L78" s="26" t="str">
        <f ca="1">IF($D78="","",SUBSTITUTE(SUBSTITUTE(SUBSTITUTE(IF(OFFSET('(2)出場選手'!$B$2,$A78,L$1)="",'(1)鑑'!$E$8,OFFSET('(2)出場選手'!$B$2,$A78,L$1)),"県",""),"府",""),"東京都","東京"))</f>
        <v/>
      </c>
      <c r="M78" s="57" t="str">
        <f ca="1">IF($D78="","",IF(OFFSET('(2)出場選手'!$B$2,$A78,M$1)="","",OFFSET('(2)出場選手'!$B$2,$A78,M$1)))</f>
        <v/>
      </c>
      <c r="N78" s="26" t="str">
        <f ca="1">IF($D78="","",OFFSET('(2)出場選手'!$B$2,$A78,N$1+3*$B78))</f>
        <v/>
      </c>
      <c r="O78" s="26" t="str">
        <f ca="1">IF($D78="","",IF(OFFSET('(2)出場選手'!$B$2,$A78,O$1+3*$B78)="","",OFFSET('(2)出場選手'!$B$2,$A78,O$1+3*$B78)))</f>
        <v/>
      </c>
      <c r="P78" s="26" t="str">
        <f ca="1">IF($D78="","",IF(OFFSET('(2)出場選手'!$B$2,$A78,P$1+3*$B78)="","",OFFSET('(2)出場選手'!$B$2,$A78,P$1+3*$B78)))</f>
        <v/>
      </c>
      <c r="Q78" s="43" t="str">
        <f ca="1">IF(D78="","",VLOOKUP(N78,OFFSET(Competition_Events,0,1),11,FALSE)*IF($S78="リレー",IF(COUNTIF($T$3:$T78,$T78)&gt;1,0,1),1))</f>
        <v/>
      </c>
      <c r="R78" s="26" t="str">
        <f t="shared" ca="1" si="8"/>
        <v/>
      </c>
      <c r="S78" s="26" t="str">
        <f t="shared" ca="1" si="9"/>
        <v/>
      </c>
      <c r="T78" s="26" t="str">
        <f t="shared" ca="1" si="10"/>
        <v/>
      </c>
      <c r="U78" s="26" t="str">
        <f t="shared" ca="1" si="11"/>
        <v/>
      </c>
      <c r="W78" s="17" t="str">
        <f ca="1">IF($D78="","",OFFSET('(2)出場選手'!$B$2,$A78,W$1))</f>
        <v/>
      </c>
      <c r="X78" s="17" t="str">
        <f ca="1">IF($D78="","",OFFSET('(2)出場選手'!$B$2,$A78,X$1))</f>
        <v/>
      </c>
      <c r="Y78" s="17" t="str">
        <f ca="1">IF($D78="","",OFFSET('(2)出場選手'!$B$2,$A78,Y$1))</f>
        <v/>
      </c>
      <c r="Z78" s="17" t="str">
        <f ca="1">IF($D78="","",OFFSET('(2)出場選手'!$B$2,$A78,Z$1))</f>
        <v/>
      </c>
    </row>
    <row r="79" spans="1:26" x14ac:dyDescent="0.15">
      <c r="A79" s="17">
        <f>TRUNC((ROWS($D$3:D79)-2)/Max_Entry_Count)+1</f>
        <v>26</v>
      </c>
      <c r="B79" s="17" t="str">
        <f ca="1">IF($A79&gt;=ROWS(Entries)-2,"",IF(OFFSET('(2)出場選手'!$B$2,$A79,B$1+3*(MOD(ROWS($D$3:D79)-2,Max_Entry_Count)))="","",MOD(ROWS($D$3:D79)-2,Max_Entry_Count)))</f>
        <v/>
      </c>
      <c r="D79" s="26" t="str">
        <f ca="1">IF(OR($A79&gt;=ROWS(Entries)-2,$B79=""),"",'(1)鑑'!$E$6&amp;"-"&amp;OFFSET('(2)出場選手'!$B$2,$A79,D$1))</f>
        <v/>
      </c>
      <c r="E79" s="26" t="str">
        <f ca="1">IF($D79="","",OFFSET('(2)出場選手'!$B$2,$A79,E$1))</f>
        <v/>
      </c>
      <c r="F79" s="26" t="str">
        <f ca="1">IF($D79="","",IF(OFFSET('(2)出場選手'!$B$2,$A79,F$1)="","",OFFSET('(2)出場選手'!$B$2,$A79,F$1)))</f>
        <v/>
      </c>
      <c r="G79" s="26" t="str">
        <f t="shared" ca="1" si="6"/>
        <v/>
      </c>
      <c r="H79" s="26" t="str">
        <f t="shared" ca="1" si="7"/>
        <v/>
      </c>
      <c r="I79" s="26" t="str">
        <f ca="1">IF($D79="","",IF(OFFSET('(2)出場選手'!$B$2,$A79,I$1)="","",OFFSET('(2)出場選手'!$B$2,$A79,I$1)))</f>
        <v/>
      </c>
      <c r="J79" s="26" t="str">
        <f ca="1">IF($D79="","",IF(OFFSET('(2)出場選手'!$B$2,$A79,J$1)="",'(1)鑑'!$E$6,OFFSET('(2)出場選手'!$B$2,$A79,J$1)))</f>
        <v/>
      </c>
      <c r="K79" s="26" t="str">
        <f ca="1">IF($D79="","",TRIM(ASC(IF(OFFSET('(2)出場選手'!$B$2,$A79,K$1)="",'(1)鑑'!$E$7,OFFSET('(2)出場選手'!$B$2,$A79,K$1)))))</f>
        <v/>
      </c>
      <c r="L79" s="26" t="str">
        <f ca="1">IF($D79="","",SUBSTITUTE(SUBSTITUTE(SUBSTITUTE(IF(OFFSET('(2)出場選手'!$B$2,$A79,L$1)="",'(1)鑑'!$E$8,OFFSET('(2)出場選手'!$B$2,$A79,L$1)),"県",""),"府",""),"東京都","東京"))</f>
        <v/>
      </c>
      <c r="M79" s="57" t="str">
        <f ca="1">IF($D79="","",IF(OFFSET('(2)出場選手'!$B$2,$A79,M$1)="","",OFFSET('(2)出場選手'!$B$2,$A79,M$1)))</f>
        <v/>
      </c>
      <c r="N79" s="26" t="str">
        <f ca="1">IF($D79="","",OFFSET('(2)出場選手'!$B$2,$A79,N$1+3*$B79))</f>
        <v/>
      </c>
      <c r="O79" s="26" t="str">
        <f ca="1">IF($D79="","",IF(OFFSET('(2)出場選手'!$B$2,$A79,O$1+3*$B79)="","",OFFSET('(2)出場選手'!$B$2,$A79,O$1+3*$B79)))</f>
        <v/>
      </c>
      <c r="P79" s="26" t="str">
        <f ca="1">IF($D79="","",IF(OFFSET('(2)出場選手'!$B$2,$A79,P$1+3*$B79)="","",OFFSET('(2)出場選手'!$B$2,$A79,P$1+3*$B79)))</f>
        <v/>
      </c>
      <c r="Q79" s="43" t="str">
        <f ca="1">IF(D79="","",VLOOKUP(N79,OFFSET(Competition_Events,0,1),11,FALSE)*IF($S79="リレー",IF(COUNTIF($T$3:$T79,$T79)&gt;1,0,1),1))</f>
        <v/>
      </c>
      <c r="R79" s="26" t="str">
        <f t="shared" ca="1" si="8"/>
        <v/>
      </c>
      <c r="S79" s="26" t="str">
        <f t="shared" ca="1" si="9"/>
        <v/>
      </c>
      <c r="T79" s="26" t="str">
        <f t="shared" ca="1" si="10"/>
        <v/>
      </c>
      <c r="U79" s="26" t="str">
        <f t="shared" ca="1" si="11"/>
        <v/>
      </c>
      <c r="W79" s="17" t="str">
        <f ca="1">IF($D79="","",OFFSET('(2)出場選手'!$B$2,$A79,W$1))</f>
        <v/>
      </c>
      <c r="X79" s="17" t="str">
        <f ca="1">IF($D79="","",OFFSET('(2)出場選手'!$B$2,$A79,X$1))</f>
        <v/>
      </c>
      <c r="Y79" s="17" t="str">
        <f ca="1">IF($D79="","",OFFSET('(2)出場選手'!$B$2,$A79,Y$1))</f>
        <v/>
      </c>
      <c r="Z79" s="17" t="str">
        <f ca="1">IF($D79="","",OFFSET('(2)出場選手'!$B$2,$A79,Z$1))</f>
        <v/>
      </c>
    </row>
    <row r="80" spans="1:26" x14ac:dyDescent="0.15">
      <c r="A80" s="17">
        <f>TRUNC((ROWS($D$3:D80)-2)/Max_Entry_Count)+1</f>
        <v>26</v>
      </c>
      <c r="B80" s="17" t="str">
        <f ca="1">IF($A80&gt;=ROWS(Entries)-2,"",IF(OFFSET('(2)出場選手'!$B$2,$A80,B$1+3*(MOD(ROWS($D$3:D80)-2,Max_Entry_Count)))="","",MOD(ROWS($D$3:D80)-2,Max_Entry_Count)))</f>
        <v/>
      </c>
      <c r="D80" s="26" t="str">
        <f ca="1">IF(OR($A80&gt;=ROWS(Entries)-2,$B80=""),"",'(1)鑑'!$E$6&amp;"-"&amp;OFFSET('(2)出場選手'!$B$2,$A80,D$1))</f>
        <v/>
      </c>
      <c r="E80" s="26" t="str">
        <f ca="1">IF($D80="","",OFFSET('(2)出場選手'!$B$2,$A80,E$1))</f>
        <v/>
      </c>
      <c r="F80" s="26" t="str">
        <f ca="1">IF($D80="","",IF(OFFSET('(2)出場選手'!$B$2,$A80,F$1)="","",OFFSET('(2)出場選手'!$B$2,$A80,F$1)))</f>
        <v/>
      </c>
      <c r="G80" s="26" t="str">
        <f t="shared" ca="1" si="6"/>
        <v/>
      </c>
      <c r="H80" s="26" t="str">
        <f t="shared" ca="1" si="7"/>
        <v/>
      </c>
      <c r="I80" s="26" t="str">
        <f ca="1">IF($D80="","",IF(OFFSET('(2)出場選手'!$B$2,$A80,I$1)="","",OFFSET('(2)出場選手'!$B$2,$A80,I$1)))</f>
        <v/>
      </c>
      <c r="J80" s="26" t="str">
        <f ca="1">IF($D80="","",IF(OFFSET('(2)出場選手'!$B$2,$A80,J$1)="",'(1)鑑'!$E$6,OFFSET('(2)出場選手'!$B$2,$A80,J$1)))</f>
        <v/>
      </c>
      <c r="K80" s="26" t="str">
        <f ca="1">IF($D80="","",TRIM(ASC(IF(OFFSET('(2)出場選手'!$B$2,$A80,K$1)="",'(1)鑑'!$E$7,OFFSET('(2)出場選手'!$B$2,$A80,K$1)))))</f>
        <v/>
      </c>
      <c r="L80" s="26" t="str">
        <f ca="1">IF($D80="","",SUBSTITUTE(SUBSTITUTE(SUBSTITUTE(IF(OFFSET('(2)出場選手'!$B$2,$A80,L$1)="",'(1)鑑'!$E$8,OFFSET('(2)出場選手'!$B$2,$A80,L$1)),"県",""),"府",""),"東京都","東京"))</f>
        <v/>
      </c>
      <c r="M80" s="57" t="str">
        <f ca="1">IF($D80="","",IF(OFFSET('(2)出場選手'!$B$2,$A80,M$1)="","",OFFSET('(2)出場選手'!$B$2,$A80,M$1)))</f>
        <v/>
      </c>
      <c r="N80" s="26" t="str">
        <f ca="1">IF($D80="","",OFFSET('(2)出場選手'!$B$2,$A80,N$1+3*$B80))</f>
        <v/>
      </c>
      <c r="O80" s="26" t="str">
        <f ca="1">IF($D80="","",IF(OFFSET('(2)出場選手'!$B$2,$A80,O$1+3*$B80)="","",OFFSET('(2)出場選手'!$B$2,$A80,O$1+3*$B80)))</f>
        <v/>
      </c>
      <c r="P80" s="26" t="str">
        <f ca="1">IF($D80="","",IF(OFFSET('(2)出場選手'!$B$2,$A80,P$1+3*$B80)="","",OFFSET('(2)出場選手'!$B$2,$A80,P$1+3*$B80)))</f>
        <v/>
      </c>
      <c r="Q80" s="43" t="str">
        <f ca="1">IF(D80="","",VLOOKUP(N80,OFFSET(Competition_Events,0,1),11,FALSE)*IF($S80="リレー",IF(COUNTIF($T$3:$T80,$T80)&gt;1,0,1),1))</f>
        <v/>
      </c>
      <c r="R80" s="26" t="str">
        <f t="shared" ca="1" si="8"/>
        <v/>
      </c>
      <c r="S80" s="26" t="str">
        <f t="shared" ca="1" si="9"/>
        <v/>
      </c>
      <c r="T80" s="26" t="str">
        <f t="shared" ca="1" si="10"/>
        <v/>
      </c>
      <c r="U80" s="26" t="str">
        <f t="shared" ca="1" si="11"/>
        <v/>
      </c>
      <c r="W80" s="17" t="str">
        <f ca="1">IF($D80="","",OFFSET('(2)出場選手'!$B$2,$A80,W$1))</f>
        <v/>
      </c>
      <c r="X80" s="17" t="str">
        <f ca="1">IF($D80="","",OFFSET('(2)出場選手'!$B$2,$A80,X$1))</f>
        <v/>
      </c>
      <c r="Y80" s="17" t="str">
        <f ca="1">IF($D80="","",OFFSET('(2)出場選手'!$B$2,$A80,Y$1))</f>
        <v/>
      </c>
      <c r="Z80" s="17" t="str">
        <f ca="1">IF($D80="","",OFFSET('(2)出場選手'!$B$2,$A80,Z$1))</f>
        <v/>
      </c>
    </row>
    <row r="81" spans="1:26" x14ac:dyDescent="0.15">
      <c r="A81" s="17">
        <f>TRUNC((ROWS($D$3:D81)-2)/Max_Entry_Count)+1</f>
        <v>26</v>
      </c>
      <c r="B81" s="17" t="str">
        <f ca="1">IF($A81&gt;=ROWS(Entries)-2,"",IF(OFFSET('(2)出場選手'!$B$2,$A81,B$1+3*(MOD(ROWS($D$3:D81)-2,Max_Entry_Count)))="","",MOD(ROWS($D$3:D81)-2,Max_Entry_Count)))</f>
        <v/>
      </c>
      <c r="D81" s="26" t="str">
        <f ca="1">IF(OR($A81&gt;=ROWS(Entries)-2,$B81=""),"",'(1)鑑'!$E$6&amp;"-"&amp;OFFSET('(2)出場選手'!$B$2,$A81,D$1))</f>
        <v/>
      </c>
      <c r="E81" s="26" t="str">
        <f ca="1">IF($D81="","",OFFSET('(2)出場選手'!$B$2,$A81,E$1))</f>
        <v/>
      </c>
      <c r="F81" s="26" t="str">
        <f ca="1">IF($D81="","",IF(OFFSET('(2)出場選手'!$B$2,$A81,F$1)="","",OFFSET('(2)出場選手'!$B$2,$A81,F$1)))</f>
        <v/>
      </c>
      <c r="G81" s="26" t="str">
        <f t="shared" ca="1" si="6"/>
        <v/>
      </c>
      <c r="H81" s="26" t="str">
        <f t="shared" ca="1" si="7"/>
        <v/>
      </c>
      <c r="I81" s="26" t="str">
        <f ca="1">IF($D81="","",IF(OFFSET('(2)出場選手'!$B$2,$A81,I$1)="","",OFFSET('(2)出場選手'!$B$2,$A81,I$1)))</f>
        <v/>
      </c>
      <c r="J81" s="26" t="str">
        <f ca="1">IF($D81="","",IF(OFFSET('(2)出場選手'!$B$2,$A81,J$1)="",'(1)鑑'!$E$6,OFFSET('(2)出場選手'!$B$2,$A81,J$1)))</f>
        <v/>
      </c>
      <c r="K81" s="26" t="str">
        <f ca="1">IF($D81="","",TRIM(ASC(IF(OFFSET('(2)出場選手'!$B$2,$A81,K$1)="",'(1)鑑'!$E$7,OFFSET('(2)出場選手'!$B$2,$A81,K$1)))))</f>
        <v/>
      </c>
      <c r="L81" s="26" t="str">
        <f ca="1">IF($D81="","",SUBSTITUTE(SUBSTITUTE(SUBSTITUTE(IF(OFFSET('(2)出場選手'!$B$2,$A81,L$1)="",'(1)鑑'!$E$8,OFFSET('(2)出場選手'!$B$2,$A81,L$1)),"県",""),"府",""),"東京都","東京"))</f>
        <v/>
      </c>
      <c r="M81" s="57" t="str">
        <f ca="1">IF($D81="","",IF(OFFSET('(2)出場選手'!$B$2,$A81,M$1)="","",OFFSET('(2)出場選手'!$B$2,$A81,M$1)))</f>
        <v/>
      </c>
      <c r="N81" s="26" t="str">
        <f ca="1">IF($D81="","",OFFSET('(2)出場選手'!$B$2,$A81,N$1+3*$B81))</f>
        <v/>
      </c>
      <c r="O81" s="26" t="str">
        <f ca="1">IF($D81="","",IF(OFFSET('(2)出場選手'!$B$2,$A81,O$1+3*$B81)="","",OFFSET('(2)出場選手'!$B$2,$A81,O$1+3*$B81)))</f>
        <v/>
      </c>
      <c r="P81" s="26" t="str">
        <f ca="1">IF($D81="","",IF(OFFSET('(2)出場選手'!$B$2,$A81,P$1+3*$B81)="","",OFFSET('(2)出場選手'!$B$2,$A81,P$1+3*$B81)))</f>
        <v/>
      </c>
      <c r="Q81" s="43" t="str">
        <f ca="1">IF(D81="","",VLOOKUP(N81,OFFSET(Competition_Events,0,1),11,FALSE)*IF($S81="リレー",IF(COUNTIF($T$3:$T81,$T81)&gt;1,0,1),1))</f>
        <v/>
      </c>
      <c r="R81" s="26" t="str">
        <f t="shared" ca="1" si="8"/>
        <v/>
      </c>
      <c r="S81" s="26" t="str">
        <f t="shared" ca="1" si="9"/>
        <v/>
      </c>
      <c r="T81" s="26" t="str">
        <f t="shared" ca="1" si="10"/>
        <v/>
      </c>
      <c r="U81" s="26" t="str">
        <f t="shared" ca="1" si="11"/>
        <v/>
      </c>
      <c r="W81" s="17" t="str">
        <f ca="1">IF($D81="","",OFFSET('(2)出場選手'!$B$2,$A81,W$1))</f>
        <v/>
      </c>
      <c r="X81" s="17" t="str">
        <f ca="1">IF($D81="","",OFFSET('(2)出場選手'!$B$2,$A81,X$1))</f>
        <v/>
      </c>
      <c r="Y81" s="17" t="str">
        <f ca="1">IF($D81="","",OFFSET('(2)出場選手'!$B$2,$A81,Y$1))</f>
        <v/>
      </c>
      <c r="Z81" s="17" t="str">
        <f ca="1">IF($D81="","",OFFSET('(2)出場選手'!$B$2,$A81,Z$1))</f>
        <v/>
      </c>
    </row>
    <row r="82" spans="1:26" x14ac:dyDescent="0.15">
      <c r="A82" s="17">
        <f>TRUNC((ROWS($D$3:D82)-2)/Max_Entry_Count)+1</f>
        <v>27</v>
      </c>
      <c r="B82" s="17" t="str">
        <f ca="1">IF($A82&gt;=ROWS(Entries)-2,"",IF(OFFSET('(2)出場選手'!$B$2,$A82,B$1+3*(MOD(ROWS($D$3:D82)-2,Max_Entry_Count)))="","",MOD(ROWS($D$3:D82)-2,Max_Entry_Count)))</f>
        <v/>
      </c>
      <c r="D82" s="26" t="str">
        <f ca="1">IF(OR($A82&gt;=ROWS(Entries)-2,$B82=""),"",'(1)鑑'!$E$6&amp;"-"&amp;OFFSET('(2)出場選手'!$B$2,$A82,D$1))</f>
        <v/>
      </c>
      <c r="E82" s="26" t="str">
        <f ca="1">IF($D82="","",OFFSET('(2)出場選手'!$B$2,$A82,E$1))</f>
        <v/>
      </c>
      <c r="F82" s="26" t="str">
        <f ca="1">IF($D82="","",IF(OFFSET('(2)出場選手'!$B$2,$A82,F$1)="","",OFFSET('(2)出場選手'!$B$2,$A82,F$1)))</f>
        <v/>
      </c>
      <c r="G82" s="26" t="str">
        <f t="shared" ca="1" si="6"/>
        <v/>
      </c>
      <c r="H82" s="26" t="str">
        <f t="shared" ca="1" si="7"/>
        <v/>
      </c>
      <c r="I82" s="26" t="str">
        <f ca="1">IF($D82="","",IF(OFFSET('(2)出場選手'!$B$2,$A82,I$1)="","",OFFSET('(2)出場選手'!$B$2,$A82,I$1)))</f>
        <v/>
      </c>
      <c r="J82" s="26" t="str">
        <f ca="1">IF($D82="","",IF(OFFSET('(2)出場選手'!$B$2,$A82,J$1)="",'(1)鑑'!$E$6,OFFSET('(2)出場選手'!$B$2,$A82,J$1)))</f>
        <v/>
      </c>
      <c r="K82" s="26" t="str">
        <f ca="1">IF($D82="","",TRIM(ASC(IF(OFFSET('(2)出場選手'!$B$2,$A82,K$1)="",'(1)鑑'!$E$7,OFFSET('(2)出場選手'!$B$2,$A82,K$1)))))</f>
        <v/>
      </c>
      <c r="L82" s="26" t="str">
        <f ca="1">IF($D82="","",SUBSTITUTE(SUBSTITUTE(SUBSTITUTE(IF(OFFSET('(2)出場選手'!$B$2,$A82,L$1)="",'(1)鑑'!$E$8,OFFSET('(2)出場選手'!$B$2,$A82,L$1)),"県",""),"府",""),"東京都","東京"))</f>
        <v/>
      </c>
      <c r="M82" s="57" t="str">
        <f ca="1">IF($D82="","",IF(OFFSET('(2)出場選手'!$B$2,$A82,M$1)="","",OFFSET('(2)出場選手'!$B$2,$A82,M$1)))</f>
        <v/>
      </c>
      <c r="N82" s="26" t="str">
        <f ca="1">IF($D82="","",OFFSET('(2)出場選手'!$B$2,$A82,N$1+3*$B82))</f>
        <v/>
      </c>
      <c r="O82" s="26" t="str">
        <f ca="1">IF($D82="","",IF(OFFSET('(2)出場選手'!$B$2,$A82,O$1+3*$B82)="","",OFFSET('(2)出場選手'!$B$2,$A82,O$1+3*$B82)))</f>
        <v/>
      </c>
      <c r="P82" s="26" t="str">
        <f ca="1">IF($D82="","",IF(OFFSET('(2)出場選手'!$B$2,$A82,P$1+3*$B82)="","",OFFSET('(2)出場選手'!$B$2,$A82,P$1+3*$B82)))</f>
        <v/>
      </c>
      <c r="Q82" s="43" t="str">
        <f ca="1">IF(D82="","",VLOOKUP(N82,OFFSET(Competition_Events,0,1),11,FALSE)*IF($S82="リレー",IF(COUNTIF($T$3:$T82,$T82)&gt;1,0,1),1))</f>
        <v/>
      </c>
      <c r="R82" s="26" t="str">
        <f t="shared" ca="1" si="8"/>
        <v/>
      </c>
      <c r="S82" s="26" t="str">
        <f t="shared" ca="1" si="9"/>
        <v/>
      </c>
      <c r="T82" s="26" t="str">
        <f t="shared" ca="1" si="10"/>
        <v/>
      </c>
      <c r="U82" s="26" t="str">
        <f t="shared" ca="1" si="11"/>
        <v/>
      </c>
      <c r="W82" s="17" t="str">
        <f ca="1">IF($D82="","",OFFSET('(2)出場選手'!$B$2,$A82,W$1))</f>
        <v/>
      </c>
      <c r="X82" s="17" t="str">
        <f ca="1">IF($D82="","",OFFSET('(2)出場選手'!$B$2,$A82,X$1))</f>
        <v/>
      </c>
      <c r="Y82" s="17" t="str">
        <f ca="1">IF($D82="","",OFFSET('(2)出場選手'!$B$2,$A82,Y$1))</f>
        <v/>
      </c>
      <c r="Z82" s="17" t="str">
        <f ca="1">IF($D82="","",OFFSET('(2)出場選手'!$B$2,$A82,Z$1))</f>
        <v/>
      </c>
    </row>
    <row r="83" spans="1:26" x14ac:dyDescent="0.15">
      <c r="A83" s="17">
        <f>TRUNC((ROWS($D$3:D83)-2)/Max_Entry_Count)+1</f>
        <v>27</v>
      </c>
      <c r="B83" s="17" t="str">
        <f ca="1">IF($A83&gt;=ROWS(Entries)-2,"",IF(OFFSET('(2)出場選手'!$B$2,$A83,B$1+3*(MOD(ROWS($D$3:D83)-2,Max_Entry_Count)))="","",MOD(ROWS($D$3:D83)-2,Max_Entry_Count)))</f>
        <v/>
      </c>
      <c r="D83" s="26" t="str">
        <f ca="1">IF(OR($A83&gt;=ROWS(Entries)-2,$B83=""),"",'(1)鑑'!$E$6&amp;"-"&amp;OFFSET('(2)出場選手'!$B$2,$A83,D$1))</f>
        <v/>
      </c>
      <c r="E83" s="26" t="str">
        <f ca="1">IF($D83="","",OFFSET('(2)出場選手'!$B$2,$A83,E$1))</f>
        <v/>
      </c>
      <c r="F83" s="26" t="str">
        <f ca="1">IF($D83="","",IF(OFFSET('(2)出場選手'!$B$2,$A83,F$1)="","",OFFSET('(2)出場選手'!$B$2,$A83,F$1)))</f>
        <v/>
      </c>
      <c r="G83" s="26" t="str">
        <f t="shared" ca="1" si="6"/>
        <v/>
      </c>
      <c r="H83" s="26" t="str">
        <f t="shared" ca="1" si="7"/>
        <v/>
      </c>
      <c r="I83" s="26" t="str">
        <f ca="1">IF($D83="","",IF(OFFSET('(2)出場選手'!$B$2,$A83,I$1)="","",OFFSET('(2)出場選手'!$B$2,$A83,I$1)))</f>
        <v/>
      </c>
      <c r="J83" s="26" t="str">
        <f ca="1">IF($D83="","",IF(OFFSET('(2)出場選手'!$B$2,$A83,J$1)="",'(1)鑑'!$E$6,OFFSET('(2)出場選手'!$B$2,$A83,J$1)))</f>
        <v/>
      </c>
      <c r="K83" s="26" t="str">
        <f ca="1">IF($D83="","",TRIM(ASC(IF(OFFSET('(2)出場選手'!$B$2,$A83,K$1)="",'(1)鑑'!$E$7,OFFSET('(2)出場選手'!$B$2,$A83,K$1)))))</f>
        <v/>
      </c>
      <c r="L83" s="26" t="str">
        <f ca="1">IF($D83="","",SUBSTITUTE(SUBSTITUTE(SUBSTITUTE(IF(OFFSET('(2)出場選手'!$B$2,$A83,L$1)="",'(1)鑑'!$E$8,OFFSET('(2)出場選手'!$B$2,$A83,L$1)),"県",""),"府",""),"東京都","東京"))</f>
        <v/>
      </c>
      <c r="M83" s="57" t="str">
        <f ca="1">IF($D83="","",IF(OFFSET('(2)出場選手'!$B$2,$A83,M$1)="","",OFFSET('(2)出場選手'!$B$2,$A83,M$1)))</f>
        <v/>
      </c>
      <c r="N83" s="26" t="str">
        <f ca="1">IF($D83="","",OFFSET('(2)出場選手'!$B$2,$A83,N$1+3*$B83))</f>
        <v/>
      </c>
      <c r="O83" s="26" t="str">
        <f ca="1">IF($D83="","",IF(OFFSET('(2)出場選手'!$B$2,$A83,O$1+3*$B83)="","",OFFSET('(2)出場選手'!$B$2,$A83,O$1+3*$B83)))</f>
        <v/>
      </c>
      <c r="P83" s="26" t="str">
        <f ca="1">IF($D83="","",IF(OFFSET('(2)出場選手'!$B$2,$A83,P$1+3*$B83)="","",OFFSET('(2)出場選手'!$B$2,$A83,P$1+3*$B83)))</f>
        <v/>
      </c>
      <c r="Q83" s="43" t="str">
        <f ca="1">IF(D83="","",VLOOKUP(N83,OFFSET(Competition_Events,0,1),11,FALSE)*IF($S83="リレー",IF(COUNTIF($T$3:$T83,$T83)&gt;1,0,1),1))</f>
        <v/>
      </c>
      <c r="R83" s="26" t="str">
        <f t="shared" ca="1" si="8"/>
        <v/>
      </c>
      <c r="S83" s="26" t="str">
        <f t="shared" ca="1" si="9"/>
        <v/>
      </c>
      <c r="T83" s="26" t="str">
        <f t="shared" ca="1" si="10"/>
        <v/>
      </c>
      <c r="U83" s="26" t="str">
        <f t="shared" ca="1" si="11"/>
        <v/>
      </c>
      <c r="W83" s="17" t="str">
        <f ca="1">IF($D83="","",OFFSET('(2)出場選手'!$B$2,$A83,W$1))</f>
        <v/>
      </c>
      <c r="X83" s="17" t="str">
        <f ca="1">IF($D83="","",OFFSET('(2)出場選手'!$B$2,$A83,X$1))</f>
        <v/>
      </c>
      <c r="Y83" s="17" t="str">
        <f ca="1">IF($D83="","",OFFSET('(2)出場選手'!$B$2,$A83,Y$1))</f>
        <v/>
      </c>
      <c r="Z83" s="17" t="str">
        <f ca="1">IF($D83="","",OFFSET('(2)出場選手'!$B$2,$A83,Z$1))</f>
        <v/>
      </c>
    </row>
    <row r="84" spans="1:26" x14ac:dyDescent="0.15">
      <c r="A84" s="17">
        <f>TRUNC((ROWS($D$3:D84)-2)/Max_Entry_Count)+1</f>
        <v>27</v>
      </c>
      <c r="B84" s="17" t="str">
        <f ca="1">IF($A84&gt;=ROWS(Entries)-2,"",IF(OFFSET('(2)出場選手'!$B$2,$A84,B$1+3*(MOD(ROWS($D$3:D84)-2,Max_Entry_Count)))="","",MOD(ROWS($D$3:D84)-2,Max_Entry_Count)))</f>
        <v/>
      </c>
      <c r="D84" s="26" t="str">
        <f ca="1">IF(OR($A84&gt;=ROWS(Entries)-2,$B84=""),"",'(1)鑑'!$E$6&amp;"-"&amp;OFFSET('(2)出場選手'!$B$2,$A84,D$1))</f>
        <v/>
      </c>
      <c r="E84" s="26" t="str">
        <f ca="1">IF($D84="","",OFFSET('(2)出場選手'!$B$2,$A84,E$1))</f>
        <v/>
      </c>
      <c r="F84" s="26" t="str">
        <f ca="1">IF($D84="","",IF(OFFSET('(2)出場選手'!$B$2,$A84,F$1)="","",OFFSET('(2)出場選手'!$B$2,$A84,F$1)))</f>
        <v/>
      </c>
      <c r="G84" s="26" t="str">
        <f t="shared" ca="1" si="6"/>
        <v/>
      </c>
      <c r="H84" s="26" t="str">
        <f t="shared" ca="1" si="7"/>
        <v/>
      </c>
      <c r="I84" s="26" t="str">
        <f ca="1">IF($D84="","",IF(OFFSET('(2)出場選手'!$B$2,$A84,I$1)="","",OFFSET('(2)出場選手'!$B$2,$A84,I$1)))</f>
        <v/>
      </c>
      <c r="J84" s="26" t="str">
        <f ca="1">IF($D84="","",IF(OFFSET('(2)出場選手'!$B$2,$A84,J$1)="",'(1)鑑'!$E$6,OFFSET('(2)出場選手'!$B$2,$A84,J$1)))</f>
        <v/>
      </c>
      <c r="K84" s="26" t="str">
        <f ca="1">IF($D84="","",TRIM(ASC(IF(OFFSET('(2)出場選手'!$B$2,$A84,K$1)="",'(1)鑑'!$E$7,OFFSET('(2)出場選手'!$B$2,$A84,K$1)))))</f>
        <v/>
      </c>
      <c r="L84" s="26" t="str">
        <f ca="1">IF($D84="","",SUBSTITUTE(SUBSTITUTE(SUBSTITUTE(IF(OFFSET('(2)出場選手'!$B$2,$A84,L$1)="",'(1)鑑'!$E$8,OFFSET('(2)出場選手'!$B$2,$A84,L$1)),"県",""),"府",""),"東京都","東京"))</f>
        <v/>
      </c>
      <c r="M84" s="57" t="str">
        <f ca="1">IF($D84="","",IF(OFFSET('(2)出場選手'!$B$2,$A84,M$1)="","",OFFSET('(2)出場選手'!$B$2,$A84,M$1)))</f>
        <v/>
      </c>
      <c r="N84" s="26" t="str">
        <f ca="1">IF($D84="","",OFFSET('(2)出場選手'!$B$2,$A84,N$1+3*$B84))</f>
        <v/>
      </c>
      <c r="O84" s="26" t="str">
        <f ca="1">IF($D84="","",IF(OFFSET('(2)出場選手'!$B$2,$A84,O$1+3*$B84)="","",OFFSET('(2)出場選手'!$B$2,$A84,O$1+3*$B84)))</f>
        <v/>
      </c>
      <c r="P84" s="26" t="str">
        <f ca="1">IF($D84="","",IF(OFFSET('(2)出場選手'!$B$2,$A84,P$1+3*$B84)="","",OFFSET('(2)出場選手'!$B$2,$A84,P$1+3*$B84)))</f>
        <v/>
      </c>
      <c r="Q84" s="43" t="str">
        <f ca="1">IF(D84="","",VLOOKUP(N84,OFFSET(Competition_Events,0,1),11,FALSE)*IF($S84="リレー",IF(COUNTIF($T$3:$T84,$T84)&gt;1,0,1),1))</f>
        <v/>
      </c>
      <c r="R84" s="26" t="str">
        <f t="shared" ca="1" si="8"/>
        <v/>
      </c>
      <c r="S84" s="26" t="str">
        <f t="shared" ca="1" si="9"/>
        <v/>
      </c>
      <c r="T84" s="26" t="str">
        <f t="shared" ca="1" si="10"/>
        <v/>
      </c>
      <c r="U84" s="26" t="str">
        <f t="shared" ca="1" si="11"/>
        <v/>
      </c>
      <c r="W84" s="17" t="str">
        <f ca="1">IF($D84="","",OFFSET('(2)出場選手'!$B$2,$A84,W$1))</f>
        <v/>
      </c>
      <c r="X84" s="17" t="str">
        <f ca="1">IF($D84="","",OFFSET('(2)出場選手'!$B$2,$A84,X$1))</f>
        <v/>
      </c>
      <c r="Y84" s="17" t="str">
        <f ca="1">IF($D84="","",OFFSET('(2)出場選手'!$B$2,$A84,Y$1))</f>
        <v/>
      </c>
      <c r="Z84" s="17" t="str">
        <f ca="1">IF($D84="","",OFFSET('(2)出場選手'!$B$2,$A84,Z$1))</f>
        <v/>
      </c>
    </row>
    <row r="85" spans="1:26" x14ac:dyDescent="0.15">
      <c r="A85" s="17">
        <f>TRUNC((ROWS($D$3:D85)-2)/Max_Entry_Count)+1</f>
        <v>28</v>
      </c>
      <c r="B85" s="17" t="str">
        <f ca="1">IF($A85&gt;=ROWS(Entries)-2,"",IF(OFFSET('(2)出場選手'!$B$2,$A85,B$1+3*(MOD(ROWS($D$3:D85)-2,Max_Entry_Count)))="","",MOD(ROWS($D$3:D85)-2,Max_Entry_Count)))</f>
        <v/>
      </c>
      <c r="D85" s="26" t="str">
        <f ca="1">IF(OR($A85&gt;=ROWS(Entries)-2,$B85=""),"",'(1)鑑'!$E$6&amp;"-"&amp;OFFSET('(2)出場選手'!$B$2,$A85,D$1))</f>
        <v/>
      </c>
      <c r="E85" s="26" t="str">
        <f ca="1">IF($D85="","",OFFSET('(2)出場選手'!$B$2,$A85,E$1))</f>
        <v/>
      </c>
      <c r="F85" s="26" t="str">
        <f ca="1">IF($D85="","",IF(OFFSET('(2)出場選手'!$B$2,$A85,F$1)="","",OFFSET('(2)出場選手'!$B$2,$A85,F$1)))</f>
        <v/>
      </c>
      <c r="G85" s="26" t="str">
        <f t="shared" ca="1" si="6"/>
        <v/>
      </c>
      <c r="H85" s="26" t="str">
        <f t="shared" ca="1" si="7"/>
        <v/>
      </c>
      <c r="I85" s="26" t="str">
        <f ca="1">IF($D85="","",IF(OFFSET('(2)出場選手'!$B$2,$A85,I$1)="","",OFFSET('(2)出場選手'!$B$2,$A85,I$1)))</f>
        <v/>
      </c>
      <c r="J85" s="26" t="str">
        <f ca="1">IF($D85="","",IF(OFFSET('(2)出場選手'!$B$2,$A85,J$1)="",'(1)鑑'!$E$6,OFFSET('(2)出場選手'!$B$2,$A85,J$1)))</f>
        <v/>
      </c>
      <c r="K85" s="26" t="str">
        <f ca="1">IF($D85="","",TRIM(ASC(IF(OFFSET('(2)出場選手'!$B$2,$A85,K$1)="",'(1)鑑'!$E$7,OFFSET('(2)出場選手'!$B$2,$A85,K$1)))))</f>
        <v/>
      </c>
      <c r="L85" s="26" t="str">
        <f ca="1">IF($D85="","",SUBSTITUTE(SUBSTITUTE(SUBSTITUTE(IF(OFFSET('(2)出場選手'!$B$2,$A85,L$1)="",'(1)鑑'!$E$8,OFFSET('(2)出場選手'!$B$2,$A85,L$1)),"県",""),"府",""),"東京都","東京"))</f>
        <v/>
      </c>
      <c r="M85" s="57" t="str">
        <f ca="1">IF($D85="","",IF(OFFSET('(2)出場選手'!$B$2,$A85,M$1)="","",OFFSET('(2)出場選手'!$B$2,$A85,M$1)))</f>
        <v/>
      </c>
      <c r="N85" s="26" t="str">
        <f ca="1">IF($D85="","",OFFSET('(2)出場選手'!$B$2,$A85,N$1+3*$B85))</f>
        <v/>
      </c>
      <c r="O85" s="26" t="str">
        <f ca="1">IF($D85="","",IF(OFFSET('(2)出場選手'!$B$2,$A85,O$1+3*$B85)="","",OFFSET('(2)出場選手'!$B$2,$A85,O$1+3*$B85)))</f>
        <v/>
      </c>
      <c r="P85" s="26" t="str">
        <f ca="1">IF($D85="","",IF(OFFSET('(2)出場選手'!$B$2,$A85,P$1+3*$B85)="","",OFFSET('(2)出場選手'!$B$2,$A85,P$1+3*$B85)))</f>
        <v/>
      </c>
      <c r="Q85" s="43" t="str">
        <f ca="1">IF(D85="","",VLOOKUP(N85,OFFSET(Competition_Events,0,1),11,FALSE)*IF($S85="リレー",IF(COUNTIF($T$3:$T85,$T85)&gt;1,0,1),1))</f>
        <v/>
      </c>
      <c r="R85" s="26" t="str">
        <f t="shared" ca="1" si="8"/>
        <v/>
      </c>
      <c r="S85" s="26" t="str">
        <f t="shared" ca="1" si="9"/>
        <v/>
      </c>
      <c r="T85" s="26" t="str">
        <f t="shared" ca="1" si="10"/>
        <v/>
      </c>
      <c r="U85" s="26" t="str">
        <f t="shared" ca="1" si="11"/>
        <v/>
      </c>
      <c r="W85" s="17" t="str">
        <f ca="1">IF($D85="","",OFFSET('(2)出場選手'!$B$2,$A85,W$1))</f>
        <v/>
      </c>
      <c r="X85" s="17" t="str">
        <f ca="1">IF($D85="","",OFFSET('(2)出場選手'!$B$2,$A85,X$1))</f>
        <v/>
      </c>
      <c r="Y85" s="17" t="str">
        <f ca="1">IF($D85="","",OFFSET('(2)出場選手'!$B$2,$A85,Y$1))</f>
        <v/>
      </c>
      <c r="Z85" s="17" t="str">
        <f ca="1">IF($D85="","",OFFSET('(2)出場選手'!$B$2,$A85,Z$1))</f>
        <v/>
      </c>
    </row>
    <row r="86" spans="1:26" x14ac:dyDescent="0.15">
      <c r="A86" s="17">
        <f>TRUNC((ROWS($D$3:D86)-2)/Max_Entry_Count)+1</f>
        <v>28</v>
      </c>
      <c r="B86" s="17" t="str">
        <f ca="1">IF($A86&gt;=ROWS(Entries)-2,"",IF(OFFSET('(2)出場選手'!$B$2,$A86,B$1+3*(MOD(ROWS($D$3:D86)-2,Max_Entry_Count)))="","",MOD(ROWS($D$3:D86)-2,Max_Entry_Count)))</f>
        <v/>
      </c>
      <c r="D86" s="26" t="str">
        <f ca="1">IF(OR($A86&gt;=ROWS(Entries)-2,$B86=""),"",'(1)鑑'!$E$6&amp;"-"&amp;OFFSET('(2)出場選手'!$B$2,$A86,D$1))</f>
        <v/>
      </c>
      <c r="E86" s="26" t="str">
        <f ca="1">IF($D86="","",OFFSET('(2)出場選手'!$B$2,$A86,E$1))</f>
        <v/>
      </c>
      <c r="F86" s="26" t="str">
        <f ca="1">IF($D86="","",IF(OFFSET('(2)出場選手'!$B$2,$A86,F$1)="","",OFFSET('(2)出場選手'!$B$2,$A86,F$1)))</f>
        <v/>
      </c>
      <c r="G86" s="26" t="str">
        <f t="shared" ca="1" si="6"/>
        <v/>
      </c>
      <c r="H86" s="26" t="str">
        <f t="shared" ca="1" si="7"/>
        <v/>
      </c>
      <c r="I86" s="26" t="str">
        <f ca="1">IF($D86="","",IF(OFFSET('(2)出場選手'!$B$2,$A86,I$1)="","",OFFSET('(2)出場選手'!$B$2,$A86,I$1)))</f>
        <v/>
      </c>
      <c r="J86" s="26" t="str">
        <f ca="1">IF($D86="","",IF(OFFSET('(2)出場選手'!$B$2,$A86,J$1)="",'(1)鑑'!$E$6,OFFSET('(2)出場選手'!$B$2,$A86,J$1)))</f>
        <v/>
      </c>
      <c r="K86" s="26" t="str">
        <f ca="1">IF($D86="","",TRIM(ASC(IF(OFFSET('(2)出場選手'!$B$2,$A86,K$1)="",'(1)鑑'!$E$7,OFFSET('(2)出場選手'!$B$2,$A86,K$1)))))</f>
        <v/>
      </c>
      <c r="L86" s="26" t="str">
        <f ca="1">IF($D86="","",SUBSTITUTE(SUBSTITUTE(SUBSTITUTE(IF(OFFSET('(2)出場選手'!$B$2,$A86,L$1)="",'(1)鑑'!$E$8,OFFSET('(2)出場選手'!$B$2,$A86,L$1)),"県",""),"府",""),"東京都","東京"))</f>
        <v/>
      </c>
      <c r="M86" s="57" t="str">
        <f ca="1">IF($D86="","",IF(OFFSET('(2)出場選手'!$B$2,$A86,M$1)="","",OFFSET('(2)出場選手'!$B$2,$A86,M$1)))</f>
        <v/>
      </c>
      <c r="N86" s="26" t="str">
        <f ca="1">IF($D86="","",OFFSET('(2)出場選手'!$B$2,$A86,N$1+3*$B86))</f>
        <v/>
      </c>
      <c r="O86" s="26" t="str">
        <f ca="1">IF($D86="","",IF(OFFSET('(2)出場選手'!$B$2,$A86,O$1+3*$B86)="","",OFFSET('(2)出場選手'!$B$2,$A86,O$1+3*$B86)))</f>
        <v/>
      </c>
      <c r="P86" s="26" t="str">
        <f ca="1">IF($D86="","",IF(OFFSET('(2)出場選手'!$B$2,$A86,P$1+3*$B86)="","",OFFSET('(2)出場選手'!$B$2,$A86,P$1+3*$B86)))</f>
        <v/>
      </c>
      <c r="Q86" s="43" t="str">
        <f ca="1">IF(D86="","",VLOOKUP(N86,OFFSET(Competition_Events,0,1),11,FALSE)*IF($S86="リレー",IF(COUNTIF($T$3:$T86,$T86)&gt;1,0,1),1))</f>
        <v/>
      </c>
      <c r="R86" s="26" t="str">
        <f t="shared" ca="1" si="8"/>
        <v/>
      </c>
      <c r="S86" s="26" t="str">
        <f t="shared" ca="1" si="9"/>
        <v/>
      </c>
      <c r="T86" s="26" t="str">
        <f t="shared" ca="1" si="10"/>
        <v/>
      </c>
      <c r="U86" s="26" t="str">
        <f t="shared" ca="1" si="11"/>
        <v/>
      </c>
      <c r="W86" s="17" t="str">
        <f ca="1">IF($D86="","",OFFSET('(2)出場選手'!$B$2,$A86,W$1))</f>
        <v/>
      </c>
      <c r="X86" s="17" t="str">
        <f ca="1">IF($D86="","",OFFSET('(2)出場選手'!$B$2,$A86,X$1))</f>
        <v/>
      </c>
      <c r="Y86" s="17" t="str">
        <f ca="1">IF($D86="","",OFFSET('(2)出場選手'!$B$2,$A86,Y$1))</f>
        <v/>
      </c>
      <c r="Z86" s="17" t="str">
        <f ca="1">IF($D86="","",OFFSET('(2)出場選手'!$B$2,$A86,Z$1))</f>
        <v/>
      </c>
    </row>
    <row r="87" spans="1:26" x14ac:dyDescent="0.15">
      <c r="A87" s="17">
        <f>TRUNC((ROWS($D$3:D87)-2)/Max_Entry_Count)+1</f>
        <v>28</v>
      </c>
      <c r="B87" s="17" t="str">
        <f ca="1">IF($A87&gt;=ROWS(Entries)-2,"",IF(OFFSET('(2)出場選手'!$B$2,$A87,B$1+3*(MOD(ROWS($D$3:D87)-2,Max_Entry_Count)))="","",MOD(ROWS($D$3:D87)-2,Max_Entry_Count)))</f>
        <v/>
      </c>
      <c r="D87" s="26" t="str">
        <f ca="1">IF(OR($A87&gt;=ROWS(Entries)-2,$B87=""),"",'(1)鑑'!$E$6&amp;"-"&amp;OFFSET('(2)出場選手'!$B$2,$A87,D$1))</f>
        <v/>
      </c>
      <c r="E87" s="26" t="str">
        <f ca="1">IF($D87="","",OFFSET('(2)出場選手'!$B$2,$A87,E$1))</f>
        <v/>
      </c>
      <c r="F87" s="26" t="str">
        <f ca="1">IF($D87="","",IF(OFFSET('(2)出場選手'!$B$2,$A87,F$1)="","",OFFSET('(2)出場選手'!$B$2,$A87,F$1)))</f>
        <v/>
      </c>
      <c r="G87" s="26" t="str">
        <f t="shared" ca="1" si="6"/>
        <v/>
      </c>
      <c r="H87" s="26" t="str">
        <f t="shared" ca="1" si="7"/>
        <v/>
      </c>
      <c r="I87" s="26" t="str">
        <f ca="1">IF($D87="","",IF(OFFSET('(2)出場選手'!$B$2,$A87,I$1)="","",OFFSET('(2)出場選手'!$B$2,$A87,I$1)))</f>
        <v/>
      </c>
      <c r="J87" s="26" t="str">
        <f ca="1">IF($D87="","",IF(OFFSET('(2)出場選手'!$B$2,$A87,J$1)="",'(1)鑑'!$E$6,OFFSET('(2)出場選手'!$B$2,$A87,J$1)))</f>
        <v/>
      </c>
      <c r="K87" s="26" t="str">
        <f ca="1">IF($D87="","",TRIM(ASC(IF(OFFSET('(2)出場選手'!$B$2,$A87,K$1)="",'(1)鑑'!$E$7,OFFSET('(2)出場選手'!$B$2,$A87,K$1)))))</f>
        <v/>
      </c>
      <c r="L87" s="26" t="str">
        <f ca="1">IF($D87="","",SUBSTITUTE(SUBSTITUTE(SUBSTITUTE(IF(OFFSET('(2)出場選手'!$B$2,$A87,L$1)="",'(1)鑑'!$E$8,OFFSET('(2)出場選手'!$B$2,$A87,L$1)),"県",""),"府",""),"東京都","東京"))</f>
        <v/>
      </c>
      <c r="M87" s="57" t="str">
        <f ca="1">IF($D87="","",IF(OFFSET('(2)出場選手'!$B$2,$A87,M$1)="","",OFFSET('(2)出場選手'!$B$2,$A87,M$1)))</f>
        <v/>
      </c>
      <c r="N87" s="26" t="str">
        <f ca="1">IF($D87="","",OFFSET('(2)出場選手'!$B$2,$A87,N$1+3*$B87))</f>
        <v/>
      </c>
      <c r="O87" s="26" t="str">
        <f ca="1">IF($D87="","",IF(OFFSET('(2)出場選手'!$B$2,$A87,O$1+3*$B87)="","",OFFSET('(2)出場選手'!$B$2,$A87,O$1+3*$B87)))</f>
        <v/>
      </c>
      <c r="P87" s="26" t="str">
        <f ca="1">IF($D87="","",IF(OFFSET('(2)出場選手'!$B$2,$A87,P$1+3*$B87)="","",OFFSET('(2)出場選手'!$B$2,$A87,P$1+3*$B87)))</f>
        <v/>
      </c>
      <c r="Q87" s="43" t="str">
        <f ca="1">IF(D87="","",VLOOKUP(N87,OFFSET(Competition_Events,0,1),11,FALSE)*IF($S87="リレー",IF(COUNTIF($T$3:$T87,$T87)&gt;1,0,1),1))</f>
        <v/>
      </c>
      <c r="R87" s="26" t="str">
        <f t="shared" ca="1" si="8"/>
        <v/>
      </c>
      <c r="S87" s="26" t="str">
        <f t="shared" ca="1" si="9"/>
        <v/>
      </c>
      <c r="T87" s="26" t="str">
        <f t="shared" ca="1" si="10"/>
        <v/>
      </c>
      <c r="U87" s="26" t="str">
        <f t="shared" ca="1" si="11"/>
        <v/>
      </c>
      <c r="W87" s="17" t="str">
        <f ca="1">IF($D87="","",OFFSET('(2)出場選手'!$B$2,$A87,W$1))</f>
        <v/>
      </c>
      <c r="X87" s="17" t="str">
        <f ca="1">IF($D87="","",OFFSET('(2)出場選手'!$B$2,$A87,X$1))</f>
        <v/>
      </c>
      <c r="Y87" s="17" t="str">
        <f ca="1">IF($D87="","",OFFSET('(2)出場選手'!$B$2,$A87,Y$1))</f>
        <v/>
      </c>
      <c r="Z87" s="17" t="str">
        <f ca="1">IF($D87="","",OFFSET('(2)出場選手'!$B$2,$A87,Z$1))</f>
        <v/>
      </c>
    </row>
    <row r="88" spans="1:26" x14ac:dyDescent="0.15">
      <c r="A88" s="17">
        <f>TRUNC((ROWS($D$3:D88)-2)/Max_Entry_Count)+1</f>
        <v>29</v>
      </c>
      <c r="B88" s="17" t="str">
        <f ca="1">IF($A88&gt;=ROWS(Entries)-2,"",IF(OFFSET('(2)出場選手'!$B$2,$A88,B$1+3*(MOD(ROWS($D$3:D88)-2,Max_Entry_Count)))="","",MOD(ROWS($D$3:D88)-2,Max_Entry_Count)))</f>
        <v/>
      </c>
      <c r="D88" s="26" t="str">
        <f ca="1">IF(OR($A88&gt;=ROWS(Entries)-2,$B88=""),"",'(1)鑑'!$E$6&amp;"-"&amp;OFFSET('(2)出場選手'!$B$2,$A88,D$1))</f>
        <v/>
      </c>
      <c r="E88" s="26" t="str">
        <f ca="1">IF($D88="","",OFFSET('(2)出場選手'!$B$2,$A88,E$1))</f>
        <v/>
      </c>
      <c r="F88" s="26" t="str">
        <f ca="1">IF($D88="","",IF(OFFSET('(2)出場選手'!$B$2,$A88,F$1)="","",OFFSET('(2)出場選手'!$B$2,$A88,F$1)))</f>
        <v/>
      </c>
      <c r="G88" s="26" t="str">
        <f t="shared" ca="1" si="6"/>
        <v/>
      </c>
      <c r="H88" s="26" t="str">
        <f t="shared" ca="1" si="7"/>
        <v/>
      </c>
      <c r="I88" s="26" t="str">
        <f ca="1">IF($D88="","",IF(OFFSET('(2)出場選手'!$B$2,$A88,I$1)="","",OFFSET('(2)出場選手'!$B$2,$A88,I$1)))</f>
        <v/>
      </c>
      <c r="J88" s="26" t="str">
        <f ca="1">IF($D88="","",IF(OFFSET('(2)出場選手'!$B$2,$A88,J$1)="",'(1)鑑'!$E$6,OFFSET('(2)出場選手'!$B$2,$A88,J$1)))</f>
        <v/>
      </c>
      <c r="K88" s="26" t="str">
        <f ca="1">IF($D88="","",TRIM(ASC(IF(OFFSET('(2)出場選手'!$B$2,$A88,K$1)="",'(1)鑑'!$E$7,OFFSET('(2)出場選手'!$B$2,$A88,K$1)))))</f>
        <v/>
      </c>
      <c r="L88" s="26" t="str">
        <f ca="1">IF($D88="","",SUBSTITUTE(SUBSTITUTE(SUBSTITUTE(IF(OFFSET('(2)出場選手'!$B$2,$A88,L$1)="",'(1)鑑'!$E$8,OFFSET('(2)出場選手'!$B$2,$A88,L$1)),"県",""),"府",""),"東京都","東京"))</f>
        <v/>
      </c>
      <c r="M88" s="57" t="str">
        <f ca="1">IF($D88="","",IF(OFFSET('(2)出場選手'!$B$2,$A88,M$1)="","",OFFSET('(2)出場選手'!$B$2,$A88,M$1)))</f>
        <v/>
      </c>
      <c r="N88" s="26" t="str">
        <f ca="1">IF($D88="","",OFFSET('(2)出場選手'!$B$2,$A88,N$1+3*$B88))</f>
        <v/>
      </c>
      <c r="O88" s="26" t="str">
        <f ca="1">IF($D88="","",IF(OFFSET('(2)出場選手'!$B$2,$A88,O$1+3*$B88)="","",OFFSET('(2)出場選手'!$B$2,$A88,O$1+3*$B88)))</f>
        <v/>
      </c>
      <c r="P88" s="26" t="str">
        <f ca="1">IF($D88="","",IF(OFFSET('(2)出場選手'!$B$2,$A88,P$1+3*$B88)="","",OFFSET('(2)出場選手'!$B$2,$A88,P$1+3*$B88)))</f>
        <v/>
      </c>
      <c r="Q88" s="43" t="str">
        <f ca="1">IF(D88="","",VLOOKUP(N88,OFFSET(Competition_Events,0,1),11,FALSE)*IF($S88="リレー",IF(COUNTIF($T$3:$T88,$T88)&gt;1,0,1),1))</f>
        <v/>
      </c>
      <c r="R88" s="26" t="str">
        <f t="shared" ca="1" si="8"/>
        <v/>
      </c>
      <c r="S88" s="26" t="str">
        <f t="shared" ca="1" si="9"/>
        <v/>
      </c>
      <c r="T88" s="26" t="str">
        <f t="shared" ca="1" si="10"/>
        <v/>
      </c>
      <c r="U88" s="26" t="str">
        <f t="shared" ca="1" si="11"/>
        <v/>
      </c>
      <c r="W88" s="17" t="str">
        <f ca="1">IF($D88="","",OFFSET('(2)出場選手'!$B$2,$A88,W$1))</f>
        <v/>
      </c>
      <c r="X88" s="17" t="str">
        <f ca="1">IF($D88="","",OFFSET('(2)出場選手'!$B$2,$A88,X$1))</f>
        <v/>
      </c>
      <c r="Y88" s="17" t="str">
        <f ca="1">IF($D88="","",OFFSET('(2)出場選手'!$B$2,$A88,Y$1))</f>
        <v/>
      </c>
      <c r="Z88" s="17" t="str">
        <f ca="1">IF($D88="","",OFFSET('(2)出場選手'!$B$2,$A88,Z$1))</f>
        <v/>
      </c>
    </row>
    <row r="89" spans="1:26" x14ac:dyDescent="0.15">
      <c r="A89" s="17">
        <f>TRUNC((ROWS($D$3:D89)-2)/Max_Entry_Count)+1</f>
        <v>29</v>
      </c>
      <c r="B89" s="17" t="str">
        <f ca="1">IF($A89&gt;=ROWS(Entries)-2,"",IF(OFFSET('(2)出場選手'!$B$2,$A89,B$1+3*(MOD(ROWS($D$3:D89)-2,Max_Entry_Count)))="","",MOD(ROWS($D$3:D89)-2,Max_Entry_Count)))</f>
        <v/>
      </c>
      <c r="D89" s="26" t="str">
        <f ca="1">IF(OR($A89&gt;=ROWS(Entries)-2,$B89=""),"",'(1)鑑'!$E$6&amp;"-"&amp;OFFSET('(2)出場選手'!$B$2,$A89,D$1))</f>
        <v/>
      </c>
      <c r="E89" s="26" t="str">
        <f ca="1">IF($D89="","",OFFSET('(2)出場選手'!$B$2,$A89,E$1))</f>
        <v/>
      </c>
      <c r="F89" s="26" t="str">
        <f ca="1">IF($D89="","",IF(OFFSET('(2)出場選手'!$B$2,$A89,F$1)="","",OFFSET('(2)出場選手'!$B$2,$A89,F$1)))</f>
        <v/>
      </c>
      <c r="G89" s="26" t="str">
        <f t="shared" ca="1" si="6"/>
        <v/>
      </c>
      <c r="H89" s="26" t="str">
        <f t="shared" ca="1" si="7"/>
        <v/>
      </c>
      <c r="I89" s="26" t="str">
        <f ca="1">IF($D89="","",IF(OFFSET('(2)出場選手'!$B$2,$A89,I$1)="","",OFFSET('(2)出場選手'!$B$2,$A89,I$1)))</f>
        <v/>
      </c>
      <c r="J89" s="26" t="str">
        <f ca="1">IF($D89="","",IF(OFFSET('(2)出場選手'!$B$2,$A89,J$1)="",'(1)鑑'!$E$6,OFFSET('(2)出場選手'!$B$2,$A89,J$1)))</f>
        <v/>
      </c>
      <c r="K89" s="26" t="str">
        <f ca="1">IF($D89="","",TRIM(ASC(IF(OFFSET('(2)出場選手'!$B$2,$A89,K$1)="",'(1)鑑'!$E$7,OFFSET('(2)出場選手'!$B$2,$A89,K$1)))))</f>
        <v/>
      </c>
      <c r="L89" s="26" t="str">
        <f ca="1">IF($D89="","",SUBSTITUTE(SUBSTITUTE(SUBSTITUTE(IF(OFFSET('(2)出場選手'!$B$2,$A89,L$1)="",'(1)鑑'!$E$8,OFFSET('(2)出場選手'!$B$2,$A89,L$1)),"県",""),"府",""),"東京都","東京"))</f>
        <v/>
      </c>
      <c r="M89" s="57" t="str">
        <f ca="1">IF($D89="","",IF(OFFSET('(2)出場選手'!$B$2,$A89,M$1)="","",OFFSET('(2)出場選手'!$B$2,$A89,M$1)))</f>
        <v/>
      </c>
      <c r="N89" s="26" t="str">
        <f ca="1">IF($D89="","",OFFSET('(2)出場選手'!$B$2,$A89,N$1+3*$B89))</f>
        <v/>
      </c>
      <c r="O89" s="26" t="str">
        <f ca="1">IF($D89="","",IF(OFFSET('(2)出場選手'!$B$2,$A89,O$1+3*$B89)="","",OFFSET('(2)出場選手'!$B$2,$A89,O$1+3*$B89)))</f>
        <v/>
      </c>
      <c r="P89" s="26" t="str">
        <f ca="1">IF($D89="","",IF(OFFSET('(2)出場選手'!$B$2,$A89,P$1+3*$B89)="","",OFFSET('(2)出場選手'!$B$2,$A89,P$1+3*$B89)))</f>
        <v/>
      </c>
      <c r="Q89" s="43" t="str">
        <f ca="1">IF(D89="","",VLOOKUP(N89,OFFSET(Competition_Events,0,1),11,FALSE)*IF($S89="リレー",IF(COUNTIF($T$3:$T89,$T89)&gt;1,0,1),1))</f>
        <v/>
      </c>
      <c r="R89" s="26" t="str">
        <f t="shared" ca="1" si="8"/>
        <v/>
      </c>
      <c r="S89" s="26" t="str">
        <f t="shared" ca="1" si="9"/>
        <v/>
      </c>
      <c r="T89" s="26" t="str">
        <f t="shared" ca="1" si="10"/>
        <v/>
      </c>
      <c r="U89" s="26" t="str">
        <f t="shared" ca="1" si="11"/>
        <v/>
      </c>
      <c r="W89" s="17" t="str">
        <f ca="1">IF($D89="","",OFFSET('(2)出場選手'!$B$2,$A89,W$1))</f>
        <v/>
      </c>
      <c r="X89" s="17" t="str">
        <f ca="1">IF($D89="","",OFFSET('(2)出場選手'!$B$2,$A89,X$1))</f>
        <v/>
      </c>
      <c r="Y89" s="17" t="str">
        <f ca="1">IF($D89="","",OFFSET('(2)出場選手'!$B$2,$A89,Y$1))</f>
        <v/>
      </c>
      <c r="Z89" s="17" t="str">
        <f ca="1">IF($D89="","",OFFSET('(2)出場選手'!$B$2,$A89,Z$1))</f>
        <v/>
      </c>
    </row>
    <row r="90" spans="1:26" x14ac:dyDescent="0.15">
      <c r="A90" s="17">
        <f>TRUNC((ROWS($D$3:D90)-2)/Max_Entry_Count)+1</f>
        <v>29</v>
      </c>
      <c r="B90" s="17" t="str">
        <f ca="1">IF($A90&gt;=ROWS(Entries)-2,"",IF(OFFSET('(2)出場選手'!$B$2,$A90,B$1+3*(MOD(ROWS($D$3:D90)-2,Max_Entry_Count)))="","",MOD(ROWS($D$3:D90)-2,Max_Entry_Count)))</f>
        <v/>
      </c>
      <c r="D90" s="26" t="str">
        <f ca="1">IF(OR($A90&gt;=ROWS(Entries)-2,$B90=""),"",'(1)鑑'!$E$6&amp;"-"&amp;OFFSET('(2)出場選手'!$B$2,$A90,D$1))</f>
        <v/>
      </c>
      <c r="E90" s="26" t="str">
        <f ca="1">IF($D90="","",OFFSET('(2)出場選手'!$B$2,$A90,E$1))</f>
        <v/>
      </c>
      <c r="F90" s="26" t="str">
        <f ca="1">IF($D90="","",IF(OFFSET('(2)出場選手'!$B$2,$A90,F$1)="","",OFFSET('(2)出場選手'!$B$2,$A90,F$1)))</f>
        <v/>
      </c>
      <c r="G90" s="26" t="str">
        <f t="shared" ca="1" si="6"/>
        <v/>
      </c>
      <c r="H90" s="26" t="str">
        <f t="shared" ca="1" si="7"/>
        <v/>
      </c>
      <c r="I90" s="26" t="str">
        <f ca="1">IF($D90="","",IF(OFFSET('(2)出場選手'!$B$2,$A90,I$1)="","",OFFSET('(2)出場選手'!$B$2,$A90,I$1)))</f>
        <v/>
      </c>
      <c r="J90" s="26" t="str">
        <f ca="1">IF($D90="","",IF(OFFSET('(2)出場選手'!$B$2,$A90,J$1)="",'(1)鑑'!$E$6,OFFSET('(2)出場選手'!$B$2,$A90,J$1)))</f>
        <v/>
      </c>
      <c r="K90" s="26" t="str">
        <f ca="1">IF($D90="","",TRIM(ASC(IF(OFFSET('(2)出場選手'!$B$2,$A90,K$1)="",'(1)鑑'!$E$7,OFFSET('(2)出場選手'!$B$2,$A90,K$1)))))</f>
        <v/>
      </c>
      <c r="L90" s="26" t="str">
        <f ca="1">IF($D90="","",SUBSTITUTE(SUBSTITUTE(SUBSTITUTE(IF(OFFSET('(2)出場選手'!$B$2,$A90,L$1)="",'(1)鑑'!$E$8,OFFSET('(2)出場選手'!$B$2,$A90,L$1)),"県",""),"府",""),"東京都","東京"))</f>
        <v/>
      </c>
      <c r="M90" s="57" t="str">
        <f ca="1">IF($D90="","",IF(OFFSET('(2)出場選手'!$B$2,$A90,M$1)="","",OFFSET('(2)出場選手'!$B$2,$A90,M$1)))</f>
        <v/>
      </c>
      <c r="N90" s="26" t="str">
        <f ca="1">IF($D90="","",OFFSET('(2)出場選手'!$B$2,$A90,N$1+3*$B90))</f>
        <v/>
      </c>
      <c r="O90" s="26" t="str">
        <f ca="1">IF($D90="","",IF(OFFSET('(2)出場選手'!$B$2,$A90,O$1+3*$B90)="","",OFFSET('(2)出場選手'!$B$2,$A90,O$1+3*$B90)))</f>
        <v/>
      </c>
      <c r="P90" s="26" t="str">
        <f ca="1">IF($D90="","",IF(OFFSET('(2)出場選手'!$B$2,$A90,P$1+3*$B90)="","",OFFSET('(2)出場選手'!$B$2,$A90,P$1+3*$B90)))</f>
        <v/>
      </c>
      <c r="Q90" s="43" t="str">
        <f ca="1">IF(D90="","",VLOOKUP(N90,OFFSET(Competition_Events,0,1),11,FALSE)*IF($S90="リレー",IF(COUNTIF($T$3:$T90,$T90)&gt;1,0,1),1))</f>
        <v/>
      </c>
      <c r="R90" s="26" t="str">
        <f t="shared" ca="1" si="8"/>
        <v/>
      </c>
      <c r="S90" s="26" t="str">
        <f t="shared" ca="1" si="9"/>
        <v/>
      </c>
      <c r="T90" s="26" t="str">
        <f t="shared" ca="1" si="10"/>
        <v/>
      </c>
      <c r="U90" s="26" t="str">
        <f t="shared" ca="1" si="11"/>
        <v/>
      </c>
      <c r="W90" s="17" t="str">
        <f ca="1">IF($D90="","",OFFSET('(2)出場選手'!$B$2,$A90,W$1))</f>
        <v/>
      </c>
      <c r="X90" s="17" t="str">
        <f ca="1">IF($D90="","",OFFSET('(2)出場選手'!$B$2,$A90,X$1))</f>
        <v/>
      </c>
      <c r="Y90" s="17" t="str">
        <f ca="1">IF($D90="","",OFFSET('(2)出場選手'!$B$2,$A90,Y$1))</f>
        <v/>
      </c>
      <c r="Z90" s="17" t="str">
        <f ca="1">IF($D90="","",OFFSET('(2)出場選手'!$B$2,$A90,Z$1))</f>
        <v/>
      </c>
    </row>
    <row r="91" spans="1:26" x14ac:dyDescent="0.15">
      <c r="A91" s="17">
        <f>TRUNC((ROWS($D$3:D91)-2)/Max_Entry_Count)+1</f>
        <v>30</v>
      </c>
      <c r="B91" s="17" t="str">
        <f ca="1">IF($A91&gt;=ROWS(Entries)-2,"",IF(OFFSET('(2)出場選手'!$B$2,$A91,B$1+3*(MOD(ROWS($D$3:D91)-2,Max_Entry_Count)))="","",MOD(ROWS($D$3:D91)-2,Max_Entry_Count)))</f>
        <v/>
      </c>
      <c r="D91" s="26" t="str">
        <f ca="1">IF(OR($A91&gt;=ROWS(Entries)-2,$B91=""),"",'(1)鑑'!$E$6&amp;"-"&amp;OFFSET('(2)出場選手'!$B$2,$A91,D$1))</f>
        <v/>
      </c>
      <c r="E91" s="26" t="str">
        <f ca="1">IF($D91="","",OFFSET('(2)出場選手'!$B$2,$A91,E$1))</f>
        <v/>
      </c>
      <c r="F91" s="26" t="str">
        <f ca="1">IF($D91="","",IF(OFFSET('(2)出場選手'!$B$2,$A91,F$1)="","",OFFSET('(2)出場選手'!$B$2,$A91,F$1)))</f>
        <v/>
      </c>
      <c r="G91" s="26" t="str">
        <f t="shared" ca="1" si="6"/>
        <v/>
      </c>
      <c r="H91" s="26" t="str">
        <f t="shared" ca="1" si="7"/>
        <v/>
      </c>
      <c r="I91" s="26" t="str">
        <f ca="1">IF($D91="","",IF(OFFSET('(2)出場選手'!$B$2,$A91,I$1)="","",OFFSET('(2)出場選手'!$B$2,$A91,I$1)))</f>
        <v/>
      </c>
      <c r="J91" s="26" t="str">
        <f ca="1">IF($D91="","",IF(OFFSET('(2)出場選手'!$B$2,$A91,J$1)="",'(1)鑑'!$E$6,OFFSET('(2)出場選手'!$B$2,$A91,J$1)))</f>
        <v/>
      </c>
      <c r="K91" s="26" t="str">
        <f ca="1">IF($D91="","",TRIM(ASC(IF(OFFSET('(2)出場選手'!$B$2,$A91,K$1)="",'(1)鑑'!$E$7,OFFSET('(2)出場選手'!$B$2,$A91,K$1)))))</f>
        <v/>
      </c>
      <c r="L91" s="26" t="str">
        <f ca="1">IF($D91="","",SUBSTITUTE(SUBSTITUTE(SUBSTITUTE(IF(OFFSET('(2)出場選手'!$B$2,$A91,L$1)="",'(1)鑑'!$E$8,OFFSET('(2)出場選手'!$B$2,$A91,L$1)),"県",""),"府",""),"東京都","東京"))</f>
        <v/>
      </c>
      <c r="M91" s="57" t="str">
        <f ca="1">IF($D91="","",IF(OFFSET('(2)出場選手'!$B$2,$A91,M$1)="","",OFFSET('(2)出場選手'!$B$2,$A91,M$1)))</f>
        <v/>
      </c>
      <c r="N91" s="26" t="str">
        <f ca="1">IF($D91="","",OFFSET('(2)出場選手'!$B$2,$A91,N$1+3*$B91))</f>
        <v/>
      </c>
      <c r="O91" s="26" t="str">
        <f ca="1">IF($D91="","",IF(OFFSET('(2)出場選手'!$B$2,$A91,O$1+3*$B91)="","",OFFSET('(2)出場選手'!$B$2,$A91,O$1+3*$B91)))</f>
        <v/>
      </c>
      <c r="P91" s="26" t="str">
        <f ca="1">IF($D91="","",IF(OFFSET('(2)出場選手'!$B$2,$A91,P$1+3*$B91)="","",OFFSET('(2)出場選手'!$B$2,$A91,P$1+3*$B91)))</f>
        <v/>
      </c>
      <c r="Q91" s="43" t="str">
        <f ca="1">IF(D91="","",VLOOKUP(N91,OFFSET(Competition_Events,0,1),11,FALSE)*IF($S91="リレー",IF(COUNTIF($T$3:$T91,$T91)&gt;1,0,1),1))</f>
        <v/>
      </c>
      <c r="R91" s="26" t="str">
        <f t="shared" ca="1" si="8"/>
        <v/>
      </c>
      <c r="S91" s="26" t="str">
        <f t="shared" ca="1" si="9"/>
        <v/>
      </c>
      <c r="T91" s="26" t="str">
        <f t="shared" ca="1" si="10"/>
        <v/>
      </c>
      <c r="U91" s="26" t="str">
        <f t="shared" ca="1" si="11"/>
        <v/>
      </c>
      <c r="W91" s="17" t="str">
        <f ca="1">IF($D91="","",OFFSET('(2)出場選手'!$B$2,$A91,W$1))</f>
        <v/>
      </c>
      <c r="X91" s="17" t="str">
        <f ca="1">IF($D91="","",OFFSET('(2)出場選手'!$B$2,$A91,X$1))</f>
        <v/>
      </c>
      <c r="Y91" s="17" t="str">
        <f ca="1">IF($D91="","",OFFSET('(2)出場選手'!$B$2,$A91,Y$1))</f>
        <v/>
      </c>
      <c r="Z91" s="17" t="str">
        <f ca="1">IF($D91="","",OFFSET('(2)出場選手'!$B$2,$A91,Z$1))</f>
        <v/>
      </c>
    </row>
    <row r="92" spans="1:26" x14ac:dyDescent="0.15">
      <c r="A92" s="17">
        <f>TRUNC((ROWS($D$3:D92)-2)/Max_Entry_Count)+1</f>
        <v>30</v>
      </c>
      <c r="B92" s="17" t="str">
        <f ca="1">IF($A92&gt;=ROWS(Entries)-2,"",IF(OFFSET('(2)出場選手'!$B$2,$A92,B$1+3*(MOD(ROWS($D$3:D92)-2,Max_Entry_Count)))="","",MOD(ROWS($D$3:D92)-2,Max_Entry_Count)))</f>
        <v/>
      </c>
      <c r="D92" s="26" t="str">
        <f ca="1">IF(OR($A92&gt;=ROWS(Entries)-2,$B92=""),"",'(1)鑑'!$E$6&amp;"-"&amp;OFFSET('(2)出場選手'!$B$2,$A92,D$1))</f>
        <v/>
      </c>
      <c r="E92" s="26" t="str">
        <f ca="1">IF($D92="","",OFFSET('(2)出場選手'!$B$2,$A92,E$1))</f>
        <v/>
      </c>
      <c r="F92" s="26" t="str">
        <f ca="1">IF($D92="","",IF(OFFSET('(2)出場選手'!$B$2,$A92,F$1)="","",OFFSET('(2)出場選手'!$B$2,$A92,F$1)))</f>
        <v/>
      </c>
      <c r="G92" s="26" t="str">
        <f t="shared" ca="1" si="6"/>
        <v/>
      </c>
      <c r="H92" s="26" t="str">
        <f t="shared" ca="1" si="7"/>
        <v/>
      </c>
      <c r="I92" s="26" t="str">
        <f ca="1">IF($D92="","",IF(OFFSET('(2)出場選手'!$B$2,$A92,I$1)="","",OFFSET('(2)出場選手'!$B$2,$A92,I$1)))</f>
        <v/>
      </c>
      <c r="J92" s="26" t="str">
        <f ca="1">IF($D92="","",IF(OFFSET('(2)出場選手'!$B$2,$A92,J$1)="",'(1)鑑'!$E$6,OFFSET('(2)出場選手'!$B$2,$A92,J$1)))</f>
        <v/>
      </c>
      <c r="K92" s="26" t="str">
        <f ca="1">IF($D92="","",TRIM(ASC(IF(OFFSET('(2)出場選手'!$B$2,$A92,K$1)="",'(1)鑑'!$E$7,OFFSET('(2)出場選手'!$B$2,$A92,K$1)))))</f>
        <v/>
      </c>
      <c r="L92" s="26" t="str">
        <f ca="1">IF($D92="","",SUBSTITUTE(SUBSTITUTE(SUBSTITUTE(IF(OFFSET('(2)出場選手'!$B$2,$A92,L$1)="",'(1)鑑'!$E$8,OFFSET('(2)出場選手'!$B$2,$A92,L$1)),"県",""),"府",""),"東京都","東京"))</f>
        <v/>
      </c>
      <c r="M92" s="57" t="str">
        <f ca="1">IF($D92="","",IF(OFFSET('(2)出場選手'!$B$2,$A92,M$1)="","",OFFSET('(2)出場選手'!$B$2,$A92,M$1)))</f>
        <v/>
      </c>
      <c r="N92" s="26" t="str">
        <f ca="1">IF($D92="","",OFFSET('(2)出場選手'!$B$2,$A92,N$1+3*$B92))</f>
        <v/>
      </c>
      <c r="O92" s="26" t="str">
        <f ca="1">IF($D92="","",IF(OFFSET('(2)出場選手'!$B$2,$A92,O$1+3*$B92)="","",OFFSET('(2)出場選手'!$B$2,$A92,O$1+3*$B92)))</f>
        <v/>
      </c>
      <c r="P92" s="26" t="str">
        <f ca="1">IF($D92="","",IF(OFFSET('(2)出場選手'!$B$2,$A92,P$1+3*$B92)="","",OFFSET('(2)出場選手'!$B$2,$A92,P$1+3*$B92)))</f>
        <v/>
      </c>
      <c r="Q92" s="43" t="str">
        <f ca="1">IF(D92="","",VLOOKUP(N92,OFFSET(Competition_Events,0,1),11,FALSE)*IF($S92="リレー",IF(COUNTIF($T$3:$T92,$T92)&gt;1,0,1),1))</f>
        <v/>
      </c>
      <c r="R92" s="26" t="str">
        <f t="shared" ca="1" si="8"/>
        <v/>
      </c>
      <c r="S92" s="26" t="str">
        <f t="shared" ca="1" si="9"/>
        <v/>
      </c>
      <c r="T92" s="26" t="str">
        <f t="shared" ca="1" si="10"/>
        <v/>
      </c>
      <c r="U92" s="26" t="str">
        <f t="shared" ca="1" si="11"/>
        <v/>
      </c>
      <c r="W92" s="17" t="str">
        <f ca="1">IF($D92="","",OFFSET('(2)出場選手'!$B$2,$A92,W$1))</f>
        <v/>
      </c>
      <c r="X92" s="17" t="str">
        <f ca="1">IF($D92="","",OFFSET('(2)出場選手'!$B$2,$A92,X$1))</f>
        <v/>
      </c>
      <c r="Y92" s="17" t="str">
        <f ca="1">IF($D92="","",OFFSET('(2)出場選手'!$B$2,$A92,Y$1))</f>
        <v/>
      </c>
      <c r="Z92" s="17" t="str">
        <f ca="1">IF($D92="","",OFFSET('(2)出場選手'!$B$2,$A92,Z$1))</f>
        <v/>
      </c>
    </row>
    <row r="93" spans="1:26" x14ac:dyDescent="0.15">
      <c r="A93" s="17">
        <f>TRUNC((ROWS($D$3:D93)-2)/Max_Entry_Count)+1</f>
        <v>30</v>
      </c>
      <c r="B93" s="17" t="str">
        <f ca="1">IF($A93&gt;=ROWS(Entries)-2,"",IF(OFFSET('(2)出場選手'!$B$2,$A93,B$1+3*(MOD(ROWS($D$3:D93)-2,Max_Entry_Count)))="","",MOD(ROWS($D$3:D93)-2,Max_Entry_Count)))</f>
        <v/>
      </c>
      <c r="D93" s="26" t="str">
        <f ca="1">IF(OR($A93&gt;=ROWS(Entries)-2,$B93=""),"",'(1)鑑'!$E$6&amp;"-"&amp;OFFSET('(2)出場選手'!$B$2,$A93,D$1))</f>
        <v/>
      </c>
      <c r="E93" s="26" t="str">
        <f ca="1">IF($D93="","",OFFSET('(2)出場選手'!$B$2,$A93,E$1))</f>
        <v/>
      </c>
      <c r="F93" s="26" t="str">
        <f ca="1">IF($D93="","",IF(OFFSET('(2)出場選手'!$B$2,$A93,F$1)="","",OFFSET('(2)出場選手'!$B$2,$A93,F$1)))</f>
        <v/>
      </c>
      <c r="G93" s="26" t="str">
        <f t="shared" ca="1" si="6"/>
        <v/>
      </c>
      <c r="H93" s="26" t="str">
        <f t="shared" ca="1" si="7"/>
        <v/>
      </c>
      <c r="I93" s="26" t="str">
        <f ca="1">IF($D93="","",IF(OFFSET('(2)出場選手'!$B$2,$A93,I$1)="","",OFFSET('(2)出場選手'!$B$2,$A93,I$1)))</f>
        <v/>
      </c>
      <c r="J93" s="26" t="str">
        <f ca="1">IF($D93="","",IF(OFFSET('(2)出場選手'!$B$2,$A93,J$1)="",'(1)鑑'!$E$6,OFFSET('(2)出場選手'!$B$2,$A93,J$1)))</f>
        <v/>
      </c>
      <c r="K93" s="26" t="str">
        <f ca="1">IF($D93="","",TRIM(ASC(IF(OFFSET('(2)出場選手'!$B$2,$A93,K$1)="",'(1)鑑'!$E$7,OFFSET('(2)出場選手'!$B$2,$A93,K$1)))))</f>
        <v/>
      </c>
      <c r="L93" s="26" t="str">
        <f ca="1">IF($D93="","",SUBSTITUTE(SUBSTITUTE(SUBSTITUTE(IF(OFFSET('(2)出場選手'!$B$2,$A93,L$1)="",'(1)鑑'!$E$8,OFFSET('(2)出場選手'!$B$2,$A93,L$1)),"県",""),"府",""),"東京都","東京"))</f>
        <v/>
      </c>
      <c r="M93" s="57" t="str">
        <f ca="1">IF($D93="","",IF(OFFSET('(2)出場選手'!$B$2,$A93,M$1)="","",OFFSET('(2)出場選手'!$B$2,$A93,M$1)))</f>
        <v/>
      </c>
      <c r="N93" s="26" t="str">
        <f ca="1">IF($D93="","",OFFSET('(2)出場選手'!$B$2,$A93,N$1+3*$B93))</f>
        <v/>
      </c>
      <c r="O93" s="26" t="str">
        <f ca="1">IF($D93="","",IF(OFFSET('(2)出場選手'!$B$2,$A93,O$1+3*$B93)="","",OFFSET('(2)出場選手'!$B$2,$A93,O$1+3*$B93)))</f>
        <v/>
      </c>
      <c r="P93" s="26" t="str">
        <f ca="1">IF($D93="","",IF(OFFSET('(2)出場選手'!$B$2,$A93,P$1+3*$B93)="","",OFFSET('(2)出場選手'!$B$2,$A93,P$1+3*$B93)))</f>
        <v/>
      </c>
      <c r="Q93" s="43" t="str">
        <f ca="1">IF(D93="","",VLOOKUP(N93,OFFSET(Competition_Events,0,1),11,FALSE)*IF($S93="リレー",IF(COUNTIF($T$3:$T93,$T93)&gt;1,0,1),1))</f>
        <v/>
      </c>
      <c r="R93" s="26" t="str">
        <f t="shared" ca="1" si="8"/>
        <v/>
      </c>
      <c r="S93" s="26" t="str">
        <f t="shared" ca="1" si="9"/>
        <v/>
      </c>
      <c r="T93" s="26" t="str">
        <f t="shared" ca="1" si="10"/>
        <v/>
      </c>
      <c r="U93" s="26" t="str">
        <f t="shared" ca="1" si="11"/>
        <v/>
      </c>
      <c r="W93" s="17" t="str">
        <f ca="1">IF($D93="","",OFFSET('(2)出場選手'!$B$2,$A93,W$1))</f>
        <v/>
      </c>
      <c r="X93" s="17" t="str">
        <f ca="1">IF($D93="","",OFFSET('(2)出場選手'!$B$2,$A93,X$1))</f>
        <v/>
      </c>
      <c r="Y93" s="17" t="str">
        <f ca="1">IF($D93="","",OFFSET('(2)出場選手'!$B$2,$A93,Y$1))</f>
        <v/>
      </c>
      <c r="Z93" s="17" t="str">
        <f ca="1">IF($D93="","",OFFSET('(2)出場選手'!$B$2,$A93,Z$1))</f>
        <v/>
      </c>
    </row>
    <row r="94" spans="1:26" x14ac:dyDescent="0.15">
      <c r="A94" s="17">
        <f>TRUNC((ROWS($D$3:D94)-2)/Max_Entry_Count)+1</f>
        <v>31</v>
      </c>
      <c r="B94" s="17" t="str">
        <f ca="1">IF($A94&gt;=ROWS(Entries)-2,"",IF(OFFSET('(2)出場選手'!$B$2,$A94,B$1+3*(MOD(ROWS($D$3:D94)-2,Max_Entry_Count)))="","",MOD(ROWS($D$3:D94)-2,Max_Entry_Count)))</f>
        <v/>
      </c>
      <c r="D94" s="26" t="str">
        <f ca="1">IF(OR($A94&gt;=ROWS(Entries)-2,$B94=""),"",'(1)鑑'!$E$6&amp;"-"&amp;OFFSET('(2)出場選手'!$B$2,$A94,D$1))</f>
        <v/>
      </c>
      <c r="E94" s="26" t="str">
        <f ca="1">IF($D94="","",OFFSET('(2)出場選手'!$B$2,$A94,E$1))</f>
        <v/>
      </c>
      <c r="F94" s="26" t="str">
        <f ca="1">IF($D94="","",IF(OFFSET('(2)出場選手'!$B$2,$A94,F$1)="","",OFFSET('(2)出場選手'!$B$2,$A94,F$1)))</f>
        <v/>
      </c>
      <c r="G94" s="26" t="str">
        <f t="shared" ca="1" si="6"/>
        <v/>
      </c>
      <c r="H94" s="26" t="str">
        <f t="shared" ca="1" si="7"/>
        <v/>
      </c>
      <c r="I94" s="26" t="str">
        <f ca="1">IF($D94="","",IF(OFFSET('(2)出場選手'!$B$2,$A94,I$1)="","",OFFSET('(2)出場選手'!$B$2,$A94,I$1)))</f>
        <v/>
      </c>
      <c r="J94" s="26" t="str">
        <f ca="1">IF($D94="","",IF(OFFSET('(2)出場選手'!$B$2,$A94,J$1)="",'(1)鑑'!$E$6,OFFSET('(2)出場選手'!$B$2,$A94,J$1)))</f>
        <v/>
      </c>
      <c r="K94" s="26" t="str">
        <f ca="1">IF($D94="","",TRIM(ASC(IF(OFFSET('(2)出場選手'!$B$2,$A94,K$1)="",'(1)鑑'!$E$7,OFFSET('(2)出場選手'!$B$2,$A94,K$1)))))</f>
        <v/>
      </c>
      <c r="L94" s="26" t="str">
        <f ca="1">IF($D94="","",SUBSTITUTE(SUBSTITUTE(SUBSTITUTE(IF(OFFSET('(2)出場選手'!$B$2,$A94,L$1)="",'(1)鑑'!$E$8,OFFSET('(2)出場選手'!$B$2,$A94,L$1)),"県",""),"府",""),"東京都","東京"))</f>
        <v/>
      </c>
      <c r="M94" s="57" t="str">
        <f ca="1">IF($D94="","",IF(OFFSET('(2)出場選手'!$B$2,$A94,M$1)="","",OFFSET('(2)出場選手'!$B$2,$A94,M$1)))</f>
        <v/>
      </c>
      <c r="N94" s="26" t="str">
        <f ca="1">IF($D94="","",OFFSET('(2)出場選手'!$B$2,$A94,N$1+3*$B94))</f>
        <v/>
      </c>
      <c r="O94" s="26" t="str">
        <f ca="1">IF($D94="","",IF(OFFSET('(2)出場選手'!$B$2,$A94,O$1+3*$B94)="","",OFFSET('(2)出場選手'!$B$2,$A94,O$1+3*$B94)))</f>
        <v/>
      </c>
      <c r="P94" s="26" t="str">
        <f ca="1">IF($D94="","",IF(OFFSET('(2)出場選手'!$B$2,$A94,P$1+3*$B94)="","",OFFSET('(2)出場選手'!$B$2,$A94,P$1+3*$B94)))</f>
        <v/>
      </c>
      <c r="Q94" s="43" t="str">
        <f ca="1">IF(D94="","",VLOOKUP(N94,OFFSET(Competition_Events,0,1),11,FALSE)*IF($S94="リレー",IF(COUNTIF($T$3:$T94,$T94)&gt;1,0,1),1))</f>
        <v/>
      </c>
      <c r="R94" s="26" t="str">
        <f t="shared" ca="1" si="8"/>
        <v/>
      </c>
      <c r="S94" s="26" t="str">
        <f t="shared" ca="1" si="9"/>
        <v/>
      </c>
      <c r="T94" s="26" t="str">
        <f t="shared" ca="1" si="10"/>
        <v/>
      </c>
      <c r="U94" s="26" t="str">
        <f t="shared" ca="1" si="11"/>
        <v/>
      </c>
      <c r="W94" s="17" t="str">
        <f ca="1">IF($D94="","",OFFSET('(2)出場選手'!$B$2,$A94,W$1))</f>
        <v/>
      </c>
      <c r="X94" s="17" t="str">
        <f ca="1">IF($D94="","",OFFSET('(2)出場選手'!$B$2,$A94,X$1))</f>
        <v/>
      </c>
      <c r="Y94" s="17" t="str">
        <f ca="1">IF($D94="","",OFFSET('(2)出場選手'!$B$2,$A94,Y$1))</f>
        <v/>
      </c>
      <c r="Z94" s="17" t="str">
        <f ca="1">IF($D94="","",OFFSET('(2)出場選手'!$B$2,$A94,Z$1))</f>
        <v/>
      </c>
    </row>
    <row r="95" spans="1:26" x14ac:dyDescent="0.15">
      <c r="A95" s="17">
        <f>TRUNC((ROWS($D$3:D95)-2)/Max_Entry_Count)+1</f>
        <v>31</v>
      </c>
      <c r="B95" s="17" t="str">
        <f ca="1">IF($A95&gt;=ROWS(Entries)-2,"",IF(OFFSET('(2)出場選手'!$B$2,$A95,B$1+3*(MOD(ROWS($D$3:D95)-2,Max_Entry_Count)))="","",MOD(ROWS($D$3:D95)-2,Max_Entry_Count)))</f>
        <v/>
      </c>
      <c r="D95" s="26" t="str">
        <f ca="1">IF(OR($A95&gt;=ROWS(Entries)-2,$B95=""),"",'(1)鑑'!$E$6&amp;"-"&amp;OFFSET('(2)出場選手'!$B$2,$A95,D$1))</f>
        <v/>
      </c>
      <c r="E95" s="26" t="str">
        <f ca="1">IF($D95="","",OFFSET('(2)出場選手'!$B$2,$A95,E$1))</f>
        <v/>
      </c>
      <c r="F95" s="26" t="str">
        <f ca="1">IF($D95="","",IF(OFFSET('(2)出場選手'!$B$2,$A95,F$1)="","",OFFSET('(2)出場選手'!$B$2,$A95,F$1)))</f>
        <v/>
      </c>
      <c r="G95" s="26" t="str">
        <f t="shared" ca="1" si="6"/>
        <v/>
      </c>
      <c r="H95" s="26" t="str">
        <f t="shared" ca="1" si="7"/>
        <v/>
      </c>
      <c r="I95" s="26" t="str">
        <f ca="1">IF($D95="","",IF(OFFSET('(2)出場選手'!$B$2,$A95,I$1)="","",OFFSET('(2)出場選手'!$B$2,$A95,I$1)))</f>
        <v/>
      </c>
      <c r="J95" s="26" t="str">
        <f ca="1">IF($D95="","",IF(OFFSET('(2)出場選手'!$B$2,$A95,J$1)="",'(1)鑑'!$E$6,OFFSET('(2)出場選手'!$B$2,$A95,J$1)))</f>
        <v/>
      </c>
      <c r="K95" s="26" t="str">
        <f ca="1">IF($D95="","",TRIM(ASC(IF(OFFSET('(2)出場選手'!$B$2,$A95,K$1)="",'(1)鑑'!$E$7,OFFSET('(2)出場選手'!$B$2,$A95,K$1)))))</f>
        <v/>
      </c>
      <c r="L95" s="26" t="str">
        <f ca="1">IF($D95="","",SUBSTITUTE(SUBSTITUTE(SUBSTITUTE(IF(OFFSET('(2)出場選手'!$B$2,$A95,L$1)="",'(1)鑑'!$E$8,OFFSET('(2)出場選手'!$B$2,$A95,L$1)),"県",""),"府",""),"東京都","東京"))</f>
        <v/>
      </c>
      <c r="M95" s="57" t="str">
        <f ca="1">IF($D95="","",IF(OFFSET('(2)出場選手'!$B$2,$A95,M$1)="","",OFFSET('(2)出場選手'!$B$2,$A95,M$1)))</f>
        <v/>
      </c>
      <c r="N95" s="26" t="str">
        <f ca="1">IF($D95="","",OFFSET('(2)出場選手'!$B$2,$A95,N$1+3*$B95))</f>
        <v/>
      </c>
      <c r="O95" s="26" t="str">
        <f ca="1">IF($D95="","",IF(OFFSET('(2)出場選手'!$B$2,$A95,O$1+3*$B95)="","",OFFSET('(2)出場選手'!$B$2,$A95,O$1+3*$B95)))</f>
        <v/>
      </c>
      <c r="P95" s="26" t="str">
        <f ca="1">IF($D95="","",IF(OFFSET('(2)出場選手'!$B$2,$A95,P$1+3*$B95)="","",OFFSET('(2)出場選手'!$B$2,$A95,P$1+3*$B95)))</f>
        <v/>
      </c>
      <c r="Q95" s="43" t="str">
        <f ca="1">IF(D95="","",VLOOKUP(N95,OFFSET(Competition_Events,0,1),11,FALSE)*IF($S95="リレー",IF(COUNTIF($T$3:$T95,$T95)&gt;1,0,1),1))</f>
        <v/>
      </c>
      <c r="R95" s="26" t="str">
        <f t="shared" ca="1" si="8"/>
        <v/>
      </c>
      <c r="S95" s="26" t="str">
        <f t="shared" ca="1" si="9"/>
        <v/>
      </c>
      <c r="T95" s="26" t="str">
        <f t="shared" ca="1" si="10"/>
        <v/>
      </c>
      <c r="U95" s="26" t="str">
        <f t="shared" ca="1" si="11"/>
        <v/>
      </c>
      <c r="W95" s="17" t="str">
        <f ca="1">IF($D95="","",OFFSET('(2)出場選手'!$B$2,$A95,W$1))</f>
        <v/>
      </c>
      <c r="X95" s="17" t="str">
        <f ca="1">IF($D95="","",OFFSET('(2)出場選手'!$B$2,$A95,X$1))</f>
        <v/>
      </c>
      <c r="Y95" s="17" t="str">
        <f ca="1">IF($D95="","",OFFSET('(2)出場選手'!$B$2,$A95,Y$1))</f>
        <v/>
      </c>
      <c r="Z95" s="17" t="str">
        <f ca="1">IF($D95="","",OFFSET('(2)出場選手'!$B$2,$A95,Z$1))</f>
        <v/>
      </c>
    </row>
    <row r="96" spans="1:26" x14ac:dyDescent="0.15">
      <c r="A96" s="17">
        <f>TRUNC((ROWS($D$3:D96)-2)/Max_Entry_Count)+1</f>
        <v>31</v>
      </c>
      <c r="B96" s="17" t="str">
        <f ca="1">IF($A96&gt;=ROWS(Entries)-2,"",IF(OFFSET('(2)出場選手'!$B$2,$A96,B$1+3*(MOD(ROWS($D$3:D96)-2,Max_Entry_Count)))="","",MOD(ROWS($D$3:D96)-2,Max_Entry_Count)))</f>
        <v/>
      </c>
      <c r="D96" s="26" t="str">
        <f ca="1">IF(OR($A96&gt;=ROWS(Entries)-2,$B96=""),"",'(1)鑑'!$E$6&amp;"-"&amp;OFFSET('(2)出場選手'!$B$2,$A96,D$1))</f>
        <v/>
      </c>
      <c r="E96" s="26" t="str">
        <f ca="1">IF($D96="","",OFFSET('(2)出場選手'!$B$2,$A96,E$1))</f>
        <v/>
      </c>
      <c r="F96" s="26" t="str">
        <f ca="1">IF($D96="","",IF(OFFSET('(2)出場選手'!$B$2,$A96,F$1)="","",OFFSET('(2)出場選手'!$B$2,$A96,F$1)))</f>
        <v/>
      </c>
      <c r="G96" s="26" t="str">
        <f t="shared" ca="1" si="6"/>
        <v/>
      </c>
      <c r="H96" s="26" t="str">
        <f t="shared" ca="1" si="7"/>
        <v/>
      </c>
      <c r="I96" s="26" t="str">
        <f ca="1">IF($D96="","",IF(OFFSET('(2)出場選手'!$B$2,$A96,I$1)="","",OFFSET('(2)出場選手'!$B$2,$A96,I$1)))</f>
        <v/>
      </c>
      <c r="J96" s="26" t="str">
        <f ca="1">IF($D96="","",IF(OFFSET('(2)出場選手'!$B$2,$A96,J$1)="",'(1)鑑'!$E$6,OFFSET('(2)出場選手'!$B$2,$A96,J$1)))</f>
        <v/>
      </c>
      <c r="K96" s="26" t="str">
        <f ca="1">IF($D96="","",TRIM(ASC(IF(OFFSET('(2)出場選手'!$B$2,$A96,K$1)="",'(1)鑑'!$E$7,OFFSET('(2)出場選手'!$B$2,$A96,K$1)))))</f>
        <v/>
      </c>
      <c r="L96" s="26" t="str">
        <f ca="1">IF($D96="","",SUBSTITUTE(SUBSTITUTE(SUBSTITUTE(IF(OFFSET('(2)出場選手'!$B$2,$A96,L$1)="",'(1)鑑'!$E$8,OFFSET('(2)出場選手'!$B$2,$A96,L$1)),"県",""),"府",""),"東京都","東京"))</f>
        <v/>
      </c>
      <c r="M96" s="57" t="str">
        <f ca="1">IF($D96="","",IF(OFFSET('(2)出場選手'!$B$2,$A96,M$1)="","",OFFSET('(2)出場選手'!$B$2,$A96,M$1)))</f>
        <v/>
      </c>
      <c r="N96" s="26" t="str">
        <f ca="1">IF($D96="","",OFFSET('(2)出場選手'!$B$2,$A96,N$1+3*$B96))</f>
        <v/>
      </c>
      <c r="O96" s="26" t="str">
        <f ca="1">IF($D96="","",IF(OFFSET('(2)出場選手'!$B$2,$A96,O$1+3*$B96)="","",OFFSET('(2)出場選手'!$B$2,$A96,O$1+3*$B96)))</f>
        <v/>
      </c>
      <c r="P96" s="26" t="str">
        <f ca="1">IF($D96="","",IF(OFFSET('(2)出場選手'!$B$2,$A96,P$1+3*$B96)="","",OFFSET('(2)出場選手'!$B$2,$A96,P$1+3*$B96)))</f>
        <v/>
      </c>
      <c r="Q96" s="43" t="str">
        <f ca="1">IF(D96="","",VLOOKUP(N96,OFFSET(Competition_Events,0,1),11,FALSE)*IF($S96="リレー",IF(COUNTIF($T$3:$T96,$T96)&gt;1,0,1),1))</f>
        <v/>
      </c>
      <c r="R96" s="26" t="str">
        <f t="shared" ca="1" si="8"/>
        <v/>
      </c>
      <c r="S96" s="26" t="str">
        <f t="shared" ca="1" si="9"/>
        <v/>
      </c>
      <c r="T96" s="26" t="str">
        <f t="shared" ca="1" si="10"/>
        <v/>
      </c>
      <c r="U96" s="26" t="str">
        <f t="shared" ca="1" si="11"/>
        <v/>
      </c>
      <c r="W96" s="17" t="str">
        <f ca="1">IF($D96="","",OFFSET('(2)出場選手'!$B$2,$A96,W$1))</f>
        <v/>
      </c>
      <c r="X96" s="17" t="str">
        <f ca="1">IF($D96="","",OFFSET('(2)出場選手'!$B$2,$A96,X$1))</f>
        <v/>
      </c>
      <c r="Y96" s="17" t="str">
        <f ca="1">IF($D96="","",OFFSET('(2)出場選手'!$B$2,$A96,Y$1))</f>
        <v/>
      </c>
      <c r="Z96" s="17" t="str">
        <f ca="1">IF($D96="","",OFFSET('(2)出場選手'!$B$2,$A96,Z$1))</f>
        <v/>
      </c>
    </row>
    <row r="97" spans="1:26" x14ac:dyDescent="0.15">
      <c r="A97" s="17">
        <f>TRUNC((ROWS($D$3:D97)-2)/Max_Entry_Count)+1</f>
        <v>32</v>
      </c>
      <c r="B97" s="17" t="str">
        <f ca="1">IF($A97&gt;=ROWS(Entries)-2,"",IF(OFFSET('(2)出場選手'!$B$2,$A97,B$1+3*(MOD(ROWS($D$3:D97)-2,Max_Entry_Count)))="","",MOD(ROWS($D$3:D97)-2,Max_Entry_Count)))</f>
        <v/>
      </c>
      <c r="D97" s="26" t="str">
        <f ca="1">IF(OR($A97&gt;=ROWS(Entries)-2,$B97=""),"",'(1)鑑'!$E$6&amp;"-"&amp;OFFSET('(2)出場選手'!$B$2,$A97,D$1))</f>
        <v/>
      </c>
      <c r="E97" s="26" t="str">
        <f ca="1">IF($D97="","",OFFSET('(2)出場選手'!$B$2,$A97,E$1))</f>
        <v/>
      </c>
      <c r="F97" s="26" t="str">
        <f ca="1">IF($D97="","",IF(OFFSET('(2)出場選手'!$B$2,$A97,F$1)="","",OFFSET('(2)出場選手'!$B$2,$A97,F$1)))</f>
        <v/>
      </c>
      <c r="G97" s="26" t="str">
        <f t="shared" ca="1" si="6"/>
        <v/>
      </c>
      <c r="H97" s="26" t="str">
        <f t="shared" ca="1" si="7"/>
        <v/>
      </c>
      <c r="I97" s="26" t="str">
        <f ca="1">IF($D97="","",IF(OFFSET('(2)出場選手'!$B$2,$A97,I$1)="","",OFFSET('(2)出場選手'!$B$2,$A97,I$1)))</f>
        <v/>
      </c>
      <c r="J97" s="26" t="str">
        <f ca="1">IF($D97="","",IF(OFFSET('(2)出場選手'!$B$2,$A97,J$1)="",'(1)鑑'!$E$6,OFFSET('(2)出場選手'!$B$2,$A97,J$1)))</f>
        <v/>
      </c>
      <c r="K97" s="26" t="str">
        <f ca="1">IF($D97="","",TRIM(ASC(IF(OFFSET('(2)出場選手'!$B$2,$A97,K$1)="",'(1)鑑'!$E$7,OFFSET('(2)出場選手'!$B$2,$A97,K$1)))))</f>
        <v/>
      </c>
      <c r="L97" s="26" t="str">
        <f ca="1">IF($D97="","",SUBSTITUTE(SUBSTITUTE(SUBSTITUTE(IF(OFFSET('(2)出場選手'!$B$2,$A97,L$1)="",'(1)鑑'!$E$8,OFFSET('(2)出場選手'!$B$2,$A97,L$1)),"県",""),"府",""),"東京都","東京"))</f>
        <v/>
      </c>
      <c r="M97" s="57" t="str">
        <f ca="1">IF($D97="","",IF(OFFSET('(2)出場選手'!$B$2,$A97,M$1)="","",OFFSET('(2)出場選手'!$B$2,$A97,M$1)))</f>
        <v/>
      </c>
      <c r="N97" s="26" t="str">
        <f ca="1">IF($D97="","",OFFSET('(2)出場選手'!$B$2,$A97,N$1+3*$B97))</f>
        <v/>
      </c>
      <c r="O97" s="26" t="str">
        <f ca="1">IF($D97="","",IF(OFFSET('(2)出場選手'!$B$2,$A97,O$1+3*$B97)="","",OFFSET('(2)出場選手'!$B$2,$A97,O$1+3*$B97)))</f>
        <v/>
      </c>
      <c r="P97" s="26" t="str">
        <f ca="1">IF($D97="","",IF(OFFSET('(2)出場選手'!$B$2,$A97,P$1+3*$B97)="","",OFFSET('(2)出場選手'!$B$2,$A97,P$1+3*$B97)))</f>
        <v/>
      </c>
      <c r="Q97" s="43" t="str">
        <f ca="1">IF(D97="","",VLOOKUP(N97,OFFSET(Competition_Events,0,1),11,FALSE)*IF($S97="リレー",IF(COUNTIF($T$3:$T97,$T97)&gt;1,0,1),1))</f>
        <v/>
      </c>
      <c r="R97" s="26" t="str">
        <f t="shared" ca="1" si="8"/>
        <v/>
      </c>
      <c r="S97" s="26" t="str">
        <f t="shared" ca="1" si="9"/>
        <v/>
      </c>
      <c r="T97" s="26" t="str">
        <f t="shared" ca="1" si="10"/>
        <v/>
      </c>
      <c r="U97" s="26" t="str">
        <f t="shared" ca="1" si="11"/>
        <v/>
      </c>
      <c r="W97" s="17" t="str">
        <f ca="1">IF($D97="","",OFFSET('(2)出場選手'!$B$2,$A97,W$1))</f>
        <v/>
      </c>
      <c r="X97" s="17" t="str">
        <f ca="1">IF($D97="","",OFFSET('(2)出場選手'!$B$2,$A97,X$1))</f>
        <v/>
      </c>
      <c r="Y97" s="17" t="str">
        <f ca="1">IF($D97="","",OFFSET('(2)出場選手'!$B$2,$A97,Y$1))</f>
        <v/>
      </c>
      <c r="Z97" s="17" t="str">
        <f ca="1">IF($D97="","",OFFSET('(2)出場選手'!$B$2,$A97,Z$1))</f>
        <v/>
      </c>
    </row>
    <row r="98" spans="1:26" x14ac:dyDescent="0.15">
      <c r="A98" s="17">
        <f>TRUNC((ROWS($D$3:D98)-2)/Max_Entry_Count)+1</f>
        <v>32</v>
      </c>
      <c r="B98" s="17" t="str">
        <f ca="1">IF($A98&gt;=ROWS(Entries)-2,"",IF(OFFSET('(2)出場選手'!$B$2,$A98,B$1+3*(MOD(ROWS($D$3:D98)-2,Max_Entry_Count)))="","",MOD(ROWS($D$3:D98)-2,Max_Entry_Count)))</f>
        <v/>
      </c>
      <c r="D98" s="26" t="str">
        <f ca="1">IF(OR($A98&gt;=ROWS(Entries)-2,$B98=""),"",'(1)鑑'!$E$6&amp;"-"&amp;OFFSET('(2)出場選手'!$B$2,$A98,D$1))</f>
        <v/>
      </c>
      <c r="E98" s="26" t="str">
        <f ca="1">IF($D98="","",OFFSET('(2)出場選手'!$B$2,$A98,E$1))</f>
        <v/>
      </c>
      <c r="F98" s="26" t="str">
        <f ca="1">IF($D98="","",IF(OFFSET('(2)出場選手'!$B$2,$A98,F$1)="","",OFFSET('(2)出場選手'!$B$2,$A98,F$1)))</f>
        <v/>
      </c>
      <c r="G98" s="26" t="str">
        <f t="shared" ca="1" si="6"/>
        <v/>
      </c>
      <c r="H98" s="26" t="str">
        <f t="shared" ca="1" si="7"/>
        <v/>
      </c>
      <c r="I98" s="26" t="str">
        <f ca="1">IF($D98="","",IF(OFFSET('(2)出場選手'!$B$2,$A98,I$1)="","",OFFSET('(2)出場選手'!$B$2,$A98,I$1)))</f>
        <v/>
      </c>
      <c r="J98" s="26" t="str">
        <f ca="1">IF($D98="","",IF(OFFSET('(2)出場選手'!$B$2,$A98,J$1)="",'(1)鑑'!$E$6,OFFSET('(2)出場選手'!$B$2,$A98,J$1)))</f>
        <v/>
      </c>
      <c r="K98" s="26" t="str">
        <f ca="1">IF($D98="","",TRIM(ASC(IF(OFFSET('(2)出場選手'!$B$2,$A98,K$1)="",'(1)鑑'!$E$7,OFFSET('(2)出場選手'!$B$2,$A98,K$1)))))</f>
        <v/>
      </c>
      <c r="L98" s="26" t="str">
        <f ca="1">IF($D98="","",SUBSTITUTE(SUBSTITUTE(SUBSTITUTE(IF(OFFSET('(2)出場選手'!$B$2,$A98,L$1)="",'(1)鑑'!$E$8,OFFSET('(2)出場選手'!$B$2,$A98,L$1)),"県",""),"府",""),"東京都","東京"))</f>
        <v/>
      </c>
      <c r="M98" s="57" t="str">
        <f ca="1">IF($D98="","",IF(OFFSET('(2)出場選手'!$B$2,$A98,M$1)="","",OFFSET('(2)出場選手'!$B$2,$A98,M$1)))</f>
        <v/>
      </c>
      <c r="N98" s="26" t="str">
        <f ca="1">IF($D98="","",OFFSET('(2)出場選手'!$B$2,$A98,N$1+3*$B98))</f>
        <v/>
      </c>
      <c r="O98" s="26" t="str">
        <f ca="1">IF($D98="","",IF(OFFSET('(2)出場選手'!$B$2,$A98,O$1+3*$B98)="","",OFFSET('(2)出場選手'!$B$2,$A98,O$1+3*$B98)))</f>
        <v/>
      </c>
      <c r="P98" s="26" t="str">
        <f ca="1">IF($D98="","",IF(OFFSET('(2)出場選手'!$B$2,$A98,P$1+3*$B98)="","",OFFSET('(2)出場選手'!$B$2,$A98,P$1+3*$B98)))</f>
        <v/>
      </c>
      <c r="Q98" s="43" t="str">
        <f ca="1">IF(D98="","",VLOOKUP(N98,OFFSET(Competition_Events,0,1),11,FALSE)*IF($S98="リレー",IF(COUNTIF($T$3:$T98,$T98)&gt;1,0,1),1))</f>
        <v/>
      </c>
      <c r="R98" s="26" t="str">
        <f t="shared" ca="1" si="8"/>
        <v/>
      </c>
      <c r="S98" s="26" t="str">
        <f t="shared" ca="1" si="9"/>
        <v/>
      </c>
      <c r="T98" s="26" t="str">
        <f t="shared" ca="1" si="10"/>
        <v/>
      </c>
      <c r="U98" s="26" t="str">
        <f t="shared" ca="1" si="11"/>
        <v/>
      </c>
      <c r="W98" s="17" t="str">
        <f ca="1">IF($D98="","",OFFSET('(2)出場選手'!$B$2,$A98,W$1))</f>
        <v/>
      </c>
      <c r="X98" s="17" t="str">
        <f ca="1">IF($D98="","",OFFSET('(2)出場選手'!$B$2,$A98,X$1))</f>
        <v/>
      </c>
      <c r="Y98" s="17" t="str">
        <f ca="1">IF($D98="","",OFFSET('(2)出場選手'!$B$2,$A98,Y$1))</f>
        <v/>
      </c>
      <c r="Z98" s="17" t="str">
        <f ca="1">IF($D98="","",OFFSET('(2)出場選手'!$B$2,$A98,Z$1))</f>
        <v/>
      </c>
    </row>
    <row r="99" spans="1:26" x14ac:dyDescent="0.15">
      <c r="A99" s="17">
        <f>TRUNC((ROWS($D$3:D99)-2)/Max_Entry_Count)+1</f>
        <v>32</v>
      </c>
      <c r="B99" s="17" t="str">
        <f ca="1">IF($A99&gt;=ROWS(Entries)-2,"",IF(OFFSET('(2)出場選手'!$B$2,$A99,B$1+3*(MOD(ROWS($D$3:D99)-2,Max_Entry_Count)))="","",MOD(ROWS($D$3:D99)-2,Max_Entry_Count)))</f>
        <v/>
      </c>
      <c r="D99" s="26" t="str">
        <f ca="1">IF(OR($A99&gt;=ROWS(Entries)-2,$B99=""),"",'(1)鑑'!$E$6&amp;"-"&amp;OFFSET('(2)出場選手'!$B$2,$A99,D$1))</f>
        <v/>
      </c>
      <c r="E99" s="26" t="str">
        <f ca="1">IF($D99="","",OFFSET('(2)出場選手'!$B$2,$A99,E$1))</f>
        <v/>
      </c>
      <c r="F99" s="26" t="str">
        <f ca="1">IF($D99="","",IF(OFFSET('(2)出場選手'!$B$2,$A99,F$1)="","",OFFSET('(2)出場選手'!$B$2,$A99,F$1)))</f>
        <v/>
      </c>
      <c r="G99" s="26" t="str">
        <f t="shared" ca="1" si="6"/>
        <v/>
      </c>
      <c r="H99" s="26" t="str">
        <f t="shared" ca="1" si="7"/>
        <v/>
      </c>
      <c r="I99" s="26" t="str">
        <f ca="1">IF($D99="","",IF(OFFSET('(2)出場選手'!$B$2,$A99,I$1)="","",OFFSET('(2)出場選手'!$B$2,$A99,I$1)))</f>
        <v/>
      </c>
      <c r="J99" s="26" t="str">
        <f ca="1">IF($D99="","",IF(OFFSET('(2)出場選手'!$B$2,$A99,J$1)="",'(1)鑑'!$E$6,OFFSET('(2)出場選手'!$B$2,$A99,J$1)))</f>
        <v/>
      </c>
      <c r="K99" s="26" t="str">
        <f ca="1">IF($D99="","",TRIM(ASC(IF(OFFSET('(2)出場選手'!$B$2,$A99,K$1)="",'(1)鑑'!$E$7,OFFSET('(2)出場選手'!$B$2,$A99,K$1)))))</f>
        <v/>
      </c>
      <c r="L99" s="26" t="str">
        <f ca="1">IF($D99="","",SUBSTITUTE(SUBSTITUTE(SUBSTITUTE(IF(OFFSET('(2)出場選手'!$B$2,$A99,L$1)="",'(1)鑑'!$E$8,OFFSET('(2)出場選手'!$B$2,$A99,L$1)),"県",""),"府",""),"東京都","東京"))</f>
        <v/>
      </c>
      <c r="M99" s="57" t="str">
        <f ca="1">IF($D99="","",IF(OFFSET('(2)出場選手'!$B$2,$A99,M$1)="","",OFFSET('(2)出場選手'!$B$2,$A99,M$1)))</f>
        <v/>
      </c>
      <c r="N99" s="26" t="str">
        <f ca="1">IF($D99="","",OFFSET('(2)出場選手'!$B$2,$A99,N$1+3*$B99))</f>
        <v/>
      </c>
      <c r="O99" s="26" t="str">
        <f ca="1">IF($D99="","",IF(OFFSET('(2)出場選手'!$B$2,$A99,O$1+3*$B99)="","",OFFSET('(2)出場選手'!$B$2,$A99,O$1+3*$B99)))</f>
        <v/>
      </c>
      <c r="P99" s="26" t="str">
        <f ca="1">IF($D99="","",IF(OFFSET('(2)出場選手'!$B$2,$A99,P$1+3*$B99)="","",OFFSET('(2)出場選手'!$B$2,$A99,P$1+3*$B99)))</f>
        <v/>
      </c>
      <c r="Q99" s="43" t="str">
        <f ca="1">IF(D99="","",VLOOKUP(N99,OFFSET(Competition_Events,0,1),11,FALSE)*IF($S99="リレー",IF(COUNTIF($T$3:$T99,$T99)&gt;1,0,1),1))</f>
        <v/>
      </c>
      <c r="R99" s="26" t="str">
        <f t="shared" ca="1" si="8"/>
        <v/>
      </c>
      <c r="S99" s="26" t="str">
        <f t="shared" ca="1" si="9"/>
        <v/>
      </c>
      <c r="T99" s="26" t="str">
        <f t="shared" ca="1" si="10"/>
        <v/>
      </c>
      <c r="U99" s="26" t="str">
        <f t="shared" ca="1" si="11"/>
        <v/>
      </c>
      <c r="W99" s="17" t="str">
        <f ca="1">IF($D99="","",OFFSET('(2)出場選手'!$B$2,$A99,W$1))</f>
        <v/>
      </c>
      <c r="X99" s="17" t="str">
        <f ca="1">IF($D99="","",OFFSET('(2)出場選手'!$B$2,$A99,X$1))</f>
        <v/>
      </c>
      <c r="Y99" s="17" t="str">
        <f ca="1">IF($D99="","",OFFSET('(2)出場選手'!$B$2,$A99,Y$1))</f>
        <v/>
      </c>
      <c r="Z99" s="17" t="str">
        <f ca="1">IF($D99="","",OFFSET('(2)出場選手'!$B$2,$A99,Z$1))</f>
        <v/>
      </c>
    </row>
    <row r="100" spans="1:26" x14ac:dyDescent="0.15">
      <c r="A100" s="17">
        <f>TRUNC((ROWS($D$3:D100)-2)/Max_Entry_Count)+1</f>
        <v>33</v>
      </c>
      <c r="B100" s="17" t="str">
        <f ca="1">IF($A100&gt;=ROWS(Entries)-2,"",IF(OFFSET('(2)出場選手'!$B$2,$A100,B$1+3*(MOD(ROWS($D$3:D100)-2,Max_Entry_Count)))="","",MOD(ROWS($D$3:D100)-2,Max_Entry_Count)))</f>
        <v/>
      </c>
      <c r="D100" s="26" t="str">
        <f ca="1">IF(OR($A100&gt;=ROWS(Entries)-2,$B100=""),"",'(1)鑑'!$E$6&amp;"-"&amp;OFFSET('(2)出場選手'!$B$2,$A100,D$1))</f>
        <v/>
      </c>
      <c r="E100" s="26" t="str">
        <f ca="1">IF($D100="","",OFFSET('(2)出場選手'!$B$2,$A100,E$1))</f>
        <v/>
      </c>
      <c r="F100" s="26" t="str">
        <f ca="1">IF($D100="","",IF(OFFSET('(2)出場選手'!$B$2,$A100,F$1)="","",OFFSET('(2)出場選手'!$B$2,$A100,F$1)))</f>
        <v/>
      </c>
      <c r="G100" s="26" t="str">
        <f t="shared" ca="1" si="6"/>
        <v/>
      </c>
      <c r="H100" s="26" t="str">
        <f t="shared" ca="1" si="7"/>
        <v/>
      </c>
      <c r="I100" s="26" t="str">
        <f ca="1">IF($D100="","",IF(OFFSET('(2)出場選手'!$B$2,$A100,I$1)="","",OFFSET('(2)出場選手'!$B$2,$A100,I$1)))</f>
        <v/>
      </c>
      <c r="J100" s="26" t="str">
        <f ca="1">IF($D100="","",IF(OFFSET('(2)出場選手'!$B$2,$A100,J$1)="",'(1)鑑'!$E$6,OFFSET('(2)出場選手'!$B$2,$A100,J$1)))</f>
        <v/>
      </c>
      <c r="K100" s="26" t="str">
        <f ca="1">IF($D100="","",TRIM(ASC(IF(OFFSET('(2)出場選手'!$B$2,$A100,K$1)="",'(1)鑑'!$E$7,OFFSET('(2)出場選手'!$B$2,$A100,K$1)))))</f>
        <v/>
      </c>
      <c r="L100" s="26" t="str">
        <f ca="1">IF($D100="","",SUBSTITUTE(SUBSTITUTE(SUBSTITUTE(IF(OFFSET('(2)出場選手'!$B$2,$A100,L$1)="",'(1)鑑'!$E$8,OFFSET('(2)出場選手'!$B$2,$A100,L$1)),"県",""),"府",""),"東京都","東京"))</f>
        <v/>
      </c>
      <c r="M100" s="57" t="str">
        <f ca="1">IF($D100="","",IF(OFFSET('(2)出場選手'!$B$2,$A100,M$1)="","",OFFSET('(2)出場選手'!$B$2,$A100,M$1)))</f>
        <v/>
      </c>
      <c r="N100" s="26" t="str">
        <f ca="1">IF($D100="","",OFFSET('(2)出場選手'!$B$2,$A100,N$1+3*$B100))</f>
        <v/>
      </c>
      <c r="O100" s="26" t="str">
        <f ca="1">IF($D100="","",IF(OFFSET('(2)出場選手'!$B$2,$A100,O$1+3*$B100)="","",OFFSET('(2)出場選手'!$B$2,$A100,O$1+3*$B100)))</f>
        <v/>
      </c>
      <c r="P100" s="26" t="str">
        <f ca="1">IF($D100="","",IF(OFFSET('(2)出場選手'!$B$2,$A100,P$1+3*$B100)="","",OFFSET('(2)出場選手'!$B$2,$A100,P$1+3*$B100)))</f>
        <v/>
      </c>
      <c r="Q100" s="43" t="str">
        <f ca="1">IF(D100="","",VLOOKUP(N100,OFFSET(Competition_Events,0,1),11,FALSE)*IF($S100="リレー",IF(COUNTIF($T$3:$T100,$T100)&gt;1,0,1),1))</f>
        <v/>
      </c>
      <c r="R100" s="26" t="str">
        <f t="shared" ca="1" si="8"/>
        <v/>
      </c>
      <c r="S100" s="26" t="str">
        <f t="shared" ca="1" si="9"/>
        <v/>
      </c>
      <c r="T100" s="26" t="str">
        <f t="shared" ca="1" si="10"/>
        <v/>
      </c>
      <c r="U100" s="26" t="str">
        <f t="shared" ca="1" si="11"/>
        <v/>
      </c>
      <c r="W100" s="17" t="str">
        <f ca="1">IF($D100="","",OFFSET('(2)出場選手'!$B$2,$A100,W$1))</f>
        <v/>
      </c>
      <c r="X100" s="17" t="str">
        <f ca="1">IF($D100="","",OFFSET('(2)出場選手'!$B$2,$A100,X$1))</f>
        <v/>
      </c>
      <c r="Y100" s="17" t="str">
        <f ca="1">IF($D100="","",OFFSET('(2)出場選手'!$B$2,$A100,Y$1))</f>
        <v/>
      </c>
      <c r="Z100" s="17" t="str">
        <f ca="1">IF($D100="","",OFFSET('(2)出場選手'!$B$2,$A100,Z$1))</f>
        <v/>
      </c>
    </row>
    <row r="101" spans="1:26" x14ac:dyDescent="0.15">
      <c r="A101" s="17">
        <f>TRUNC((ROWS($D$3:D101)-2)/Max_Entry_Count)+1</f>
        <v>33</v>
      </c>
      <c r="B101" s="17" t="str">
        <f ca="1">IF($A101&gt;=ROWS(Entries)-2,"",IF(OFFSET('(2)出場選手'!$B$2,$A101,B$1+3*(MOD(ROWS($D$3:D101)-2,Max_Entry_Count)))="","",MOD(ROWS($D$3:D101)-2,Max_Entry_Count)))</f>
        <v/>
      </c>
      <c r="D101" s="26" t="str">
        <f ca="1">IF(OR($A101&gt;=ROWS(Entries)-2,$B101=""),"",'(1)鑑'!$E$6&amp;"-"&amp;OFFSET('(2)出場選手'!$B$2,$A101,D$1))</f>
        <v/>
      </c>
      <c r="E101" s="26" t="str">
        <f ca="1">IF($D101="","",OFFSET('(2)出場選手'!$B$2,$A101,E$1))</f>
        <v/>
      </c>
      <c r="F101" s="26" t="str">
        <f ca="1">IF($D101="","",IF(OFFSET('(2)出場選手'!$B$2,$A101,F$1)="","",OFFSET('(2)出場選手'!$B$2,$A101,F$1)))</f>
        <v/>
      </c>
      <c r="G101" s="26" t="str">
        <f t="shared" ca="1" si="6"/>
        <v/>
      </c>
      <c r="H101" s="26" t="str">
        <f t="shared" ca="1" si="7"/>
        <v/>
      </c>
      <c r="I101" s="26" t="str">
        <f ca="1">IF($D101="","",IF(OFFSET('(2)出場選手'!$B$2,$A101,I$1)="","",OFFSET('(2)出場選手'!$B$2,$A101,I$1)))</f>
        <v/>
      </c>
      <c r="J101" s="26" t="str">
        <f ca="1">IF($D101="","",IF(OFFSET('(2)出場選手'!$B$2,$A101,J$1)="",'(1)鑑'!$E$6,OFFSET('(2)出場選手'!$B$2,$A101,J$1)))</f>
        <v/>
      </c>
      <c r="K101" s="26" t="str">
        <f ca="1">IF($D101="","",TRIM(ASC(IF(OFFSET('(2)出場選手'!$B$2,$A101,K$1)="",'(1)鑑'!$E$7,OFFSET('(2)出場選手'!$B$2,$A101,K$1)))))</f>
        <v/>
      </c>
      <c r="L101" s="26" t="str">
        <f ca="1">IF($D101="","",SUBSTITUTE(SUBSTITUTE(SUBSTITUTE(IF(OFFSET('(2)出場選手'!$B$2,$A101,L$1)="",'(1)鑑'!$E$8,OFFSET('(2)出場選手'!$B$2,$A101,L$1)),"県",""),"府",""),"東京都","東京"))</f>
        <v/>
      </c>
      <c r="M101" s="57" t="str">
        <f ca="1">IF($D101="","",IF(OFFSET('(2)出場選手'!$B$2,$A101,M$1)="","",OFFSET('(2)出場選手'!$B$2,$A101,M$1)))</f>
        <v/>
      </c>
      <c r="N101" s="26" t="str">
        <f ca="1">IF($D101="","",OFFSET('(2)出場選手'!$B$2,$A101,N$1+3*$B101))</f>
        <v/>
      </c>
      <c r="O101" s="26" t="str">
        <f ca="1">IF($D101="","",IF(OFFSET('(2)出場選手'!$B$2,$A101,O$1+3*$B101)="","",OFFSET('(2)出場選手'!$B$2,$A101,O$1+3*$B101)))</f>
        <v/>
      </c>
      <c r="P101" s="26" t="str">
        <f ca="1">IF($D101="","",IF(OFFSET('(2)出場選手'!$B$2,$A101,P$1+3*$B101)="","",OFFSET('(2)出場選手'!$B$2,$A101,P$1+3*$B101)))</f>
        <v/>
      </c>
      <c r="Q101" s="43" t="str">
        <f ca="1">IF(D101="","",VLOOKUP(N101,OFFSET(Competition_Events,0,1),11,FALSE)*IF($S101="リレー",IF(COUNTIF($T$3:$T101,$T101)&gt;1,0,1),1))</f>
        <v/>
      </c>
      <c r="R101" s="26" t="str">
        <f t="shared" ca="1" si="8"/>
        <v/>
      </c>
      <c r="S101" s="26" t="str">
        <f t="shared" ca="1" si="9"/>
        <v/>
      </c>
      <c r="T101" s="26" t="str">
        <f t="shared" ca="1" si="10"/>
        <v/>
      </c>
      <c r="U101" s="26" t="str">
        <f t="shared" ca="1" si="11"/>
        <v/>
      </c>
      <c r="W101" s="17" t="str">
        <f ca="1">IF($D101="","",OFFSET('(2)出場選手'!$B$2,$A101,W$1))</f>
        <v/>
      </c>
      <c r="X101" s="17" t="str">
        <f ca="1">IF($D101="","",OFFSET('(2)出場選手'!$B$2,$A101,X$1))</f>
        <v/>
      </c>
      <c r="Y101" s="17" t="str">
        <f ca="1">IF($D101="","",OFFSET('(2)出場選手'!$B$2,$A101,Y$1))</f>
        <v/>
      </c>
      <c r="Z101" s="17" t="str">
        <f ca="1">IF($D101="","",OFFSET('(2)出場選手'!$B$2,$A101,Z$1))</f>
        <v/>
      </c>
    </row>
    <row r="102" spans="1:26" x14ac:dyDescent="0.15">
      <c r="A102" s="17">
        <f>TRUNC((ROWS($D$3:D102)-2)/Max_Entry_Count)+1</f>
        <v>33</v>
      </c>
      <c r="B102" s="17" t="str">
        <f ca="1">IF($A102&gt;=ROWS(Entries)-2,"",IF(OFFSET('(2)出場選手'!$B$2,$A102,B$1+3*(MOD(ROWS($D$3:D102)-2,Max_Entry_Count)))="","",MOD(ROWS($D$3:D102)-2,Max_Entry_Count)))</f>
        <v/>
      </c>
      <c r="D102" s="26" t="str">
        <f ca="1">IF(OR($A102&gt;=ROWS(Entries)-2,$B102=""),"",'(1)鑑'!$E$6&amp;"-"&amp;OFFSET('(2)出場選手'!$B$2,$A102,D$1))</f>
        <v/>
      </c>
      <c r="E102" s="26" t="str">
        <f ca="1">IF($D102="","",OFFSET('(2)出場選手'!$B$2,$A102,E$1))</f>
        <v/>
      </c>
      <c r="F102" s="26" t="str">
        <f ca="1">IF($D102="","",IF(OFFSET('(2)出場選手'!$B$2,$A102,F$1)="","",OFFSET('(2)出場選手'!$B$2,$A102,F$1)))</f>
        <v/>
      </c>
      <c r="G102" s="26" t="str">
        <f t="shared" ca="1" si="6"/>
        <v/>
      </c>
      <c r="H102" s="26" t="str">
        <f t="shared" ca="1" si="7"/>
        <v/>
      </c>
      <c r="I102" s="26" t="str">
        <f ca="1">IF($D102="","",IF(OFFSET('(2)出場選手'!$B$2,$A102,I$1)="","",OFFSET('(2)出場選手'!$B$2,$A102,I$1)))</f>
        <v/>
      </c>
      <c r="J102" s="26" t="str">
        <f ca="1">IF($D102="","",IF(OFFSET('(2)出場選手'!$B$2,$A102,J$1)="",'(1)鑑'!$E$6,OFFSET('(2)出場選手'!$B$2,$A102,J$1)))</f>
        <v/>
      </c>
      <c r="K102" s="26" t="str">
        <f ca="1">IF($D102="","",TRIM(ASC(IF(OFFSET('(2)出場選手'!$B$2,$A102,K$1)="",'(1)鑑'!$E$7,OFFSET('(2)出場選手'!$B$2,$A102,K$1)))))</f>
        <v/>
      </c>
      <c r="L102" s="26" t="str">
        <f ca="1">IF($D102="","",SUBSTITUTE(SUBSTITUTE(SUBSTITUTE(IF(OFFSET('(2)出場選手'!$B$2,$A102,L$1)="",'(1)鑑'!$E$8,OFFSET('(2)出場選手'!$B$2,$A102,L$1)),"県",""),"府",""),"東京都","東京"))</f>
        <v/>
      </c>
      <c r="M102" s="57" t="str">
        <f ca="1">IF($D102="","",IF(OFFSET('(2)出場選手'!$B$2,$A102,M$1)="","",OFFSET('(2)出場選手'!$B$2,$A102,M$1)))</f>
        <v/>
      </c>
      <c r="N102" s="26" t="str">
        <f ca="1">IF($D102="","",OFFSET('(2)出場選手'!$B$2,$A102,N$1+3*$B102))</f>
        <v/>
      </c>
      <c r="O102" s="26" t="str">
        <f ca="1">IF($D102="","",IF(OFFSET('(2)出場選手'!$B$2,$A102,O$1+3*$B102)="","",OFFSET('(2)出場選手'!$B$2,$A102,O$1+3*$B102)))</f>
        <v/>
      </c>
      <c r="P102" s="26" t="str">
        <f ca="1">IF($D102="","",IF(OFFSET('(2)出場選手'!$B$2,$A102,P$1+3*$B102)="","",OFFSET('(2)出場選手'!$B$2,$A102,P$1+3*$B102)))</f>
        <v/>
      </c>
      <c r="Q102" s="43" t="str">
        <f ca="1">IF(D102="","",VLOOKUP(N102,OFFSET(Competition_Events,0,1),11,FALSE)*IF($S102="リレー",IF(COUNTIF($T$3:$T102,$T102)&gt;1,0,1),1))</f>
        <v/>
      </c>
      <c r="R102" s="26" t="str">
        <f t="shared" ca="1" si="8"/>
        <v/>
      </c>
      <c r="S102" s="26" t="str">
        <f t="shared" ca="1" si="9"/>
        <v/>
      </c>
      <c r="T102" s="26" t="str">
        <f t="shared" ca="1" si="10"/>
        <v/>
      </c>
      <c r="U102" s="26" t="str">
        <f t="shared" ca="1" si="11"/>
        <v/>
      </c>
      <c r="W102" s="17" t="str">
        <f ca="1">IF($D102="","",OFFSET('(2)出場選手'!$B$2,$A102,W$1))</f>
        <v/>
      </c>
      <c r="X102" s="17" t="str">
        <f ca="1">IF($D102="","",OFFSET('(2)出場選手'!$B$2,$A102,X$1))</f>
        <v/>
      </c>
      <c r="Y102" s="17" t="str">
        <f ca="1">IF($D102="","",OFFSET('(2)出場選手'!$B$2,$A102,Y$1))</f>
        <v/>
      </c>
      <c r="Z102" s="17" t="str">
        <f ca="1">IF($D102="","",OFFSET('(2)出場選手'!$B$2,$A102,Z$1))</f>
        <v/>
      </c>
    </row>
    <row r="103" spans="1:26" x14ac:dyDescent="0.15">
      <c r="A103" s="17">
        <f>TRUNC((ROWS($D$3:D103)-2)/Max_Entry_Count)+1</f>
        <v>34</v>
      </c>
      <c r="B103" s="17" t="str">
        <f ca="1">IF($A103&gt;=ROWS(Entries)-2,"",IF(OFFSET('(2)出場選手'!$B$2,$A103,B$1+3*(MOD(ROWS($D$3:D103)-2,Max_Entry_Count)))="","",MOD(ROWS($D$3:D103)-2,Max_Entry_Count)))</f>
        <v/>
      </c>
      <c r="D103" s="26" t="str">
        <f ca="1">IF(OR($A103&gt;=ROWS(Entries)-2,$B103=""),"",'(1)鑑'!$E$6&amp;"-"&amp;OFFSET('(2)出場選手'!$B$2,$A103,D$1))</f>
        <v/>
      </c>
      <c r="E103" s="26" t="str">
        <f ca="1">IF($D103="","",OFFSET('(2)出場選手'!$B$2,$A103,E$1))</f>
        <v/>
      </c>
      <c r="F103" s="26" t="str">
        <f ca="1">IF($D103="","",IF(OFFSET('(2)出場選手'!$B$2,$A103,F$1)="","",OFFSET('(2)出場選手'!$B$2,$A103,F$1)))</f>
        <v/>
      </c>
      <c r="G103" s="26" t="str">
        <f t="shared" ca="1" si="6"/>
        <v/>
      </c>
      <c r="H103" s="26" t="str">
        <f t="shared" ca="1" si="7"/>
        <v/>
      </c>
      <c r="I103" s="26" t="str">
        <f ca="1">IF($D103="","",IF(OFFSET('(2)出場選手'!$B$2,$A103,I$1)="","",OFFSET('(2)出場選手'!$B$2,$A103,I$1)))</f>
        <v/>
      </c>
      <c r="J103" s="26" t="str">
        <f ca="1">IF($D103="","",IF(OFFSET('(2)出場選手'!$B$2,$A103,J$1)="",'(1)鑑'!$E$6,OFFSET('(2)出場選手'!$B$2,$A103,J$1)))</f>
        <v/>
      </c>
      <c r="K103" s="26" t="str">
        <f ca="1">IF($D103="","",TRIM(ASC(IF(OFFSET('(2)出場選手'!$B$2,$A103,K$1)="",'(1)鑑'!$E$7,OFFSET('(2)出場選手'!$B$2,$A103,K$1)))))</f>
        <v/>
      </c>
      <c r="L103" s="26" t="str">
        <f ca="1">IF($D103="","",SUBSTITUTE(SUBSTITUTE(SUBSTITUTE(IF(OFFSET('(2)出場選手'!$B$2,$A103,L$1)="",'(1)鑑'!$E$8,OFFSET('(2)出場選手'!$B$2,$A103,L$1)),"県",""),"府",""),"東京都","東京"))</f>
        <v/>
      </c>
      <c r="M103" s="57" t="str">
        <f ca="1">IF($D103="","",IF(OFFSET('(2)出場選手'!$B$2,$A103,M$1)="","",OFFSET('(2)出場選手'!$B$2,$A103,M$1)))</f>
        <v/>
      </c>
      <c r="N103" s="26" t="str">
        <f ca="1">IF($D103="","",OFFSET('(2)出場選手'!$B$2,$A103,N$1+3*$B103))</f>
        <v/>
      </c>
      <c r="O103" s="26" t="str">
        <f ca="1">IF($D103="","",IF(OFFSET('(2)出場選手'!$B$2,$A103,O$1+3*$B103)="","",OFFSET('(2)出場選手'!$B$2,$A103,O$1+3*$B103)))</f>
        <v/>
      </c>
      <c r="P103" s="26" t="str">
        <f ca="1">IF($D103="","",IF(OFFSET('(2)出場選手'!$B$2,$A103,P$1+3*$B103)="","",OFFSET('(2)出場選手'!$B$2,$A103,P$1+3*$B103)))</f>
        <v/>
      </c>
      <c r="Q103" s="43" t="str">
        <f ca="1">IF(D103="","",VLOOKUP(N103,OFFSET(Competition_Events,0,1),11,FALSE)*IF($S103="リレー",IF(COUNTIF($T$3:$T103,$T103)&gt;1,0,1),1))</f>
        <v/>
      </c>
      <c r="R103" s="26" t="str">
        <f t="shared" ca="1" si="8"/>
        <v/>
      </c>
      <c r="S103" s="26" t="str">
        <f t="shared" ca="1" si="9"/>
        <v/>
      </c>
      <c r="T103" s="26" t="str">
        <f t="shared" ca="1" si="10"/>
        <v/>
      </c>
      <c r="U103" s="26" t="str">
        <f t="shared" ca="1" si="11"/>
        <v/>
      </c>
      <c r="W103" s="17" t="str">
        <f ca="1">IF($D103="","",OFFSET('(2)出場選手'!$B$2,$A103,W$1))</f>
        <v/>
      </c>
      <c r="X103" s="17" t="str">
        <f ca="1">IF($D103="","",OFFSET('(2)出場選手'!$B$2,$A103,X$1))</f>
        <v/>
      </c>
      <c r="Y103" s="17" t="str">
        <f ca="1">IF($D103="","",OFFSET('(2)出場選手'!$B$2,$A103,Y$1))</f>
        <v/>
      </c>
      <c r="Z103" s="17" t="str">
        <f ca="1">IF($D103="","",OFFSET('(2)出場選手'!$B$2,$A103,Z$1))</f>
        <v/>
      </c>
    </row>
    <row r="104" spans="1:26" x14ac:dyDescent="0.15">
      <c r="A104" s="17">
        <f>TRUNC((ROWS($D$3:D104)-2)/Max_Entry_Count)+1</f>
        <v>34</v>
      </c>
      <c r="B104" s="17" t="str">
        <f ca="1">IF($A104&gt;=ROWS(Entries)-2,"",IF(OFFSET('(2)出場選手'!$B$2,$A104,B$1+3*(MOD(ROWS($D$3:D104)-2,Max_Entry_Count)))="","",MOD(ROWS($D$3:D104)-2,Max_Entry_Count)))</f>
        <v/>
      </c>
      <c r="D104" s="26" t="str">
        <f ca="1">IF(OR($A104&gt;=ROWS(Entries)-2,$B104=""),"",'(1)鑑'!$E$6&amp;"-"&amp;OFFSET('(2)出場選手'!$B$2,$A104,D$1))</f>
        <v/>
      </c>
      <c r="E104" s="26" t="str">
        <f ca="1">IF($D104="","",OFFSET('(2)出場選手'!$B$2,$A104,E$1))</f>
        <v/>
      </c>
      <c r="F104" s="26" t="str">
        <f ca="1">IF($D104="","",IF(OFFSET('(2)出場選手'!$B$2,$A104,F$1)="","",OFFSET('(2)出場選手'!$B$2,$A104,F$1)))</f>
        <v/>
      </c>
      <c r="G104" s="26" t="str">
        <f t="shared" ca="1" si="6"/>
        <v/>
      </c>
      <c r="H104" s="26" t="str">
        <f t="shared" ca="1" si="7"/>
        <v/>
      </c>
      <c r="I104" s="26" t="str">
        <f ca="1">IF($D104="","",IF(OFFSET('(2)出場選手'!$B$2,$A104,I$1)="","",OFFSET('(2)出場選手'!$B$2,$A104,I$1)))</f>
        <v/>
      </c>
      <c r="J104" s="26" t="str">
        <f ca="1">IF($D104="","",IF(OFFSET('(2)出場選手'!$B$2,$A104,J$1)="",'(1)鑑'!$E$6,OFFSET('(2)出場選手'!$B$2,$A104,J$1)))</f>
        <v/>
      </c>
      <c r="K104" s="26" t="str">
        <f ca="1">IF($D104="","",TRIM(ASC(IF(OFFSET('(2)出場選手'!$B$2,$A104,K$1)="",'(1)鑑'!$E$7,OFFSET('(2)出場選手'!$B$2,$A104,K$1)))))</f>
        <v/>
      </c>
      <c r="L104" s="26" t="str">
        <f ca="1">IF($D104="","",SUBSTITUTE(SUBSTITUTE(SUBSTITUTE(IF(OFFSET('(2)出場選手'!$B$2,$A104,L$1)="",'(1)鑑'!$E$8,OFFSET('(2)出場選手'!$B$2,$A104,L$1)),"県",""),"府",""),"東京都","東京"))</f>
        <v/>
      </c>
      <c r="M104" s="57" t="str">
        <f ca="1">IF($D104="","",IF(OFFSET('(2)出場選手'!$B$2,$A104,M$1)="","",OFFSET('(2)出場選手'!$B$2,$A104,M$1)))</f>
        <v/>
      </c>
      <c r="N104" s="26" t="str">
        <f ca="1">IF($D104="","",OFFSET('(2)出場選手'!$B$2,$A104,N$1+3*$B104))</f>
        <v/>
      </c>
      <c r="O104" s="26" t="str">
        <f ca="1">IF($D104="","",IF(OFFSET('(2)出場選手'!$B$2,$A104,O$1+3*$B104)="","",OFFSET('(2)出場選手'!$B$2,$A104,O$1+3*$B104)))</f>
        <v/>
      </c>
      <c r="P104" s="26" t="str">
        <f ca="1">IF($D104="","",IF(OFFSET('(2)出場選手'!$B$2,$A104,P$1+3*$B104)="","",OFFSET('(2)出場選手'!$B$2,$A104,P$1+3*$B104)))</f>
        <v/>
      </c>
      <c r="Q104" s="43" t="str">
        <f ca="1">IF(D104="","",VLOOKUP(N104,OFFSET(Competition_Events,0,1),11,FALSE)*IF($S104="リレー",IF(COUNTIF($T$3:$T104,$T104)&gt;1,0,1),1))</f>
        <v/>
      </c>
      <c r="R104" s="26" t="str">
        <f t="shared" ca="1" si="8"/>
        <v/>
      </c>
      <c r="S104" s="26" t="str">
        <f t="shared" ca="1" si="9"/>
        <v/>
      </c>
      <c r="T104" s="26" t="str">
        <f t="shared" ca="1" si="10"/>
        <v/>
      </c>
      <c r="U104" s="26" t="str">
        <f t="shared" ca="1" si="11"/>
        <v/>
      </c>
      <c r="W104" s="17" t="str">
        <f ca="1">IF($D104="","",OFFSET('(2)出場選手'!$B$2,$A104,W$1))</f>
        <v/>
      </c>
      <c r="X104" s="17" t="str">
        <f ca="1">IF($D104="","",OFFSET('(2)出場選手'!$B$2,$A104,X$1))</f>
        <v/>
      </c>
      <c r="Y104" s="17" t="str">
        <f ca="1">IF($D104="","",OFFSET('(2)出場選手'!$B$2,$A104,Y$1))</f>
        <v/>
      </c>
      <c r="Z104" s="17" t="str">
        <f ca="1">IF($D104="","",OFFSET('(2)出場選手'!$B$2,$A104,Z$1))</f>
        <v/>
      </c>
    </row>
    <row r="105" spans="1:26" x14ac:dyDescent="0.15">
      <c r="A105" s="17">
        <f>TRUNC((ROWS($D$3:D105)-2)/Max_Entry_Count)+1</f>
        <v>34</v>
      </c>
      <c r="B105" s="17" t="str">
        <f ca="1">IF($A105&gt;=ROWS(Entries)-2,"",IF(OFFSET('(2)出場選手'!$B$2,$A105,B$1+3*(MOD(ROWS($D$3:D105)-2,Max_Entry_Count)))="","",MOD(ROWS($D$3:D105)-2,Max_Entry_Count)))</f>
        <v/>
      </c>
      <c r="D105" s="26" t="str">
        <f ca="1">IF(OR($A105&gt;=ROWS(Entries)-2,$B105=""),"",'(1)鑑'!$E$6&amp;"-"&amp;OFFSET('(2)出場選手'!$B$2,$A105,D$1))</f>
        <v/>
      </c>
      <c r="E105" s="26" t="str">
        <f ca="1">IF($D105="","",OFFSET('(2)出場選手'!$B$2,$A105,E$1))</f>
        <v/>
      </c>
      <c r="F105" s="26" t="str">
        <f ca="1">IF($D105="","",IF(OFFSET('(2)出場選手'!$B$2,$A105,F$1)="","",OFFSET('(2)出場選手'!$B$2,$A105,F$1)))</f>
        <v/>
      </c>
      <c r="G105" s="26" t="str">
        <f t="shared" ca="1" si="6"/>
        <v/>
      </c>
      <c r="H105" s="26" t="str">
        <f t="shared" ca="1" si="7"/>
        <v/>
      </c>
      <c r="I105" s="26" t="str">
        <f ca="1">IF($D105="","",IF(OFFSET('(2)出場選手'!$B$2,$A105,I$1)="","",OFFSET('(2)出場選手'!$B$2,$A105,I$1)))</f>
        <v/>
      </c>
      <c r="J105" s="26" t="str">
        <f ca="1">IF($D105="","",IF(OFFSET('(2)出場選手'!$B$2,$A105,J$1)="",'(1)鑑'!$E$6,OFFSET('(2)出場選手'!$B$2,$A105,J$1)))</f>
        <v/>
      </c>
      <c r="K105" s="26" t="str">
        <f ca="1">IF($D105="","",TRIM(ASC(IF(OFFSET('(2)出場選手'!$B$2,$A105,K$1)="",'(1)鑑'!$E$7,OFFSET('(2)出場選手'!$B$2,$A105,K$1)))))</f>
        <v/>
      </c>
      <c r="L105" s="26" t="str">
        <f ca="1">IF($D105="","",SUBSTITUTE(SUBSTITUTE(SUBSTITUTE(IF(OFFSET('(2)出場選手'!$B$2,$A105,L$1)="",'(1)鑑'!$E$8,OFFSET('(2)出場選手'!$B$2,$A105,L$1)),"県",""),"府",""),"東京都","東京"))</f>
        <v/>
      </c>
      <c r="M105" s="57" t="str">
        <f ca="1">IF($D105="","",IF(OFFSET('(2)出場選手'!$B$2,$A105,M$1)="","",OFFSET('(2)出場選手'!$B$2,$A105,M$1)))</f>
        <v/>
      </c>
      <c r="N105" s="26" t="str">
        <f ca="1">IF($D105="","",OFFSET('(2)出場選手'!$B$2,$A105,N$1+3*$B105))</f>
        <v/>
      </c>
      <c r="O105" s="26" t="str">
        <f ca="1">IF($D105="","",IF(OFFSET('(2)出場選手'!$B$2,$A105,O$1+3*$B105)="","",OFFSET('(2)出場選手'!$B$2,$A105,O$1+3*$B105)))</f>
        <v/>
      </c>
      <c r="P105" s="26" t="str">
        <f ca="1">IF($D105="","",IF(OFFSET('(2)出場選手'!$B$2,$A105,P$1+3*$B105)="","",OFFSET('(2)出場選手'!$B$2,$A105,P$1+3*$B105)))</f>
        <v/>
      </c>
      <c r="Q105" s="43" t="str">
        <f ca="1">IF(D105="","",VLOOKUP(N105,OFFSET(Competition_Events,0,1),11,FALSE)*IF($S105="リレー",IF(COUNTIF($T$3:$T105,$T105)&gt;1,0,1),1))</f>
        <v/>
      </c>
      <c r="R105" s="26" t="str">
        <f t="shared" ca="1" si="8"/>
        <v/>
      </c>
      <c r="S105" s="26" t="str">
        <f t="shared" ca="1" si="9"/>
        <v/>
      </c>
      <c r="T105" s="26" t="str">
        <f t="shared" ca="1" si="10"/>
        <v/>
      </c>
      <c r="U105" s="26" t="str">
        <f t="shared" ca="1" si="11"/>
        <v/>
      </c>
      <c r="W105" s="17" t="str">
        <f ca="1">IF($D105="","",OFFSET('(2)出場選手'!$B$2,$A105,W$1))</f>
        <v/>
      </c>
      <c r="X105" s="17" t="str">
        <f ca="1">IF($D105="","",OFFSET('(2)出場選手'!$B$2,$A105,X$1))</f>
        <v/>
      </c>
      <c r="Y105" s="17" t="str">
        <f ca="1">IF($D105="","",OFFSET('(2)出場選手'!$B$2,$A105,Y$1))</f>
        <v/>
      </c>
      <c r="Z105" s="17" t="str">
        <f ca="1">IF($D105="","",OFFSET('(2)出場選手'!$B$2,$A105,Z$1))</f>
        <v/>
      </c>
    </row>
    <row r="106" spans="1:26" x14ac:dyDescent="0.15">
      <c r="A106" s="17">
        <f>TRUNC((ROWS($D$3:D106)-2)/Max_Entry_Count)+1</f>
        <v>35</v>
      </c>
      <c r="B106" s="17" t="str">
        <f ca="1">IF($A106&gt;=ROWS(Entries)-2,"",IF(OFFSET('(2)出場選手'!$B$2,$A106,B$1+3*(MOD(ROWS($D$3:D106)-2,Max_Entry_Count)))="","",MOD(ROWS($D$3:D106)-2,Max_Entry_Count)))</f>
        <v/>
      </c>
      <c r="D106" s="26" t="str">
        <f ca="1">IF(OR($A106&gt;=ROWS(Entries)-2,$B106=""),"",'(1)鑑'!$E$6&amp;"-"&amp;OFFSET('(2)出場選手'!$B$2,$A106,D$1))</f>
        <v/>
      </c>
      <c r="E106" s="26" t="str">
        <f ca="1">IF($D106="","",OFFSET('(2)出場選手'!$B$2,$A106,E$1))</f>
        <v/>
      </c>
      <c r="F106" s="26" t="str">
        <f ca="1">IF($D106="","",IF(OFFSET('(2)出場選手'!$B$2,$A106,F$1)="","",OFFSET('(2)出場選手'!$B$2,$A106,F$1)))</f>
        <v/>
      </c>
      <c r="G106" s="26" t="str">
        <f t="shared" ca="1" si="6"/>
        <v/>
      </c>
      <c r="H106" s="26" t="str">
        <f t="shared" ca="1" si="7"/>
        <v/>
      </c>
      <c r="I106" s="26" t="str">
        <f ca="1">IF($D106="","",IF(OFFSET('(2)出場選手'!$B$2,$A106,I$1)="","",OFFSET('(2)出場選手'!$B$2,$A106,I$1)))</f>
        <v/>
      </c>
      <c r="J106" s="26" t="str">
        <f ca="1">IF($D106="","",IF(OFFSET('(2)出場選手'!$B$2,$A106,J$1)="",'(1)鑑'!$E$6,OFFSET('(2)出場選手'!$B$2,$A106,J$1)))</f>
        <v/>
      </c>
      <c r="K106" s="26" t="str">
        <f ca="1">IF($D106="","",TRIM(ASC(IF(OFFSET('(2)出場選手'!$B$2,$A106,K$1)="",'(1)鑑'!$E$7,OFFSET('(2)出場選手'!$B$2,$A106,K$1)))))</f>
        <v/>
      </c>
      <c r="L106" s="26" t="str">
        <f ca="1">IF($D106="","",SUBSTITUTE(SUBSTITUTE(SUBSTITUTE(IF(OFFSET('(2)出場選手'!$B$2,$A106,L$1)="",'(1)鑑'!$E$8,OFFSET('(2)出場選手'!$B$2,$A106,L$1)),"県",""),"府",""),"東京都","東京"))</f>
        <v/>
      </c>
      <c r="M106" s="57" t="str">
        <f ca="1">IF($D106="","",IF(OFFSET('(2)出場選手'!$B$2,$A106,M$1)="","",OFFSET('(2)出場選手'!$B$2,$A106,M$1)))</f>
        <v/>
      </c>
      <c r="N106" s="26" t="str">
        <f ca="1">IF($D106="","",OFFSET('(2)出場選手'!$B$2,$A106,N$1+3*$B106))</f>
        <v/>
      </c>
      <c r="O106" s="26" t="str">
        <f ca="1">IF($D106="","",IF(OFFSET('(2)出場選手'!$B$2,$A106,O$1+3*$B106)="","",OFFSET('(2)出場選手'!$B$2,$A106,O$1+3*$B106)))</f>
        <v/>
      </c>
      <c r="P106" s="26" t="str">
        <f ca="1">IF($D106="","",IF(OFFSET('(2)出場選手'!$B$2,$A106,P$1+3*$B106)="","",OFFSET('(2)出場選手'!$B$2,$A106,P$1+3*$B106)))</f>
        <v/>
      </c>
      <c r="Q106" s="43" t="str">
        <f ca="1">IF(D106="","",VLOOKUP(N106,OFFSET(Competition_Events,0,1),11,FALSE)*IF($S106="リレー",IF(COUNTIF($T$3:$T106,$T106)&gt;1,0,1),1))</f>
        <v/>
      </c>
      <c r="R106" s="26" t="str">
        <f t="shared" ca="1" si="8"/>
        <v/>
      </c>
      <c r="S106" s="26" t="str">
        <f t="shared" ca="1" si="9"/>
        <v/>
      </c>
      <c r="T106" s="26" t="str">
        <f t="shared" ca="1" si="10"/>
        <v/>
      </c>
      <c r="U106" s="26" t="str">
        <f t="shared" ca="1" si="11"/>
        <v/>
      </c>
      <c r="W106" s="17" t="str">
        <f ca="1">IF($D106="","",OFFSET('(2)出場選手'!$B$2,$A106,W$1))</f>
        <v/>
      </c>
      <c r="X106" s="17" t="str">
        <f ca="1">IF($D106="","",OFFSET('(2)出場選手'!$B$2,$A106,X$1))</f>
        <v/>
      </c>
      <c r="Y106" s="17" t="str">
        <f ca="1">IF($D106="","",OFFSET('(2)出場選手'!$B$2,$A106,Y$1))</f>
        <v/>
      </c>
      <c r="Z106" s="17" t="str">
        <f ca="1">IF($D106="","",OFFSET('(2)出場選手'!$B$2,$A106,Z$1))</f>
        <v/>
      </c>
    </row>
    <row r="107" spans="1:26" x14ac:dyDescent="0.15">
      <c r="A107" s="17">
        <f>TRUNC((ROWS($D$3:D107)-2)/Max_Entry_Count)+1</f>
        <v>35</v>
      </c>
      <c r="B107" s="17" t="str">
        <f ca="1">IF($A107&gt;=ROWS(Entries)-2,"",IF(OFFSET('(2)出場選手'!$B$2,$A107,B$1+3*(MOD(ROWS($D$3:D107)-2,Max_Entry_Count)))="","",MOD(ROWS($D$3:D107)-2,Max_Entry_Count)))</f>
        <v/>
      </c>
      <c r="D107" s="26" t="str">
        <f ca="1">IF(OR($A107&gt;=ROWS(Entries)-2,$B107=""),"",'(1)鑑'!$E$6&amp;"-"&amp;OFFSET('(2)出場選手'!$B$2,$A107,D$1))</f>
        <v/>
      </c>
      <c r="E107" s="26" t="str">
        <f ca="1">IF($D107="","",OFFSET('(2)出場選手'!$B$2,$A107,E$1))</f>
        <v/>
      </c>
      <c r="F107" s="26" t="str">
        <f ca="1">IF($D107="","",IF(OFFSET('(2)出場選手'!$B$2,$A107,F$1)="","",OFFSET('(2)出場選手'!$B$2,$A107,F$1)))</f>
        <v/>
      </c>
      <c r="G107" s="26" t="str">
        <f t="shared" ca="1" si="6"/>
        <v/>
      </c>
      <c r="H107" s="26" t="str">
        <f t="shared" ca="1" si="7"/>
        <v/>
      </c>
      <c r="I107" s="26" t="str">
        <f ca="1">IF($D107="","",IF(OFFSET('(2)出場選手'!$B$2,$A107,I$1)="","",OFFSET('(2)出場選手'!$B$2,$A107,I$1)))</f>
        <v/>
      </c>
      <c r="J107" s="26" t="str">
        <f ca="1">IF($D107="","",IF(OFFSET('(2)出場選手'!$B$2,$A107,J$1)="",'(1)鑑'!$E$6,OFFSET('(2)出場選手'!$B$2,$A107,J$1)))</f>
        <v/>
      </c>
      <c r="K107" s="26" t="str">
        <f ca="1">IF($D107="","",TRIM(ASC(IF(OFFSET('(2)出場選手'!$B$2,$A107,K$1)="",'(1)鑑'!$E$7,OFFSET('(2)出場選手'!$B$2,$A107,K$1)))))</f>
        <v/>
      </c>
      <c r="L107" s="26" t="str">
        <f ca="1">IF($D107="","",SUBSTITUTE(SUBSTITUTE(SUBSTITUTE(IF(OFFSET('(2)出場選手'!$B$2,$A107,L$1)="",'(1)鑑'!$E$8,OFFSET('(2)出場選手'!$B$2,$A107,L$1)),"県",""),"府",""),"東京都","東京"))</f>
        <v/>
      </c>
      <c r="M107" s="57" t="str">
        <f ca="1">IF($D107="","",IF(OFFSET('(2)出場選手'!$B$2,$A107,M$1)="","",OFFSET('(2)出場選手'!$B$2,$A107,M$1)))</f>
        <v/>
      </c>
      <c r="N107" s="26" t="str">
        <f ca="1">IF($D107="","",OFFSET('(2)出場選手'!$B$2,$A107,N$1+3*$B107))</f>
        <v/>
      </c>
      <c r="O107" s="26" t="str">
        <f ca="1">IF($D107="","",IF(OFFSET('(2)出場選手'!$B$2,$A107,O$1+3*$B107)="","",OFFSET('(2)出場選手'!$B$2,$A107,O$1+3*$B107)))</f>
        <v/>
      </c>
      <c r="P107" s="26" t="str">
        <f ca="1">IF($D107="","",IF(OFFSET('(2)出場選手'!$B$2,$A107,P$1+3*$B107)="","",OFFSET('(2)出場選手'!$B$2,$A107,P$1+3*$B107)))</f>
        <v/>
      </c>
      <c r="Q107" s="43" t="str">
        <f ca="1">IF(D107="","",VLOOKUP(N107,OFFSET(Competition_Events,0,1),11,FALSE)*IF($S107="リレー",IF(COUNTIF($T$3:$T107,$T107)&gt;1,0,1),1))</f>
        <v/>
      </c>
      <c r="R107" s="26" t="str">
        <f t="shared" ca="1" si="8"/>
        <v/>
      </c>
      <c r="S107" s="26" t="str">
        <f t="shared" ca="1" si="9"/>
        <v/>
      </c>
      <c r="T107" s="26" t="str">
        <f t="shared" ca="1" si="10"/>
        <v/>
      </c>
      <c r="U107" s="26" t="str">
        <f t="shared" ca="1" si="11"/>
        <v/>
      </c>
      <c r="W107" s="17" t="str">
        <f ca="1">IF($D107="","",OFFSET('(2)出場選手'!$B$2,$A107,W$1))</f>
        <v/>
      </c>
      <c r="X107" s="17" t="str">
        <f ca="1">IF($D107="","",OFFSET('(2)出場選手'!$B$2,$A107,X$1))</f>
        <v/>
      </c>
      <c r="Y107" s="17" t="str">
        <f ca="1">IF($D107="","",OFFSET('(2)出場選手'!$B$2,$A107,Y$1))</f>
        <v/>
      </c>
      <c r="Z107" s="17" t="str">
        <f ca="1">IF($D107="","",OFFSET('(2)出場選手'!$B$2,$A107,Z$1))</f>
        <v/>
      </c>
    </row>
    <row r="108" spans="1:26" x14ac:dyDescent="0.15">
      <c r="A108" s="17">
        <f>TRUNC((ROWS($D$3:D108)-2)/Max_Entry_Count)+1</f>
        <v>35</v>
      </c>
      <c r="B108" s="17" t="str">
        <f ca="1">IF($A108&gt;=ROWS(Entries)-2,"",IF(OFFSET('(2)出場選手'!$B$2,$A108,B$1+3*(MOD(ROWS($D$3:D108)-2,Max_Entry_Count)))="","",MOD(ROWS($D$3:D108)-2,Max_Entry_Count)))</f>
        <v/>
      </c>
      <c r="D108" s="26" t="str">
        <f ca="1">IF(OR($A108&gt;=ROWS(Entries)-2,$B108=""),"",'(1)鑑'!$E$6&amp;"-"&amp;OFFSET('(2)出場選手'!$B$2,$A108,D$1))</f>
        <v/>
      </c>
      <c r="E108" s="26" t="str">
        <f ca="1">IF($D108="","",OFFSET('(2)出場選手'!$B$2,$A108,E$1))</f>
        <v/>
      </c>
      <c r="F108" s="26" t="str">
        <f ca="1">IF($D108="","",IF(OFFSET('(2)出場選手'!$B$2,$A108,F$1)="","",OFFSET('(2)出場選手'!$B$2,$A108,F$1)))</f>
        <v/>
      </c>
      <c r="G108" s="26" t="str">
        <f t="shared" ca="1" si="6"/>
        <v/>
      </c>
      <c r="H108" s="26" t="str">
        <f t="shared" ca="1" si="7"/>
        <v/>
      </c>
      <c r="I108" s="26" t="str">
        <f ca="1">IF($D108="","",IF(OFFSET('(2)出場選手'!$B$2,$A108,I$1)="","",OFFSET('(2)出場選手'!$B$2,$A108,I$1)))</f>
        <v/>
      </c>
      <c r="J108" s="26" t="str">
        <f ca="1">IF($D108="","",IF(OFFSET('(2)出場選手'!$B$2,$A108,J$1)="",'(1)鑑'!$E$6,OFFSET('(2)出場選手'!$B$2,$A108,J$1)))</f>
        <v/>
      </c>
      <c r="K108" s="26" t="str">
        <f ca="1">IF($D108="","",TRIM(ASC(IF(OFFSET('(2)出場選手'!$B$2,$A108,K$1)="",'(1)鑑'!$E$7,OFFSET('(2)出場選手'!$B$2,$A108,K$1)))))</f>
        <v/>
      </c>
      <c r="L108" s="26" t="str">
        <f ca="1">IF($D108="","",SUBSTITUTE(SUBSTITUTE(SUBSTITUTE(IF(OFFSET('(2)出場選手'!$B$2,$A108,L$1)="",'(1)鑑'!$E$8,OFFSET('(2)出場選手'!$B$2,$A108,L$1)),"県",""),"府",""),"東京都","東京"))</f>
        <v/>
      </c>
      <c r="M108" s="57" t="str">
        <f ca="1">IF($D108="","",IF(OFFSET('(2)出場選手'!$B$2,$A108,M$1)="","",OFFSET('(2)出場選手'!$B$2,$A108,M$1)))</f>
        <v/>
      </c>
      <c r="N108" s="26" t="str">
        <f ca="1">IF($D108="","",OFFSET('(2)出場選手'!$B$2,$A108,N$1+3*$B108))</f>
        <v/>
      </c>
      <c r="O108" s="26" t="str">
        <f ca="1">IF($D108="","",IF(OFFSET('(2)出場選手'!$B$2,$A108,O$1+3*$B108)="","",OFFSET('(2)出場選手'!$B$2,$A108,O$1+3*$B108)))</f>
        <v/>
      </c>
      <c r="P108" s="26" t="str">
        <f ca="1">IF($D108="","",IF(OFFSET('(2)出場選手'!$B$2,$A108,P$1+3*$B108)="","",OFFSET('(2)出場選手'!$B$2,$A108,P$1+3*$B108)))</f>
        <v/>
      </c>
      <c r="Q108" s="43" t="str">
        <f ca="1">IF(D108="","",VLOOKUP(N108,OFFSET(Competition_Events,0,1),11,FALSE)*IF($S108="リレー",IF(COUNTIF($T$3:$T108,$T108)&gt;1,0,1),1))</f>
        <v/>
      </c>
      <c r="R108" s="26" t="str">
        <f t="shared" ca="1" si="8"/>
        <v/>
      </c>
      <c r="S108" s="26" t="str">
        <f t="shared" ca="1" si="9"/>
        <v/>
      </c>
      <c r="T108" s="26" t="str">
        <f t="shared" ca="1" si="10"/>
        <v/>
      </c>
      <c r="U108" s="26" t="str">
        <f t="shared" ca="1" si="11"/>
        <v/>
      </c>
      <c r="W108" s="17" t="str">
        <f ca="1">IF($D108="","",OFFSET('(2)出場選手'!$B$2,$A108,W$1))</f>
        <v/>
      </c>
      <c r="X108" s="17" t="str">
        <f ca="1">IF($D108="","",OFFSET('(2)出場選手'!$B$2,$A108,X$1))</f>
        <v/>
      </c>
      <c r="Y108" s="17" t="str">
        <f ca="1">IF($D108="","",OFFSET('(2)出場選手'!$B$2,$A108,Y$1))</f>
        <v/>
      </c>
      <c r="Z108" s="17" t="str">
        <f ca="1">IF($D108="","",OFFSET('(2)出場選手'!$B$2,$A108,Z$1))</f>
        <v/>
      </c>
    </row>
    <row r="109" spans="1:26" x14ac:dyDescent="0.15">
      <c r="A109" s="17">
        <f>TRUNC((ROWS($D$3:D109)-2)/Max_Entry_Count)+1</f>
        <v>36</v>
      </c>
      <c r="B109" s="17" t="str">
        <f ca="1">IF($A109&gt;=ROWS(Entries)-2,"",IF(OFFSET('(2)出場選手'!$B$2,$A109,B$1+3*(MOD(ROWS($D$3:D109)-2,Max_Entry_Count)))="","",MOD(ROWS($D$3:D109)-2,Max_Entry_Count)))</f>
        <v/>
      </c>
      <c r="D109" s="26" t="str">
        <f ca="1">IF(OR($A109&gt;=ROWS(Entries)-2,$B109=""),"",'(1)鑑'!$E$6&amp;"-"&amp;OFFSET('(2)出場選手'!$B$2,$A109,D$1))</f>
        <v/>
      </c>
      <c r="E109" s="26" t="str">
        <f ca="1">IF($D109="","",OFFSET('(2)出場選手'!$B$2,$A109,E$1))</f>
        <v/>
      </c>
      <c r="F109" s="26" t="str">
        <f ca="1">IF($D109="","",IF(OFFSET('(2)出場選手'!$B$2,$A109,F$1)="","",OFFSET('(2)出場選手'!$B$2,$A109,F$1)))</f>
        <v/>
      </c>
      <c r="G109" s="26" t="str">
        <f t="shared" ca="1" si="6"/>
        <v/>
      </c>
      <c r="H109" s="26" t="str">
        <f t="shared" ca="1" si="7"/>
        <v/>
      </c>
      <c r="I109" s="26" t="str">
        <f ca="1">IF($D109="","",IF(OFFSET('(2)出場選手'!$B$2,$A109,I$1)="","",OFFSET('(2)出場選手'!$B$2,$A109,I$1)))</f>
        <v/>
      </c>
      <c r="J109" s="26" t="str">
        <f ca="1">IF($D109="","",IF(OFFSET('(2)出場選手'!$B$2,$A109,J$1)="",'(1)鑑'!$E$6,OFFSET('(2)出場選手'!$B$2,$A109,J$1)))</f>
        <v/>
      </c>
      <c r="K109" s="26" t="str">
        <f ca="1">IF($D109="","",TRIM(ASC(IF(OFFSET('(2)出場選手'!$B$2,$A109,K$1)="",'(1)鑑'!$E$7,OFFSET('(2)出場選手'!$B$2,$A109,K$1)))))</f>
        <v/>
      </c>
      <c r="L109" s="26" t="str">
        <f ca="1">IF($D109="","",SUBSTITUTE(SUBSTITUTE(SUBSTITUTE(IF(OFFSET('(2)出場選手'!$B$2,$A109,L$1)="",'(1)鑑'!$E$8,OFFSET('(2)出場選手'!$B$2,$A109,L$1)),"県",""),"府",""),"東京都","東京"))</f>
        <v/>
      </c>
      <c r="M109" s="57" t="str">
        <f ca="1">IF($D109="","",IF(OFFSET('(2)出場選手'!$B$2,$A109,M$1)="","",OFFSET('(2)出場選手'!$B$2,$A109,M$1)))</f>
        <v/>
      </c>
      <c r="N109" s="26" t="str">
        <f ca="1">IF($D109="","",OFFSET('(2)出場選手'!$B$2,$A109,N$1+3*$B109))</f>
        <v/>
      </c>
      <c r="O109" s="26" t="str">
        <f ca="1">IF($D109="","",IF(OFFSET('(2)出場選手'!$B$2,$A109,O$1+3*$B109)="","",OFFSET('(2)出場選手'!$B$2,$A109,O$1+3*$B109)))</f>
        <v/>
      </c>
      <c r="P109" s="26" t="str">
        <f ca="1">IF($D109="","",IF(OFFSET('(2)出場選手'!$B$2,$A109,P$1+3*$B109)="","",OFFSET('(2)出場選手'!$B$2,$A109,P$1+3*$B109)))</f>
        <v/>
      </c>
      <c r="Q109" s="43" t="str">
        <f ca="1">IF(D109="","",VLOOKUP(N109,OFFSET(Competition_Events,0,1),11,FALSE)*IF($S109="リレー",IF(COUNTIF($T$3:$T109,$T109)&gt;1,0,1),1))</f>
        <v/>
      </c>
      <c r="R109" s="26" t="str">
        <f t="shared" ca="1" si="8"/>
        <v/>
      </c>
      <c r="S109" s="26" t="str">
        <f t="shared" ca="1" si="9"/>
        <v/>
      </c>
      <c r="T109" s="26" t="str">
        <f t="shared" ca="1" si="10"/>
        <v/>
      </c>
      <c r="U109" s="26" t="str">
        <f t="shared" ca="1" si="11"/>
        <v/>
      </c>
      <c r="W109" s="17" t="str">
        <f ca="1">IF($D109="","",OFFSET('(2)出場選手'!$B$2,$A109,W$1))</f>
        <v/>
      </c>
      <c r="X109" s="17" t="str">
        <f ca="1">IF($D109="","",OFFSET('(2)出場選手'!$B$2,$A109,X$1))</f>
        <v/>
      </c>
      <c r="Y109" s="17" t="str">
        <f ca="1">IF($D109="","",OFFSET('(2)出場選手'!$B$2,$A109,Y$1))</f>
        <v/>
      </c>
      <c r="Z109" s="17" t="str">
        <f ca="1">IF($D109="","",OFFSET('(2)出場選手'!$B$2,$A109,Z$1))</f>
        <v/>
      </c>
    </row>
    <row r="110" spans="1:26" x14ac:dyDescent="0.15">
      <c r="A110" s="17">
        <f>TRUNC((ROWS($D$3:D110)-2)/Max_Entry_Count)+1</f>
        <v>36</v>
      </c>
      <c r="B110" s="17" t="str">
        <f ca="1">IF($A110&gt;=ROWS(Entries)-2,"",IF(OFFSET('(2)出場選手'!$B$2,$A110,B$1+3*(MOD(ROWS($D$3:D110)-2,Max_Entry_Count)))="","",MOD(ROWS($D$3:D110)-2,Max_Entry_Count)))</f>
        <v/>
      </c>
      <c r="D110" s="26" t="str">
        <f ca="1">IF(OR($A110&gt;=ROWS(Entries)-2,$B110=""),"",'(1)鑑'!$E$6&amp;"-"&amp;OFFSET('(2)出場選手'!$B$2,$A110,D$1))</f>
        <v/>
      </c>
      <c r="E110" s="26" t="str">
        <f ca="1">IF($D110="","",OFFSET('(2)出場選手'!$B$2,$A110,E$1))</f>
        <v/>
      </c>
      <c r="F110" s="26" t="str">
        <f ca="1">IF($D110="","",IF(OFFSET('(2)出場選手'!$B$2,$A110,F$1)="","",OFFSET('(2)出場選手'!$B$2,$A110,F$1)))</f>
        <v/>
      </c>
      <c r="G110" s="26" t="str">
        <f t="shared" ca="1" si="6"/>
        <v/>
      </c>
      <c r="H110" s="26" t="str">
        <f t="shared" ca="1" si="7"/>
        <v/>
      </c>
      <c r="I110" s="26" t="str">
        <f ca="1">IF($D110="","",IF(OFFSET('(2)出場選手'!$B$2,$A110,I$1)="","",OFFSET('(2)出場選手'!$B$2,$A110,I$1)))</f>
        <v/>
      </c>
      <c r="J110" s="26" t="str">
        <f ca="1">IF($D110="","",IF(OFFSET('(2)出場選手'!$B$2,$A110,J$1)="",'(1)鑑'!$E$6,OFFSET('(2)出場選手'!$B$2,$A110,J$1)))</f>
        <v/>
      </c>
      <c r="K110" s="26" t="str">
        <f ca="1">IF($D110="","",TRIM(ASC(IF(OFFSET('(2)出場選手'!$B$2,$A110,K$1)="",'(1)鑑'!$E$7,OFFSET('(2)出場選手'!$B$2,$A110,K$1)))))</f>
        <v/>
      </c>
      <c r="L110" s="26" t="str">
        <f ca="1">IF($D110="","",SUBSTITUTE(SUBSTITUTE(SUBSTITUTE(IF(OFFSET('(2)出場選手'!$B$2,$A110,L$1)="",'(1)鑑'!$E$8,OFFSET('(2)出場選手'!$B$2,$A110,L$1)),"県",""),"府",""),"東京都","東京"))</f>
        <v/>
      </c>
      <c r="M110" s="57" t="str">
        <f ca="1">IF($D110="","",IF(OFFSET('(2)出場選手'!$B$2,$A110,M$1)="","",OFFSET('(2)出場選手'!$B$2,$A110,M$1)))</f>
        <v/>
      </c>
      <c r="N110" s="26" t="str">
        <f ca="1">IF($D110="","",OFFSET('(2)出場選手'!$B$2,$A110,N$1+3*$B110))</f>
        <v/>
      </c>
      <c r="O110" s="26" t="str">
        <f ca="1">IF($D110="","",IF(OFFSET('(2)出場選手'!$B$2,$A110,O$1+3*$B110)="","",OFFSET('(2)出場選手'!$B$2,$A110,O$1+3*$B110)))</f>
        <v/>
      </c>
      <c r="P110" s="26" t="str">
        <f ca="1">IF($D110="","",IF(OFFSET('(2)出場選手'!$B$2,$A110,P$1+3*$B110)="","",OFFSET('(2)出場選手'!$B$2,$A110,P$1+3*$B110)))</f>
        <v/>
      </c>
      <c r="Q110" s="43" t="str">
        <f ca="1">IF(D110="","",VLOOKUP(N110,OFFSET(Competition_Events,0,1),11,FALSE)*IF($S110="リレー",IF(COUNTIF($T$3:$T110,$T110)&gt;1,0,1),1))</f>
        <v/>
      </c>
      <c r="R110" s="26" t="str">
        <f t="shared" ca="1" si="8"/>
        <v/>
      </c>
      <c r="S110" s="26" t="str">
        <f t="shared" ca="1" si="9"/>
        <v/>
      </c>
      <c r="T110" s="26" t="str">
        <f t="shared" ca="1" si="10"/>
        <v/>
      </c>
      <c r="U110" s="26" t="str">
        <f t="shared" ca="1" si="11"/>
        <v/>
      </c>
      <c r="W110" s="17" t="str">
        <f ca="1">IF($D110="","",OFFSET('(2)出場選手'!$B$2,$A110,W$1))</f>
        <v/>
      </c>
      <c r="X110" s="17" t="str">
        <f ca="1">IF($D110="","",OFFSET('(2)出場選手'!$B$2,$A110,X$1))</f>
        <v/>
      </c>
      <c r="Y110" s="17" t="str">
        <f ca="1">IF($D110="","",OFFSET('(2)出場選手'!$B$2,$A110,Y$1))</f>
        <v/>
      </c>
      <c r="Z110" s="17" t="str">
        <f ca="1">IF($D110="","",OFFSET('(2)出場選手'!$B$2,$A110,Z$1))</f>
        <v/>
      </c>
    </row>
    <row r="111" spans="1:26" x14ac:dyDescent="0.15">
      <c r="A111" s="17">
        <f>TRUNC((ROWS($D$3:D111)-2)/Max_Entry_Count)+1</f>
        <v>36</v>
      </c>
      <c r="B111" s="17" t="str">
        <f ca="1">IF($A111&gt;=ROWS(Entries)-2,"",IF(OFFSET('(2)出場選手'!$B$2,$A111,B$1+3*(MOD(ROWS($D$3:D111)-2,Max_Entry_Count)))="","",MOD(ROWS($D$3:D111)-2,Max_Entry_Count)))</f>
        <v/>
      </c>
      <c r="D111" s="26" t="str">
        <f ca="1">IF(OR($A111&gt;=ROWS(Entries)-2,$B111=""),"",'(1)鑑'!$E$6&amp;"-"&amp;OFFSET('(2)出場選手'!$B$2,$A111,D$1))</f>
        <v/>
      </c>
      <c r="E111" s="26" t="str">
        <f ca="1">IF($D111="","",OFFSET('(2)出場選手'!$B$2,$A111,E$1))</f>
        <v/>
      </c>
      <c r="F111" s="26" t="str">
        <f ca="1">IF($D111="","",IF(OFFSET('(2)出場選手'!$B$2,$A111,F$1)="","",OFFSET('(2)出場選手'!$B$2,$A111,F$1)))</f>
        <v/>
      </c>
      <c r="G111" s="26" t="str">
        <f t="shared" ca="1" si="6"/>
        <v/>
      </c>
      <c r="H111" s="26" t="str">
        <f t="shared" ca="1" si="7"/>
        <v/>
      </c>
      <c r="I111" s="26" t="str">
        <f ca="1">IF($D111="","",IF(OFFSET('(2)出場選手'!$B$2,$A111,I$1)="","",OFFSET('(2)出場選手'!$B$2,$A111,I$1)))</f>
        <v/>
      </c>
      <c r="J111" s="26" t="str">
        <f ca="1">IF($D111="","",IF(OFFSET('(2)出場選手'!$B$2,$A111,J$1)="",'(1)鑑'!$E$6,OFFSET('(2)出場選手'!$B$2,$A111,J$1)))</f>
        <v/>
      </c>
      <c r="K111" s="26" t="str">
        <f ca="1">IF($D111="","",TRIM(ASC(IF(OFFSET('(2)出場選手'!$B$2,$A111,K$1)="",'(1)鑑'!$E$7,OFFSET('(2)出場選手'!$B$2,$A111,K$1)))))</f>
        <v/>
      </c>
      <c r="L111" s="26" t="str">
        <f ca="1">IF($D111="","",SUBSTITUTE(SUBSTITUTE(SUBSTITUTE(IF(OFFSET('(2)出場選手'!$B$2,$A111,L$1)="",'(1)鑑'!$E$8,OFFSET('(2)出場選手'!$B$2,$A111,L$1)),"県",""),"府",""),"東京都","東京"))</f>
        <v/>
      </c>
      <c r="M111" s="57" t="str">
        <f ca="1">IF($D111="","",IF(OFFSET('(2)出場選手'!$B$2,$A111,M$1)="","",OFFSET('(2)出場選手'!$B$2,$A111,M$1)))</f>
        <v/>
      </c>
      <c r="N111" s="26" t="str">
        <f ca="1">IF($D111="","",OFFSET('(2)出場選手'!$B$2,$A111,N$1+3*$B111))</f>
        <v/>
      </c>
      <c r="O111" s="26" t="str">
        <f ca="1">IF($D111="","",IF(OFFSET('(2)出場選手'!$B$2,$A111,O$1+3*$B111)="","",OFFSET('(2)出場選手'!$B$2,$A111,O$1+3*$B111)))</f>
        <v/>
      </c>
      <c r="P111" s="26" t="str">
        <f ca="1">IF($D111="","",IF(OFFSET('(2)出場選手'!$B$2,$A111,P$1+3*$B111)="","",OFFSET('(2)出場選手'!$B$2,$A111,P$1+3*$B111)))</f>
        <v/>
      </c>
      <c r="Q111" s="43" t="str">
        <f ca="1">IF(D111="","",VLOOKUP(N111,OFFSET(Competition_Events,0,1),11,FALSE)*IF($S111="リレー",IF(COUNTIF($T$3:$T111,$T111)&gt;1,0,1),1))</f>
        <v/>
      </c>
      <c r="R111" s="26" t="str">
        <f t="shared" ca="1" si="8"/>
        <v/>
      </c>
      <c r="S111" s="26" t="str">
        <f t="shared" ca="1" si="9"/>
        <v/>
      </c>
      <c r="T111" s="26" t="str">
        <f t="shared" ca="1" si="10"/>
        <v/>
      </c>
      <c r="U111" s="26" t="str">
        <f t="shared" ca="1" si="11"/>
        <v/>
      </c>
      <c r="W111" s="17" t="str">
        <f ca="1">IF($D111="","",OFFSET('(2)出場選手'!$B$2,$A111,W$1))</f>
        <v/>
      </c>
      <c r="X111" s="17" t="str">
        <f ca="1">IF($D111="","",OFFSET('(2)出場選手'!$B$2,$A111,X$1))</f>
        <v/>
      </c>
      <c r="Y111" s="17" t="str">
        <f ca="1">IF($D111="","",OFFSET('(2)出場選手'!$B$2,$A111,Y$1))</f>
        <v/>
      </c>
      <c r="Z111" s="17" t="str">
        <f ca="1">IF($D111="","",OFFSET('(2)出場選手'!$B$2,$A111,Z$1))</f>
        <v/>
      </c>
    </row>
    <row r="112" spans="1:26" x14ac:dyDescent="0.15">
      <c r="A112" s="17">
        <f>TRUNC((ROWS($D$3:D112)-2)/Max_Entry_Count)+1</f>
        <v>37</v>
      </c>
      <c r="B112" s="17" t="str">
        <f ca="1">IF($A112&gt;=ROWS(Entries)-2,"",IF(OFFSET('(2)出場選手'!$B$2,$A112,B$1+3*(MOD(ROWS($D$3:D112)-2,Max_Entry_Count)))="","",MOD(ROWS($D$3:D112)-2,Max_Entry_Count)))</f>
        <v/>
      </c>
      <c r="D112" s="26" t="str">
        <f ca="1">IF(OR($A112&gt;=ROWS(Entries)-2,$B112=""),"",'(1)鑑'!$E$6&amp;"-"&amp;OFFSET('(2)出場選手'!$B$2,$A112,D$1))</f>
        <v/>
      </c>
      <c r="E112" s="26" t="str">
        <f ca="1">IF($D112="","",OFFSET('(2)出場選手'!$B$2,$A112,E$1))</f>
        <v/>
      </c>
      <c r="F112" s="26" t="str">
        <f ca="1">IF($D112="","",IF(OFFSET('(2)出場選手'!$B$2,$A112,F$1)="","",OFFSET('(2)出場選手'!$B$2,$A112,F$1)))</f>
        <v/>
      </c>
      <c r="G112" s="26" t="str">
        <f t="shared" ca="1" si="6"/>
        <v/>
      </c>
      <c r="H112" s="26" t="str">
        <f t="shared" ca="1" si="7"/>
        <v/>
      </c>
      <c r="I112" s="26" t="str">
        <f ca="1">IF($D112="","",IF(OFFSET('(2)出場選手'!$B$2,$A112,I$1)="","",OFFSET('(2)出場選手'!$B$2,$A112,I$1)))</f>
        <v/>
      </c>
      <c r="J112" s="26" t="str">
        <f ca="1">IF($D112="","",IF(OFFSET('(2)出場選手'!$B$2,$A112,J$1)="",'(1)鑑'!$E$6,OFFSET('(2)出場選手'!$B$2,$A112,J$1)))</f>
        <v/>
      </c>
      <c r="K112" s="26" t="str">
        <f ca="1">IF($D112="","",TRIM(ASC(IF(OFFSET('(2)出場選手'!$B$2,$A112,K$1)="",'(1)鑑'!$E$7,OFFSET('(2)出場選手'!$B$2,$A112,K$1)))))</f>
        <v/>
      </c>
      <c r="L112" s="26" t="str">
        <f ca="1">IF($D112="","",SUBSTITUTE(SUBSTITUTE(SUBSTITUTE(IF(OFFSET('(2)出場選手'!$B$2,$A112,L$1)="",'(1)鑑'!$E$8,OFFSET('(2)出場選手'!$B$2,$A112,L$1)),"県",""),"府",""),"東京都","東京"))</f>
        <v/>
      </c>
      <c r="M112" s="57" t="str">
        <f ca="1">IF($D112="","",IF(OFFSET('(2)出場選手'!$B$2,$A112,M$1)="","",OFFSET('(2)出場選手'!$B$2,$A112,M$1)))</f>
        <v/>
      </c>
      <c r="N112" s="26" t="str">
        <f ca="1">IF($D112="","",OFFSET('(2)出場選手'!$B$2,$A112,N$1+3*$B112))</f>
        <v/>
      </c>
      <c r="O112" s="26" t="str">
        <f ca="1">IF($D112="","",IF(OFFSET('(2)出場選手'!$B$2,$A112,O$1+3*$B112)="","",OFFSET('(2)出場選手'!$B$2,$A112,O$1+3*$B112)))</f>
        <v/>
      </c>
      <c r="P112" s="26" t="str">
        <f ca="1">IF($D112="","",IF(OFFSET('(2)出場選手'!$B$2,$A112,P$1+3*$B112)="","",OFFSET('(2)出場選手'!$B$2,$A112,P$1+3*$B112)))</f>
        <v/>
      </c>
      <c r="Q112" s="43" t="str">
        <f ca="1">IF(D112="","",VLOOKUP(N112,OFFSET(Competition_Events,0,1),11,FALSE)*IF($S112="リレー",IF(COUNTIF($T$3:$T112,$T112)&gt;1,0,1),1))</f>
        <v/>
      </c>
      <c r="R112" s="26" t="str">
        <f t="shared" ca="1" si="8"/>
        <v/>
      </c>
      <c r="S112" s="26" t="str">
        <f t="shared" ca="1" si="9"/>
        <v/>
      </c>
      <c r="T112" s="26" t="str">
        <f t="shared" ca="1" si="10"/>
        <v/>
      </c>
      <c r="U112" s="26" t="str">
        <f t="shared" ca="1" si="11"/>
        <v/>
      </c>
      <c r="W112" s="17" t="str">
        <f ca="1">IF($D112="","",OFFSET('(2)出場選手'!$B$2,$A112,W$1))</f>
        <v/>
      </c>
      <c r="X112" s="17" t="str">
        <f ca="1">IF($D112="","",OFFSET('(2)出場選手'!$B$2,$A112,X$1))</f>
        <v/>
      </c>
      <c r="Y112" s="17" t="str">
        <f ca="1">IF($D112="","",OFFSET('(2)出場選手'!$B$2,$A112,Y$1))</f>
        <v/>
      </c>
      <c r="Z112" s="17" t="str">
        <f ca="1">IF($D112="","",OFFSET('(2)出場選手'!$B$2,$A112,Z$1))</f>
        <v/>
      </c>
    </row>
    <row r="113" spans="1:26" x14ac:dyDescent="0.15">
      <c r="A113" s="17">
        <f>TRUNC((ROWS($D$3:D113)-2)/Max_Entry_Count)+1</f>
        <v>37</v>
      </c>
      <c r="B113" s="17" t="str">
        <f ca="1">IF($A113&gt;=ROWS(Entries)-2,"",IF(OFFSET('(2)出場選手'!$B$2,$A113,B$1+3*(MOD(ROWS($D$3:D113)-2,Max_Entry_Count)))="","",MOD(ROWS($D$3:D113)-2,Max_Entry_Count)))</f>
        <v/>
      </c>
      <c r="D113" s="26" t="str">
        <f ca="1">IF(OR($A113&gt;=ROWS(Entries)-2,$B113=""),"",'(1)鑑'!$E$6&amp;"-"&amp;OFFSET('(2)出場選手'!$B$2,$A113,D$1))</f>
        <v/>
      </c>
      <c r="E113" s="26" t="str">
        <f ca="1">IF($D113="","",OFFSET('(2)出場選手'!$B$2,$A113,E$1))</f>
        <v/>
      </c>
      <c r="F113" s="26" t="str">
        <f ca="1">IF($D113="","",IF(OFFSET('(2)出場選手'!$B$2,$A113,F$1)="","",OFFSET('(2)出場選手'!$B$2,$A113,F$1)))</f>
        <v/>
      </c>
      <c r="G113" s="26" t="str">
        <f t="shared" ca="1" si="6"/>
        <v/>
      </c>
      <c r="H113" s="26" t="str">
        <f t="shared" ca="1" si="7"/>
        <v/>
      </c>
      <c r="I113" s="26" t="str">
        <f ca="1">IF($D113="","",IF(OFFSET('(2)出場選手'!$B$2,$A113,I$1)="","",OFFSET('(2)出場選手'!$B$2,$A113,I$1)))</f>
        <v/>
      </c>
      <c r="J113" s="26" t="str">
        <f ca="1">IF($D113="","",IF(OFFSET('(2)出場選手'!$B$2,$A113,J$1)="",'(1)鑑'!$E$6,OFFSET('(2)出場選手'!$B$2,$A113,J$1)))</f>
        <v/>
      </c>
      <c r="K113" s="26" t="str">
        <f ca="1">IF($D113="","",TRIM(ASC(IF(OFFSET('(2)出場選手'!$B$2,$A113,K$1)="",'(1)鑑'!$E$7,OFFSET('(2)出場選手'!$B$2,$A113,K$1)))))</f>
        <v/>
      </c>
      <c r="L113" s="26" t="str">
        <f ca="1">IF($D113="","",SUBSTITUTE(SUBSTITUTE(SUBSTITUTE(IF(OFFSET('(2)出場選手'!$B$2,$A113,L$1)="",'(1)鑑'!$E$8,OFFSET('(2)出場選手'!$B$2,$A113,L$1)),"県",""),"府",""),"東京都","東京"))</f>
        <v/>
      </c>
      <c r="M113" s="57" t="str">
        <f ca="1">IF($D113="","",IF(OFFSET('(2)出場選手'!$B$2,$A113,M$1)="","",OFFSET('(2)出場選手'!$B$2,$A113,M$1)))</f>
        <v/>
      </c>
      <c r="N113" s="26" t="str">
        <f ca="1">IF($D113="","",OFFSET('(2)出場選手'!$B$2,$A113,N$1+3*$B113))</f>
        <v/>
      </c>
      <c r="O113" s="26" t="str">
        <f ca="1">IF($D113="","",IF(OFFSET('(2)出場選手'!$B$2,$A113,O$1+3*$B113)="","",OFFSET('(2)出場選手'!$B$2,$A113,O$1+3*$B113)))</f>
        <v/>
      </c>
      <c r="P113" s="26" t="str">
        <f ca="1">IF($D113="","",IF(OFFSET('(2)出場選手'!$B$2,$A113,P$1+3*$B113)="","",OFFSET('(2)出場選手'!$B$2,$A113,P$1+3*$B113)))</f>
        <v/>
      </c>
      <c r="Q113" s="43" t="str">
        <f ca="1">IF(D113="","",VLOOKUP(N113,OFFSET(Competition_Events,0,1),11,FALSE)*IF($S113="リレー",IF(COUNTIF($T$3:$T113,$T113)&gt;1,0,1),1))</f>
        <v/>
      </c>
      <c r="R113" s="26" t="str">
        <f t="shared" ca="1" si="8"/>
        <v/>
      </c>
      <c r="S113" s="26" t="str">
        <f t="shared" ca="1" si="9"/>
        <v/>
      </c>
      <c r="T113" s="26" t="str">
        <f t="shared" ca="1" si="10"/>
        <v/>
      </c>
      <c r="U113" s="26" t="str">
        <f t="shared" ca="1" si="11"/>
        <v/>
      </c>
      <c r="W113" s="17" t="str">
        <f ca="1">IF($D113="","",OFFSET('(2)出場選手'!$B$2,$A113,W$1))</f>
        <v/>
      </c>
      <c r="X113" s="17" t="str">
        <f ca="1">IF($D113="","",OFFSET('(2)出場選手'!$B$2,$A113,X$1))</f>
        <v/>
      </c>
      <c r="Y113" s="17" t="str">
        <f ca="1">IF($D113="","",OFFSET('(2)出場選手'!$B$2,$A113,Y$1))</f>
        <v/>
      </c>
      <c r="Z113" s="17" t="str">
        <f ca="1">IF($D113="","",OFFSET('(2)出場選手'!$B$2,$A113,Z$1))</f>
        <v/>
      </c>
    </row>
    <row r="114" spans="1:26" x14ac:dyDescent="0.15">
      <c r="A114" s="17">
        <f>TRUNC((ROWS($D$3:D114)-2)/Max_Entry_Count)+1</f>
        <v>37</v>
      </c>
      <c r="B114" s="17" t="str">
        <f ca="1">IF($A114&gt;=ROWS(Entries)-2,"",IF(OFFSET('(2)出場選手'!$B$2,$A114,B$1+3*(MOD(ROWS($D$3:D114)-2,Max_Entry_Count)))="","",MOD(ROWS($D$3:D114)-2,Max_Entry_Count)))</f>
        <v/>
      </c>
      <c r="D114" s="26" t="str">
        <f ca="1">IF(OR($A114&gt;=ROWS(Entries)-2,$B114=""),"",'(1)鑑'!$E$6&amp;"-"&amp;OFFSET('(2)出場選手'!$B$2,$A114,D$1))</f>
        <v/>
      </c>
      <c r="E114" s="26" t="str">
        <f ca="1">IF($D114="","",OFFSET('(2)出場選手'!$B$2,$A114,E$1))</f>
        <v/>
      </c>
      <c r="F114" s="26" t="str">
        <f ca="1">IF($D114="","",IF(OFFSET('(2)出場選手'!$B$2,$A114,F$1)="","",OFFSET('(2)出場選手'!$B$2,$A114,F$1)))</f>
        <v/>
      </c>
      <c r="G114" s="26" t="str">
        <f t="shared" ca="1" si="6"/>
        <v/>
      </c>
      <c r="H114" s="26" t="str">
        <f t="shared" ca="1" si="7"/>
        <v/>
      </c>
      <c r="I114" s="26" t="str">
        <f ca="1">IF($D114="","",IF(OFFSET('(2)出場選手'!$B$2,$A114,I$1)="","",OFFSET('(2)出場選手'!$B$2,$A114,I$1)))</f>
        <v/>
      </c>
      <c r="J114" s="26" t="str">
        <f ca="1">IF($D114="","",IF(OFFSET('(2)出場選手'!$B$2,$A114,J$1)="",'(1)鑑'!$E$6,OFFSET('(2)出場選手'!$B$2,$A114,J$1)))</f>
        <v/>
      </c>
      <c r="K114" s="26" t="str">
        <f ca="1">IF($D114="","",TRIM(ASC(IF(OFFSET('(2)出場選手'!$B$2,$A114,K$1)="",'(1)鑑'!$E$7,OFFSET('(2)出場選手'!$B$2,$A114,K$1)))))</f>
        <v/>
      </c>
      <c r="L114" s="26" t="str">
        <f ca="1">IF($D114="","",SUBSTITUTE(SUBSTITUTE(SUBSTITUTE(IF(OFFSET('(2)出場選手'!$B$2,$A114,L$1)="",'(1)鑑'!$E$8,OFFSET('(2)出場選手'!$B$2,$A114,L$1)),"県",""),"府",""),"東京都","東京"))</f>
        <v/>
      </c>
      <c r="M114" s="57" t="str">
        <f ca="1">IF($D114="","",IF(OFFSET('(2)出場選手'!$B$2,$A114,M$1)="","",OFFSET('(2)出場選手'!$B$2,$A114,M$1)))</f>
        <v/>
      </c>
      <c r="N114" s="26" t="str">
        <f ca="1">IF($D114="","",OFFSET('(2)出場選手'!$B$2,$A114,N$1+3*$B114))</f>
        <v/>
      </c>
      <c r="O114" s="26" t="str">
        <f ca="1">IF($D114="","",IF(OFFSET('(2)出場選手'!$B$2,$A114,O$1+3*$B114)="","",OFFSET('(2)出場選手'!$B$2,$A114,O$1+3*$B114)))</f>
        <v/>
      </c>
      <c r="P114" s="26" t="str">
        <f ca="1">IF($D114="","",IF(OFFSET('(2)出場選手'!$B$2,$A114,P$1+3*$B114)="","",OFFSET('(2)出場選手'!$B$2,$A114,P$1+3*$B114)))</f>
        <v/>
      </c>
      <c r="Q114" s="43" t="str">
        <f ca="1">IF(D114="","",VLOOKUP(N114,OFFSET(Competition_Events,0,1),11,FALSE)*IF($S114="リレー",IF(COUNTIF($T$3:$T114,$T114)&gt;1,0,1),1))</f>
        <v/>
      </c>
      <c r="R114" s="26" t="str">
        <f t="shared" ca="1" si="8"/>
        <v/>
      </c>
      <c r="S114" s="26" t="str">
        <f t="shared" ca="1" si="9"/>
        <v/>
      </c>
      <c r="T114" s="26" t="str">
        <f t="shared" ca="1" si="10"/>
        <v/>
      </c>
      <c r="U114" s="26" t="str">
        <f t="shared" ca="1" si="11"/>
        <v/>
      </c>
      <c r="W114" s="17" t="str">
        <f ca="1">IF($D114="","",OFFSET('(2)出場選手'!$B$2,$A114,W$1))</f>
        <v/>
      </c>
      <c r="X114" s="17" t="str">
        <f ca="1">IF($D114="","",OFFSET('(2)出場選手'!$B$2,$A114,X$1))</f>
        <v/>
      </c>
      <c r="Y114" s="17" t="str">
        <f ca="1">IF($D114="","",OFFSET('(2)出場選手'!$B$2,$A114,Y$1))</f>
        <v/>
      </c>
      <c r="Z114" s="17" t="str">
        <f ca="1">IF($D114="","",OFFSET('(2)出場選手'!$B$2,$A114,Z$1))</f>
        <v/>
      </c>
    </row>
    <row r="115" spans="1:26" x14ac:dyDescent="0.15">
      <c r="A115" s="17">
        <f>TRUNC((ROWS($D$3:D115)-2)/Max_Entry_Count)+1</f>
        <v>38</v>
      </c>
      <c r="B115" s="17" t="str">
        <f ca="1">IF($A115&gt;=ROWS(Entries)-2,"",IF(OFFSET('(2)出場選手'!$B$2,$A115,B$1+3*(MOD(ROWS($D$3:D115)-2,Max_Entry_Count)))="","",MOD(ROWS($D$3:D115)-2,Max_Entry_Count)))</f>
        <v/>
      </c>
      <c r="D115" s="26" t="str">
        <f ca="1">IF(OR($A115&gt;=ROWS(Entries)-2,$B115=""),"",'(1)鑑'!$E$6&amp;"-"&amp;OFFSET('(2)出場選手'!$B$2,$A115,D$1))</f>
        <v/>
      </c>
      <c r="E115" s="26" t="str">
        <f ca="1">IF($D115="","",OFFSET('(2)出場選手'!$B$2,$A115,E$1))</f>
        <v/>
      </c>
      <c r="F115" s="26" t="str">
        <f ca="1">IF($D115="","",IF(OFFSET('(2)出場選手'!$B$2,$A115,F$1)="","",OFFSET('(2)出場選手'!$B$2,$A115,F$1)))</f>
        <v/>
      </c>
      <c r="G115" s="26" t="str">
        <f t="shared" ca="1" si="6"/>
        <v/>
      </c>
      <c r="H115" s="26" t="str">
        <f t="shared" ca="1" si="7"/>
        <v/>
      </c>
      <c r="I115" s="26" t="str">
        <f ca="1">IF($D115="","",IF(OFFSET('(2)出場選手'!$B$2,$A115,I$1)="","",OFFSET('(2)出場選手'!$B$2,$A115,I$1)))</f>
        <v/>
      </c>
      <c r="J115" s="26" t="str">
        <f ca="1">IF($D115="","",IF(OFFSET('(2)出場選手'!$B$2,$A115,J$1)="",'(1)鑑'!$E$6,OFFSET('(2)出場選手'!$B$2,$A115,J$1)))</f>
        <v/>
      </c>
      <c r="K115" s="26" t="str">
        <f ca="1">IF($D115="","",TRIM(ASC(IF(OFFSET('(2)出場選手'!$B$2,$A115,K$1)="",'(1)鑑'!$E$7,OFFSET('(2)出場選手'!$B$2,$A115,K$1)))))</f>
        <v/>
      </c>
      <c r="L115" s="26" t="str">
        <f ca="1">IF($D115="","",SUBSTITUTE(SUBSTITUTE(SUBSTITUTE(IF(OFFSET('(2)出場選手'!$B$2,$A115,L$1)="",'(1)鑑'!$E$8,OFFSET('(2)出場選手'!$B$2,$A115,L$1)),"県",""),"府",""),"東京都","東京"))</f>
        <v/>
      </c>
      <c r="M115" s="57" t="str">
        <f ca="1">IF($D115="","",IF(OFFSET('(2)出場選手'!$B$2,$A115,M$1)="","",OFFSET('(2)出場選手'!$B$2,$A115,M$1)))</f>
        <v/>
      </c>
      <c r="N115" s="26" t="str">
        <f ca="1">IF($D115="","",OFFSET('(2)出場選手'!$B$2,$A115,N$1+3*$B115))</f>
        <v/>
      </c>
      <c r="O115" s="26" t="str">
        <f ca="1">IF($D115="","",IF(OFFSET('(2)出場選手'!$B$2,$A115,O$1+3*$B115)="","",OFFSET('(2)出場選手'!$B$2,$A115,O$1+3*$B115)))</f>
        <v/>
      </c>
      <c r="P115" s="26" t="str">
        <f ca="1">IF($D115="","",IF(OFFSET('(2)出場選手'!$B$2,$A115,P$1+3*$B115)="","",OFFSET('(2)出場選手'!$B$2,$A115,P$1+3*$B115)))</f>
        <v/>
      </c>
      <c r="Q115" s="43" t="str">
        <f ca="1">IF(D115="","",VLOOKUP(N115,OFFSET(Competition_Events,0,1),11,FALSE)*IF($S115="リレー",IF(COUNTIF($T$3:$T115,$T115)&gt;1,0,1),1))</f>
        <v/>
      </c>
      <c r="R115" s="26" t="str">
        <f t="shared" ca="1" si="8"/>
        <v/>
      </c>
      <c r="S115" s="26" t="str">
        <f t="shared" ca="1" si="9"/>
        <v/>
      </c>
      <c r="T115" s="26" t="str">
        <f t="shared" ca="1" si="10"/>
        <v/>
      </c>
      <c r="U115" s="26" t="str">
        <f t="shared" ca="1" si="11"/>
        <v/>
      </c>
      <c r="W115" s="17" t="str">
        <f ca="1">IF($D115="","",OFFSET('(2)出場選手'!$B$2,$A115,W$1))</f>
        <v/>
      </c>
      <c r="X115" s="17" t="str">
        <f ca="1">IF($D115="","",OFFSET('(2)出場選手'!$B$2,$A115,X$1))</f>
        <v/>
      </c>
      <c r="Y115" s="17" t="str">
        <f ca="1">IF($D115="","",OFFSET('(2)出場選手'!$B$2,$A115,Y$1))</f>
        <v/>
      </c>
      <c r="Z115" s="17" t="str">
        <f ca="1">IF($D115="","",OFFSET('(2)出場選手'!$B$2,$A115,Z$1))</f>
        <v/>
      </c>
    </row>
    <row r="116" spans="1:26" x14ac:dyDescent="0.15">
      <c r="A116" s="17">
        <f>TRUNC((ROWS($D$3:D116)-2)/Max_Entry_Count)+1</f>
        <v>38</v>
      </c>
      <c r="B116" s="17" t="str">
        <f ca="1">IF($A116&gt;=ROWS(Entries)-2,"",IF(OFFSET('(2)出場選手'!$B$2,$A116,B$1+3*(MOD(ROWS($D$3:D116)-2,Max_Entry_Count)))="","",MOD(ROWS($D$3:D116)-2,Max_Entry_Count)))</f>
        <v/>
      </c>
      <c r="D116" s="26" t="str">
        <f ca="1">IF(OR($A116&gt;=ROWS(Entries)-2,$B116=""),"",'(1)鑑'!$E$6&amp;"-"&amp;OFFSET('(2)出場選手'!$B$2,$A116,D$1))</f>
        <v/>
      </c>
      <c r="E116" s="26" t="str">
        <f ca="1">IF($D116="","",OFFSET('(2)出場選手'!$B$2,$A116,E$1))</f>
        <v/>
      </c>
      <c r="F116" s="26" t="str">
        <f ca="1">IF($D116="","",IF(OFFSET('(2)出場選手'!$B$2,$A116,F$1)="","",OFFSET('(2)出場選手'!$B$2,$A116,F$1)))</f>
        <v/>
      </c>
      <c r="G116" s="26" t="str">
        <f t="shared" ca="1" si="6"/>
        <v/>
      </c>
      <c r="H116" s="26" t="str">
        <f t="shared" ca="1" si="7"/>
        <v/>
      </c>
      <c r="I116" s="26" t="str">
        <f ca="1">IF($D116="","",IF(OFFSET('(2)出場選手'!$B$2,$A116,I$1)="","",OFFSET('(2)出場選手'!$B$2,$A116,I$1)))</f>
        <v/>
      </c>
      <c r="J116" s="26" t="str">
        <f ca="1">IF($D116="","",IF(OFFSET('(2)出場選手'!$B$2,$A116,J$1)="",'(1)鑑'!$E$6,OFFSET('(2)出場選手'!$B$2,$A116,J$1)))</f>
        <v/>
      </c>
      <c r="K116" s="26" t="str">
        <f ca="1">IF($D116="","",TRIM(ASC(IF(OFFSET('(2)出場選手'!$B$2,$A116,K$1)="",'(1)鑑'!$E$7,OFFSET('(2)出場選手'!$B$2,$A116,K$1)))))</f>
        <v/>
      </c>
      <c r="L116" s="26" t="str">
        <f ca="1">IF($D116="","",SUBSTITUTE(SUBSTITUTE(SUBSTITUTE(IF(OFFSET('(2)出場選手'!$B$2,$A116,L$1)="",'(1)鑑'!$E$8,OFFSET('(2)出場選手'!$B$2,$A116,L$1)),"県",""),"府",""),"東京都","東京"))</f>
        <v/>
      </c>
      <c r="M116" s="57" t="str">
        <f ca="1">IF($D116="","",IF(OFFSET('(2)出場選手'!$B$2,$A116,M$1)="","",OFFSET('(2)出場選手'!$B$2,$A116,M$1)))</f>
        <v/>
      </c>
      <c r="N116" s="26" t="str">
        <f ca="1">IF($D116="","",OFFSET('(2)出場選手'!$B$2,$A116,N$1+3*$B116))</f>
        <v/>
      </c>
      <c r="O116" s="26" t="str">
        <f ca="1">IF($D116="","",IF(OFFSET('(2)出場選手'!$B$2,$A116,O$1+3*$B116)="","",OFFSET('(2)出場選手'!$B$2,$A116,O$1+3*$B116)))</f>
        <v/>
      </c>
      <c r="P116" s="26" t="str">
        <f ca="1">IF($D116="","",IF(OFFSET('(2)出場選手'!$B$2,$A116,P$1+3*$B116)="","",OFFSET('(2)出場選手'!$B$2,$A116,P$1+3*$B116)))</f>
        <v/>
      </c>
      <c r="Q116" s="43" t="str">
        <f ca="1">IF(D116="","",VLOOKUP(N116,OFFSET(Competition_Events,0,1),11,FALSE)*IF($S116="リレー",IF(COUNTIF($T$3:$T116,$T116)&gt;1,0,1),1))</f>
        <v/>
      </c>
      <c r="R116" s="26" t="str">
        <f t="shared" ca="1" si="8"/>
        <v/>
      </c>
      <c r="S116" s="26" t="str">
        <f t="shared" ca="1" si="9"/>
        <v/>
      </c>
      <c r="T116" s="26" t="str">
        <f t="shared" ca="1" si="10"/>
        <v/>
      </c>
      <c r="U116" s="26" t="str">
        <f t="shared" ca="1" si="11"/>
        <v/>
      </c>
      <c r="W116" s="17" t="str">
        <f ca="1">IF($D116="","",OFFSET('(2)出場選手'!$B$2,$A116,W$1))</f>
        <v/>
      </c>
      <c r="X116" s="17" t="str">
        <f ca="1">IF($D116="","",OFFSET('(2)出場選手'!$B$2,$A116,X$1))</f>
        <v/>
      </c>
      <c r="Y116" s="17" t="str">
        <f ca="1">IF($D116="","",OFFSET('(2)出場選手'!$B$2,$A116,Y$1))</f>
        <v/>
      </c>
      <c r="Z116" s="17" t="str">
        <f ca="1">IF($D116="","",OFFSET('(2)出場選手'!$B$2,$A116,Z$1))</f>
        <v/>
      </c>
    </row>
    <row r="117" spans="1:26" x14ac:dyDescent="0.15">
      <c r="A117" s="17">
        <f>TRUNC((ROWS($D$3:D117)-2)/Max_Entry_Count)+1</f>
        <v>38</v>
      </c>
      <c r="B117" s="17" t="str">
        <f ca="1">IF($A117&gt;=ROWS(Entries)-2,"",IF(OFFSET('(2)出場選手'!$B$2,$A117,B$1+3*(MOD(ROWS($D$3:D117)-2,Max_Entry_Count)))="","",MOD(ROWS($D$3:D117)-2,Max_Entry_Count)))</f>
        <v/>
      </c>
      <c r="D117" s="26" t="str">
        <f ca="1">IF(OR($A117&gt;=ROWS(Entries)-2,$B117=""),"",'(1)鑑'!$E$6&amp;"-"&amp;OFFSET('(2)出場選手'!$B$2,$A117,D$1))</f>
        <v/>
      </c>
      <c r="E117" s="26" t="str">
        <f ca="1">IF($D117="","",OFFSET('(2)出場選手'!$B$2,$A117,E$1))</f>
        <v/>
      </c>
      <c r="F117" s="26" t="str">
        <f ca="1">IF($D117="","",IF(OFFSET('(2)出場選手'!$B$2,$A117,F$1)="","",OFFSET('(2)出場選手'!$B$2,$A117,F$1)))</f>
        <v/>
      </c>
      <c r="G117" s="26" t="str">
        <f t="shared" ca="1" si="6"/>
        <v/>
      </c>
      <c r="H117" s="26" t="str">
        <f t="shared" ca="1" si="7"/>
        <v/>
      </c>
      <c r="I117" s="26" t="str">
        <f ca="1">IF($D117="","",IF(OFFSET('(2)出場選手'!$B$2,$A117,I$1)="","",OFFSET('(2)出場選手'!$B$2,$A117,I$1)))</f>
        <v/>
      </c>
      <c r="J117" s="26" t="str">
        <f ca="1">IF($D117="","",IF(OFFSET('(2)出場選手'!$B$2,$A117,J$1)="",'(1)鑑'!$E$6,OFFSET('(2)出場選手'!$B$2,$A117,J$1)))</f>
        <v/>
      </c>
      <c r="K117" s="26" t="str">
        <f ca="1">IF($D117="","",TRIM(ASC(IF(OFFSET('(2)出場選手'!$B$2,$A117,K$1)="",'(1)鑑'!$E$7,OFFSET('(2)出場選手'!$B$2,$A117,K$1)))))</f>
        <v/>
      </c>
      <c r="L117" s="26" t="str">
        <f ca="1">IF($D117="","",SUBSTITUTE(SUBSTITUTE(SUBSTITUTE(IF(OFFSET('(2)出場選手'!$B$2,$A117,L$1)="",'(1)鑑'!$E$8,OFFSET('(2)出場選手'!$B$2,$A117,L$1)),"県",""),"府",""),"東京都","東京"))</f>
        <v/>
      </c>
      <c r="M117" s="57" t="str">
        <f ca="1">IF($D117="","",IF(OFFSET('(2)出場選手'!$B$2,$A117,M$1)="","",OFFSET('(2)出場選手'!$B$2,$A117,M$1)))</f>
        <v/>
      </c>
      <c r="N117" s="26" t="str">
        <f ca="1">IF($D117="","",OFFSET('(2)出場選手'!$B$2,$A117,N$1+3*$B117))</f>
        <v/>
      </c>
      <c r="O117" s="26" t="str">
        <f ca="1">IF($D117="","",IF(OFFSET('(2)出場選手'!$B$2,$A117,O$1+3*$B117)="","",OFFSET('(2)出場選手'!$B$2,$A117,O$1+3*$B117)))</f>
        <v/>
      </c>
      <c r="P117" s="26" t="str">
        <f ca="1">IF($D117="","",IF(OFFSET('(2)出場選手'!$B$2,$A117,P$1+3*$B117)="","",OFFSET('(2)出場選手'!$B$2,$A117,P$1+3*$B117)))</f>
        <v/>
      </c>
      <c r="Q117" s="43" t="str">
        <f ca="1">IF(D117="","",VLOOKUP(N117,OFFSET(Competition_Events,0,1),11,FALSE)*IF($S117="リレー",IF(COUNTIF($T$3:$T117,$T117)&gt;1,0,1),1))</f>
        <v/>
      </c>
      <c r="R117" s="26" t="str">
        <f t="shared" ca="1" si="8"/>
        <v/>
      </c>
      <c r="S117" s="26" t="str">
        <f t="shared" ca="1" si="9"/>
        <v/>
      </c>
      <c r="T117" s="26" t="str">
        <f t="shared" ca="1" si="10"/>
        <v/>
      </c>
      <c r="U117" s="26" t="str">
        <f t="shared" ca="1" si="11"/>
        <v/>
      </c>
      <c r="W117" s="17" t="str">
        <f ca="1">IF($D117="","",OFFSET('(2)出場選手'!$B$2,$A117,W$1))</f>
        <v/>
      </c>
      <c r="X117" s="17" t="str">
        <f ca="1">IF($D117="","",OFFSET('(2)出場選手'!$B$2,$A117,X$1))</f>
        <v/>
      </c>
      <c r="Y117" s="17" t="str">
        <f ca="1">IF($D117="","",OFFSET('(2)出場選手'!$B$2,$A117,Y$1))</f>
        <v/>
      </c>
      <c r="Z117" s="17" t="str">
        <f ca="1">IF($D117="","",OFFSET('(2)出場選手'!$B$2,$A117,Z$1))</f>
        <v/>
      </c>
    </row>
    <row r="118" spans="1:26" x14ac:dyDescent="0.15">
      <c r="A118" s="17">
        <f>TRUNC((ROWS($D$3:D118)-2)/Max_Entry_Count)+1</f>
        <v>39</v>
      </c>
      <c r="B118" s="17" t="str">
        <f ca="1">IF($A118&gt;=ROWS(Entries)-2,"",IF(OFFSET('(2)出場選手'!$B$2,$A118,B$1+3*(MOD(ROWS($D$3:D118)-2,Max_Entry_Count)))="","",MOD(ROWS($D$3:D118)-2,Max_Entry_Count)))</f>
        <v/>
      </c>
      <c r="D118" s="26" t="str">
        <f ca="1">IF(OR($A118&gt;=ROWS(Entries)-2,$B118=""),"",'(1)鑑'!$E$6&amp;"-"&amp;OFFSET('(2)出場選手'!$B$2,$A118,D$1))</f>
        <v/>
      </c>
      <c r="E118" s="26" t="str">
        <f ca="1">IF($D118="","",OFFSET('(2)出場選手'!$B$2,$A118,E$1))</f>
        <v/>
      </c>
      <c r="F118" s="26" t="str">
        <f ca="1">IF($D118="","",IF(OFFSET('(2)出場選手'!$B$2,$A118,F$1)="","",OFFSET('(2)出場選手'!$B$2,$A118,F$1)))</f>
        <v/>
      </c>
      <c r="G118" s="26" t="str">
        <f t="shared" ca="1" si="6"/>
        <v/>
      </c>
      <c r="H118" s="26" t="str">
        <f t="shared" ca="1" si="7"/>
        <v/>
      </c>
      <c r="I118" s="26" t="str">
        <f ca="1">IF($D118="","",IF(OFFSET('(2)出場選手'!$B$2,$A118,I$1)="","",OFFSET('(2)出場選手'!$B$2,$A118,I$1)))</f>
        <v/>
      </c>
      <c r="J118" s="26" t="str">
        <f ca="1">IF($D118="","",IF(OFFSET('(2)出場選手'!$B$2,$A118,J$1)="",'(1)鑑'!$E$6,OFFSET('(2)出場選手'!$B$2,$A118,J$1)))</f>
        <v/>
      </c>
      <c r="K118" s="26" t="str">
        <f ca="1">IF($D118="","",TRIM(ASC(IF(OFFSET('(2)出場選手'!$B$2,$A118,K$1)="",'(1)鑑'!$E$7,OFFSET('(2)出場選手'!$B$2,$A118,K$1)))))</f>
        <v/>
      </c>
      <c r="L118" s="26" t="str">
        <f ca="1">IF($D118="","",SUBSTITUTE(SUBSTITUTE(SUBSTITUTE(IF(OFFSET('(2)出場選手'!$B$2,$A118,L$1)="",'(1)鑑'!$E$8,OFFSET('(2)出場選手'!$B$2,$A118,L$1)),"県",""),"府",""),"東京都","東京"))</f>
        <v/>
      </c>
      <c r="M118" s="57" t="str">
        <f ca="1">IF($D118="","",IF(OFFSET('(2)出場選手'!$B$2,$A118,M$1)="","",OFFSET('(2)出場選手'!$B$2,$A118,M$1)))</f>
        <v/>
      </c>
      <c r="N118" s="26" t="str">
        <f ca="1">IF($D118="","",OFFSET('(2)出場選手'!$B$2,$A118,N$1+3*$B118))</f>
        <v/>
      </c>
      <c r="O118" s="26" t="str">
        <f ca="1">IF($D118="","",IF(OFFSET('(2)出場選手'!$B$2,$A118,O$1+3*$B118)="","",OFFSET('(2)出場選手'!$B$2,$A118,O$1+3*$B118)))</f>
        <v/>
      </c>
      <c r="P118" s="26" t="str">
        <f ca="1">IF($D118="","",IF(OFFSET('(2)出場選手'!$B$2,$A118,P$1+3*$B118)="","",OFFSET('(2)出場選手'!$B$2,$A118,P$1+3*$B118)))</f>
        <v/>
      </c>
      <c r="Q118" s="43" t="str">
        <f ca="1">IF(D118="","",VLOOKUP(N118,OFFSET(Competition_Events,0,1),11,FALSE)*IF($S118="リレー",IF(COUNTIF($T$3:$T118,$T118)&gt;1,0,1),1))</f>
        <v/>
      </c>
      <c r="R118" s="26" t="str">
        <f t="shared" ca="1" si="8"/>
        <v/>
      </c>
      <c r="S118" s="26" t="str">
        <f t="shared" ca="1" si="9"/>
        <v/>
      </c>
      <c r="T118" s="26" t="str">
        <f t="shared" ca="1" si="10"/>
        <v/>
      </c>
      <c r="U118" s="26" t="str">
        <f t="shared" ca="1" si="11"/>
        <v/>
      </c>
      <c r="W118" s="17" t="str">
        <f ca="1">IF($D118="","",OFFSET('(2)出場選手'!$B$2,$A118,W$1))</f>
        <v/>
      </c>
      <c r="X118" s="17" t="str">
        <f ca="1">IF($D118="","",OFFSET('(2)出場選手'!$B$2,$A118,X$1))</f>
        <v/>
      </c>
      <c r="Y118" s="17" t="str">
        <f ca="1">IF($D118="","",OFFSET('(2)出場選手'!$B$2,$A118,Y$1))</f>
        <v/>
      </c>
      <c r="Z118" s="17" t="str">
        <f ca="1">IF($D118="","",OFFSET('(2)出場選手'!$B$2,$A118,Z$1))</f>
        <v/>
      </c>
    </row>
    <row r="119" spans="1:26" x14ac:dyDescent="0.15">
      <c r="A119" s="17">
        <f>TRUNC((ROWS($D$3:D119)-2)/Max_Entry_Count)+1</f>
        <v>39</v>
      </c>
      <c r="B119" s="17" t="str">
        <f ca="1">IF($A119&gt;=ROWS(Entries)-2,"",IF(OFFSET('(2)出場選手'!$B$2,$A119,B$1+3*(MOD(ROWS($D$3:D119)-2,Max_Entry_Count)))="","",MOD(ROWS($D$3:D119)-2,Max_Entry_Count)))</f>
        <v/>
      </c>
      <c r="D119" s="26" t="str">
        <f ca="1">IF(OR($A119&gt;=ROWS(Entries)-2,$B119=""),"",'(1)鑑'!$E$6&amp;"-"&amp;OFFSET('(2)出場選手'!$B$2,$A119,D$1))</f>
        <v/>
      </c>
      <c r="E119" s="26" t="str">
        <f ca="1">IF($D119="","",OFFSET('(2)出場選手'!$B$2,$A119,E$1))</f>
        <v/>
      </c>
      <c r="F119" s="26" t="str">
        <f ca="1">IF($D119="","",IF(OFFSET('(2)出場選手'!$B$2,$A119,F$1)="","",OFFSET('(2)出場選手'!$B$2,$A119,F$1)))</f>
        <v/>
      </c>
      <c r="G119" s="26" t="str">
        <f t="shared" ca="1" si="6"/>
        <v/>
      </c>
      <c r="H119" s="26" t="str">
        <f t="shared" ca="1" si="7"/>
        <v/>
      </c>
      <c r="I119" s="26" t="str">
        <f ca="1">IF($D119="","",IF(OFFSET('(2)出場選手'!$B$2,$A119,I$1)="","",OFFSET('(2)出場選手'!$B$2,$A119,I$1)))</f>
        <v/>
      </c>
      <c r="J119" s="26" t="str">
        <f ca="1">IF($D119="","",IF(OFFSET('(2)出場選手'!$B$2,$A119,J$1)="",'(1)鑑'!$E$6,OFFSET('(2)出場選手'!$B$2,$A119,J$1)))</f>
        <v/>
      </c>
      <c r="K119" s="26" t="str">
        <f ca="1">IF($D119="","",TRIM(ASC(IF(OFFSET('(2)出場選手'!$B$2,$A119,K$1)="",'(1)鑑'!$E$7,OFFSET('(2)出場選手'!$B$2,$A119,K$1)))))</f>
        <v/>
      </c>
      <c r="L119" s="26" t="str">
        <f ca="1">IF($D119="","",SUBSTITUTE(SUBSTITUTE(SUBSTITUTE(IF(OFFSET('(2)出場選手'!$B$2,$A119,L$1)="",'(1)鑑'!$E$8,OFFSET('(2)出場選手'!$B$2,$A119,L$1)),"県",""),"府",""),"東京都","東京"))</f>
        <v/>
      </c>
      <c r="M119" s="57" t="str">
        <f ca="1">IF($D119="","",IF(OFFSET('(2)出場選手'!$B$2,$A119,M$1)="","",OFFSET('(2)出場選手'!$B$2,$A119,M$1)))</f>
        <v/>
      </c>
      <c r="N119" s="26" t="str">
        <f ca="1">IF($D119="","",OFFSET('(2)出場選手'!$B$2,$A119,N$1+3*$B119))</f>
        <v/>
      </c>
      <c r="O119" s="26" t="str">
        <f ca="1">IF($D119="","",IF(OFFSET('(2)出場選手'!$B$2,$A119,O$1+3*$B119)="","",OFFSET('(2)出場選手'!$B$2,$A119,O$1+3*$B119)))</f>
        <v/>
      </c>
      <c r="P119" s="26" t="str">
        <f ca="1">IF($D119="","",IF(OFFSET('(2)出場選手'!$B$2,$A119,P$1+3*$B119)="","",OFFSET('(2)出場選手'!$B$2,$A119,P$1+3*$B119)))</f>
        <v/>
      </c>
      <c r="Q119" s="43" t="str">
        <f ca="1">IF(D119="","",VLOOKUP(N119,OFFSET(Competition_Events,0,1),11,FALSE)*IF($S119="リレー",IF(COUNTIF($T$3:$T119,$T119)&gt;1,0,1),1))</f>
        <v/>
      </c>
      <c r="R119" s="26" t="str">
        <f t="shared" ca="1" si="8"/>
        <v/>
      </c>
      <c r="S119" s="26" t="str">
        <f t="shared" ca="1" si="9"/>
        <v/>
      </c>
      <c r="T119" s="26" t="str">
        <f t="shared" ca="1" si="10"/>
        <v/>
      </c>
      <c r="U119" s="26" t="str">
        <f t="shared" ca="1" si="11"/>
        <v/>
      </c>
      <c r="W119" s="17" t="str">
        <f ca="1">IF($D119="","",OFFSET('(2)出場選手'!$B$2,$A119,W$1))</f>
        <v/>
      </c>
      <c r="X119" s="17" t="str">
        <f ca="1">IF($D119="","",OFFSET('(2)出場選手'!$B$2,$A119,X$1))</f>
        <v/>
      </c>
      <c r="Y119" s="17" t="str">
        <f ca="1">IF($D119="","",OFFSET('(2)出場選手'!$B$2,$A119,Y$1))</f>
        <v/>
      </c>
      <c r="Z119" s="17" t="str">
        <f ca="1">IF($D119="","",OFFSET('(2)出場選手'!$B$2,$A119,Z$1))</f>
        <v/>
      </c>
    </row>
    <row r="120" spans="1:26" x14ac:dyDescent="0.15">
      <c r="A120" s="17">
        <f>TRUNC((ROWS($D$3:D120)-2)/Max_Entry_Count)+1</f>
        <v>39</v>
      </c>
      <c r="B120" s="17" t="str">
        <f ca="1">IF($A120&gt;=ROWS(Entries)-2,"",IF(OFFSET('(2)出場選手'!$B$2,$A120,B$1+3*(MOD(ROWS($D$3:D120)-2,Max_Entry_Count)))="","",MOD(ROWS($D$3:D120)-2,Max_Entry_Count)))</f>
        <v/>
      </c>
      <c r="D120" s="26" t="str">
        <f ca="1">IF(OR($A120&gt;=ROWS(Entries)-2,$B120=""),"",'(1)鑑'!$E$6&amp;"-"&amp;OFFSET('(2)出場選手'!$B$2,$A120,D$1))</f>
        <v/>
      </c>
      <c r="E120" s="26" t="str">
        <f ca="1">IF($D120="","",OFFSET('(2)出場選手'!$B$2,$A120,E$1))</f>
        <v/>
      </c>
      <c r="F120" s="26" t="str">
        <f ca="1">IF($D120="","",IF(OFFSET('(2)出場選手'!$B$2,$A120,F$1)="","",OFFSET('(2)出場選手'!$B$2,$A120,F$1)))</f>
        <v/>
      </c>
      <c r="G120" s="26" t="str">
        <f t="shared" ca="1" si="6"/>
        <v/>
      </c>
      <c r="H120" s="26" t="str">
        <f t="shared" ca="1" si="7"/>
        <v/>
      </c>
      <c r="I120" s="26" t="str">
        <f ca="1">IF($D120="","",IF(OFFSET('(2)出場選手'!$B$2,$A120,I$1)="","",OFFSET('(2)出場選手'!$B$2,$A120,I$1)))</f>
        <v/>
      </c>
      <c r="J120" s="26" t="str">
        <f ca="1">IF($D120="","",IF(OFFSET('(2)出場選手'!$B$2,$A120,J$1)="",'(1)鑑'!$E$6,OFFSET('(2)出場選手'!$B$2,$A120,J$1)))</f>
        <v/>
      </c>
      <c r="K120" s="26" t="str">
        <f ca="1">IF($D120="","",TRIM(ASC(IF(OFFSET('(2)出場選手'!$B$2,$A120,K$1)="",'(1)鑑'!$E$7,OFFSET('(2)出場選手'!$B$2,$A120,K$1)))))</f>
        <v/>
      </c>
      <c r="L120" s="26" t="str">
        <f ca="1">IF($D120="","",SUBSTITUTE(SUBSTITUTE(SUBSTITUTE(IF(OFFSET('(2)出場選手'!$B$2,$A120,L$1)="",'(1)鑑'!$E$8,OFFSET('(2)出場選手'!$B$2,$A120,L$1)),"県",""),"府",""),"東京都","東京"))</f>
        <v/>
      </c>
      <c r="M120" s="57" t="str">
        <f ca="1">IF($D120="","",IF(OFFSET('(2)出場選手'!$B$2,$A120,M$1)="","",OFFSET('(2)出場選手'!$B$2,$A120,M$1)))</f>
        <v/>
      </c>
      <c r="N120" s="26" t="str">
        <f ca="1">IF($D120="","",OFFSET('(2)出場選手'!$B$2,$A120,N$1+3*$B120))</f>
        <v/>
      </c>
      <c r="O120" s="26" t="str">
        <f ca="1">IF($D120="","",IF(OFFSET('(2)出場選手'!$B$2,$A120,O$1+3*$B120)="","",OFFSET('(2)出場選手'!$B$2,$A120,O$1+3*$B120)))</f>
        <v/>
      </c>
      <c r="P120" s="26" t="str">
        <f ca="1">IF($D120="","",IF(OFFSET('(2)出場選手'!$B$2,$A120,P$1+3*$B120)="","",OFFSET('(2)出場選手'!$B$2,$A120,P$1+3*$B120)))</f>
        <v/>
      </c>
      <c r="Q120" s="43" t="str">
        <f ca="1">IF(D120="","",VLOOKUP(N120,OFFSET(Competition_Events,0,1),11,FALSE)*IF($S120="リレー",IF(COUNTIF($T$3:$T120,$T120)&gt;1,0,1),1))</f>
        <v/>
      </c>
      <c r="R120" s="26" t="str">
        <f t="shared" ca="1" si="8"/>
        <v/>
      </c>
      <c r="S120" s="26" t="str">
        <f t="shared" ca="1" si="9"/>
        <v/>
      </c>
      <c r="T120" s="26" t="str">
        <f t="shared" ca="1" si="10"/>
        <v/>
      </c>
      <c r="U120" s="26" t="str">
        <f t="shared" ca="1" si="11"/>
        <v/>
      </c>
      <c r="W120" s="17" t="str">
        <f ca="1">IF($D120="","",OFFSET('(2)出場選手'!$B$2,$A120,W$1))</f>
        <v/>
      </c>
      <c r="X120" s="17" t="str">
        <f ca="1">IF($D120="","",OFFSET('(2)出場選手'!$B$2,$A120,X$1))</f>
        <v/>
      </c>
      <c r="Y120" s="17" t="str">
        <f ca="1">IF($D120="","",OFFSET('(2)出場選手'!$B$2,$A120,Y$1))</f>
        <v/>
      </c>
      <c r="Z120" s="17" t="str">
        <f ca="1">IF($D120="","",OFFSET('(2)出場選手'!$B$2,$A120,Z$1))</f>
        <v/>
      </c>
    </row>
    <row r="121" spans="1:26" x14ac:dyDescent="0.15">
      <c r="A121" s="17">
        <f>TRUNC((ROWS($D$3:D121)-2)/Max_Entry_Count)+1</f>
        <v>40</v>
      </c>
      <c r="B121" s="17" t="str">
        <f ca="1">IF($A121&gt;=ROWS(Entries)-2,"",IF(OFFSET('(2)出場選手'!$B$2,$A121,B$1+3*(MOD(ROWS($D$3:D121)-2,Max_Entry_Count)))="","",MOD(ROWS($D$3:D121)-2,Max_Entry_Count)))</f>
        <v/>
      </c>
      <c r="D121" s="26" t="str">
        <f ca="1">IF(OR($A121&gt;=ROWS(Entries)-2,$B121=""),"",'(1)鑑'!$E$6&amp;"-"&amp;OFFSET('(2)出場選手'!$B$2,$A121,D$1))</f>
        <v/>
      </c>
      <c r="E121" s="26" t="str">
        <f ca="1">IF($D121="","",OFFSET('(2)出場選手'!$B$2,$A121,E$1))</f>
        <v/>
      </c>
      <c r="F121" s="26" t="str">
        <f ca="1">IF($D121="","",IF(OFFSET('(2)出場選手'!$B$2,$A121,F$1)="","",OFFSET('(2)出場選手'!$B$2,$A121,F$1)))</f>
        <v/>
      </c>
      <c r="G121" s="26" t="str">
        <f t="shared" ca="1" si="6"/>
        <v/>
      </c>
      <c r="H121" s="26" t="str">
        <f t="shared" ca="1" si="7"/>
        <v/>
      </c>
      <c r="I121" s="26" t="str">
        <f ca="1">IF($D121="","",IF(OFFSET('(2)出場選手'!$B$2,$A121,I$1)="","",OFFSET('(2)出場選手'!$B$2,$A121,I$1)))</f>
        <v/>
      </c>
      <c r="J121" s="26" t="str">
        <f ca="1">IF($D121="","",IF(OFFSET('(2)出場選手'!$B$2,$A121,J$1)="",'(1)鑑'!$E$6,OFFSET('(2)出場選手'!$B$2,$A121,J$1)))</f>
        <v/>
      </c>
      <c r="K121" s="26" t="str">
        <f ca="1">IF($D121="","",TRIM(ASC(IF(OFFSET('(2)出場選手'!$B$2,$A121,K$1)="",'(1)鑑'!$E$7,OFFSET('(2)出場選手'!$B$2,$A121,K$1)))))</f>
        <v/>
      </c>
      <c r="L121" s="26" t="str">
        <f ca="1">IF($D121="","",SUBSTITUTE(SUBSTITUTE(SUBSTITUTE(IF(OFFSET('(2)出場選手'!$B$2,$A121,L$1)="",'(1)鑑'!$E$8,OFFSET('(2)出場選手'!$B$2,$A121,L$1)),"県",""),"府",""),"東京都","東京"))</f>
        <v/>
      </c>
      <c r="M121" s="57" t="str">
        <f ca="1">IF($D121="","",IF(OFFSET('(2)出場選手'!$B$2,$A121,M$1)="","",OFFSET('(2)出場選手'!$B$2,$A121,M$1)))</f>
        <v/>
      </c>
      <c r="N121" s="26" t="str">
        <f ca="1">IF($D121="","",OFFSET('(2)出場選手'!$B$2,$A121,N$1+3*$B121))</f>
        <v/>
      </c>
      <c r="O121" s="26" t="str">
        <f ca="1">IF($D121="","",IF(OFFSET('(2)出場選手'!$B$2,$A121,O$1+3*$B121)="","",OFFSET('(2)出場選手'!$B$2,$A121,O$1+3*$B121)))</f>
        <v/>
      </c>
      <c r="P121" s="26" t="str">
        <f ca="1">IF($D121="","",IF(OFFSET('(2)出場選手'!$B$2,$A121,P$1+3*$B121)="","",OFFSET('(2)出場選手'!$B$2,$A121,P$1+3*$B121)))</f>
        <v/>
      </c>
      <c r="Q121" s="43" t="str">
        <f ca="1">IF(D121="","",VLOOKUP(N121,OFFSET(Competition_Events,0,1),11,FALSE)*IF($S121="リレー",IF(COUNTIF($T$3:$T121,$T121)&gt;1,0,1),1))</f>
        <v/>
      </c>
      <c r="R121" s="26" t="str">
        <f t="shared" ca="1" si="8"/>
        <v/>
      </c>
      <c r="S121" s="26" t="str">
        <f t="shared" ca="1" si="9"/>
        <v/>
      </c>
      <c r="T121" s="26" t="str">
        <f t="shared" ca="1" si="10"/>
        <v/>
      </c>
      <c r="U121" s="26" t="str">
        <f t="shared" ca="1" si="11"/>
        <v/>
      </c>
      <c r="W121" s="17" t="str">
        <f ca="1">IF($D121="","",OFFSET('(2)出場選手'!$B$2,$A121,W$1))</f>
        <v/>
      </c>
      <c r="X121" s="17" t="str">
        <f ca="1">IF($D121="","",OFFSET('(2)出場選手'!$B$2,$A121,X$1))</f>
        <v/>
      </c>
      <c r="Y121" s="17" t="str">
        <f ca="1">IF($D121="","",OFFSET('(2)出場選手'!$B$2,$A121,Y$1))</f>
        <v/>
      </c>
      <c r="Z121" s="17" t="str">
        <f ca="1">IF($D121="","",OFFSET('(2)出場選手'!$B$2,$A121,Z$1))</f>
        <v/>
      </c>
    </row>
    <row r="122" spans="1:26" x14ac:dyDescent="0.15">
      <c r="A122" s="17">
        <f>TRUNC((ROWS($D$3:D122)-2)/Max_Entry_Count)+1</f>
        <v>40</v>
      </c>
      <c r="B122" s="17" t="str">
        <f ca="1">IF($A122&gt;=ROWS(Entries)-2,"",IF(OFFSET('(2)出場選手'!$B$2,$A122,B$1+3*(MOD(ROWS($D$3:D122)-2,Max_Entry_Count)))="","",MOD(ROWS($D$3:D122)-2,Max_Entry_Count)))</f>
        <v/>
      </c>
      <c r="D122" s="26" t="str">
        <f ca="1">IF(OR($A122&gt;=ROWS(Entries)-2,$B122=""),"",'(1)鑑'!$E$6&amp;"-"&amp;OFFSET('(2)出場選手'!$B$2,$A122,D$1))</f>
        <v/>
      </c>
      <c r="E122" s="26" t="str">
        <f ca="1">IF($D122="","",OFFSET('(2)出場選手'!$B$2,$A122,E$1))</f>
        <v/>
      </c>
      <c r="F122" s="26" t="str">
        <f ca="1">IF($D122="","",IF(OFFSET('(2)出場選手'!$B$2,$A122,F$1)="","",OFFSET('(2)出場選手'!$B$2,$A122,F$1)))</f>
        <v/>
      </c>
      <c r="G122" s="26" t="str">
        <f t="shared" ca="1" si="6"/>
        <v/>
      </c>
      <c r="H122" s="26" t="str">
        <f t="shared" ca="1" si="7"/>
        <v/>
      </c>
      <c r="I122" s="26" t="str">
        <f ca="1">IF($D122="","",IF(OFFSET('(2)出場選手'!$B$2,$A122,I$1)="","",OFFSET('(2)出場選手'!$B$2,$A122,I$1)))</f>
        <v/>
      </c>
      <c r="J122" s="26" t="str">
        <f ca="1">IF($D122="","",IF(OFFSET('(2)出場選手'!$B$2,$A122,J$1)="",'(1)鑑'!$E$6,OFFSET('(2)出場選手'!$B$2,$A122,J$1)))</f>
        <v/>
      </c>
      <c r="K122" s="26" t="str">
        <f ca="1">IF($D122="","",TRIM(ASC(IF(OFFSET('(2)出場選手'!$B$2,$A122,K$1)="",'(1)鑑'!$E$7,OFFSET('(2)出場選手'!$B$2,$A122,K$1)))))</f>
        <v/>
      </c>
      <c r="L122" s="26" t="str">
        <f ca="1">IF($D122="","",SUBSTITUTE(SUBSTITUTE(SUBSTITUTE(IF(OFFSET('(2)出場選手'!$B$2,$A122,L$1)="",'(1)鑑'!$E$8,OFFSET('(2)出場選手'!$B$2,$A122,L$1)),"県",""),"府",""),"東京都","東京"))</f>
        <v/>
      </c>
      <c r="M122" s="57" t="str">
        <f ca="1">IF($D122="","",IF(OFFSET('(2)出場選手'!$B$2,$A122,M$1)="","",OFFSET('(2)出場選手'!$B$2,$A122,M$1)))</f>
        <v/>
      </c>
      <c r="N122" s="26" t="str">
        <f ca="1">IF($D122="","",OFFSET('(2)出場選手'!$B$2,$A122,N$1+3*$B122))</f>
        <v/>
      </c>
      <c r="O122" s="26" t="str">
        <f ca="1">IF($D122="","",IF(OFFSET('(2)出場選手'!$B$2,$A122,O$1+3*$B122)="","",OFFSET('(2)出場選手'!$B$2,$A122,O$1+3*$B122)))</f>
        <v/>
      </c>
      <c r="P122" s="26" t="str">
        <f ca="1">IF($D122="","",IF(OFFSET('(2)出場選手'!$B$2,$A122,P$1+3*$B122)="","",OFFSET('(2)出場選手'!$B$2,$A122,P$1+3*$B122)))</f>
        <v/>
      </c>
      <c r="Q122" s="43" t="str">
        <f ca="1">IF(D122="","",VLOOKUP(N122,OFFSET(Competition_Events,0,1),11,FALSE)*IF($S122="リレー",IF(COUNTIF($T$3:$T122,$T122)&gt;1,0,1),1))</f>
        <v/>
      </c>
      <c r="R122" s="26" t="str">
        <f t="shared" ca="1" si="8"/>
        <v/>
      </c>
      <c r="S122" s="26" t="str">
        <f t="shared" ca="1" si="9"/>
        <v/>
      </c>
      <c r="T122" s="26" t="str">
        <f t="shared" ca="1" si="10"/>
        <v/>
      </c>
      <c r="U122" s="26" t="str">
        <f t="shared" ca="1" si="11"/>
        <v/>
      </c>
      <c r="W122" s="17" t="str">
        <f ca="1">IF($D122="","",OFFSET('(2)出場選手'!$B$2,$A122,W$1))</f>
        <v/>
      </c>
      <c r="X122" s="17" t="str">
        <f ca="1">IF($D122="","",OFFSET('(2)出場選手'!$B$2,$A122,X$1))</f>
        <v/>
      </c>
      <c r="Y122" s="17" t="str">
        <f ca="1">IF($D122="","",OFFSET('(2)出場選手'!$B$2,$A122,Y$1))</f>
        <v/>
      </c>
      <c r="Z122" s="17" t="str">
        <f ca="1">IF($D122="","",OFFSET('(2)出場選手'!$B$2,$A122,Z$1))</f>
        <v/>
      </c>
    </row>
    <row r="123" spans="1:26" x14ac:dyDescent="0.15">
      <c r="A123" s="17">
        <f>TRUNC((ROWS($D$3:D123)-2)/Max_Entry_Count)+1</f>
        <v>40</v>
      </c>
      <c r="B123" s="17" t="str">
        <f ca="1">IF($A123&gt;=ROWS(Entries)-2,"",IF(OFFSET('(2)出場選手'!$B$2,$A123,B$1+3*(MOD(ROWS($D$3:D123)-2,Max_Entry_Count)))="","",MOD(ROWS($D$3:D123)-2,Max_Entry_Count)))</f>
        <v/>
      </c>
      <c r="D123" s="26" t="str">
        <f ca="1">IF(OR($A123&gt;=ROWS(Entries)-2,$B123=""),"",'(1)鑑'!$E$6&amp;"-"&amp;OFFSET('(2)出場選手'!$B$2,$A123,D$1))</f>
        <v/>
      </c>
      <c r="E123" s="26" t="str">
        <f ca="1">IF($D123="","",OFFSET('(2)出場選手'!$B$2,$A123,E$1))</f>
        <v/>
      </c>
      <c r="F123" s="26" t="str">
        <f ca="1">IF($D123="","",IF(OFFSET('(2)出場選手'!$B$2,$A123,F$1)="","",OFFSET('(2)出場選手'!$B$2,$A123,F$1)))</f>
        <v/>
      </c>
      <c r="G123" s="26" t="str">
        <f t="shared" ca="1" si="6"/>
        <v/>
      </c>
      <c r="H123" s="26" t="str">
        <f t="shared" ca="1" si="7"/>
        <v/>
      </c>
      <c r="I123" s="26" t="str">
        <f ca="1">IF($D123="","",IF(OFFSET('(2)出場選手'!$B$2,$A123,I$1)="","",OFFSET('(2)出場選手'!$B$2,$A123,I$1)))</f>
        <v/>
      </c>
      <c r="J123" s="26" t="str">
        <f ca="1">IF($D123="","",IF(OFFSET('(2)出場選手'!$B$2,$A123,J$1)="",'(1)鑑'!$E$6,OFFSET('(2)出場選手'!$B$2,$A123,J$1)))</f>
        <v/>
      </c>
      <c r="K123" s="26" t="str">
        <f ca="1">IF($D123="","",TRIM(ASC(IF(OFFSET('(2)出場選手'!$B$2,$A123,K$1)="",'(1)鑑'!$E$7,OFFSET('(2)出場選手'!$B$2,$A123,K$1)))))</f>
        <v/>
      </c>
      <c r="L123" s="26" t="str">
        <f ca="1">IF($D123="","",SUBSTITUTE(SUBSTITUTE(SUBSTITUTE(IF(OFFSET('(2)出場選手'!$B$2,$A123,L$1)="",'(1)鑑'!$E$8,OFFSET('(2)出場選手'!$B$2,$A123,L$1)),"県",""),"府",""),"東京都","東京"))</f>
        <v/>
      </c>
      <c r="M123" s="57" t="str">
        <f ca="1">IF($D123="","",IF(OFFSET('(2)出場選手'!$B$2,$A123,M$1)="","",OFFSET('(2)出場選手'!$B$2,$A123,M$1)))</f>
        <v/>
      </c>
      <c r="N123" s="26" t="str">
        <f ca="1">IF($D123="","",OFFSET('(2)出場選手'!$B$2,$A123,N$1+3*$B123))</f>
        <v/>
      </c>
      <c r="O123" s="26" t="str">
        <f ca="1">IF($D123="","",IF(OFFSET('(2)出場選手'!$B$2,$A123,O$1+3*$B123)="","",OFFSET('(2)出場選手'!$B$2,$A123,O$1+3*$B123)))</f>
        <v/>
      </c>
      <c r="P123" s="26" t="str">
        <f ca="1">IF($D123="","",IF(OFFSET('(2)出場選手'!$B$2,$A123,P$1+3*$B123)="","",OFFSET('(2)出場選手'!$B$2,$A123,P$1+3*$B123)))</f>
        <v/>
      </c>
      <c r="Q123" s="43" t="str">
        <f ca="1">IF(D123="","",VLOOKUP(N123,OFFSET(Competition_Events,0,1),11,FALSE)*IF($S123="リレー",IF(COUNTIF($T$3:$T123,$T123)&gt;1,0,1),1))</f>
        <v/>
      </c>
      <c r="R123" s="26" t="str">
        <f t="shared" ca="1" si="8"/>
        <v/>
      </c>
      <c r="S123" s="26" t="str">
        <f t="shared" ca="1" si="9"/>
        <v/>
      </c>
      <c r="T123" s="26" t="str">
        <f t="shared" ca="1" si="10"/>
        <v/>
      </c>
      <c r="U123" s="26" t="str">
        <f t="shared" ca="1" si="11"/>
        <v/>
      </c>
      <c r="W123" s="17" t="str">
        <f ca="1">IF($D123="","",OFFSET('(2)出場選手'!$B$2,$A123,W$1))</f>
        <v/>
      </c>
      <c r="X123" s="17" t="str">
        <f ca="1">IF($D123="","",OFFSET('(2)出場選手'!$B$2,$A123,X$1))</f>
        <v/>
      </c>
      <c r="Y123" s="17" t="str">
        <f ca="1">IF($D123="","",OFFSET('(2)出場選手'!$B$2,$A123,Y$1))</f>
        <v/>
      </c>
      <c r="Z123" s="17" t="str">
        <f ca="1">IF($D123="","",OFFSET('(2)出場選手'!$B$2,$A123,Z$1))</f>
        <v/>
      </c>
    </row>
    <row r="124" spans="1:26" x14ac:dyDescent="0.15">
      <c r="A124" s="17">
        <f>TRUNC((ROWS($D$3:D124)-2)/Max_Entry_Count)+1</f>
        <v>41</v>
      </c>
      <c r="B124" s="17" t="str">
        <f ca="1">IF($A124&gt;=ROWS(Entries)-2,"",IF(OFFSET('(2)出場選手'!$B$2,$A124,B$1+3*(MOD(ROWS($D$3:D124)-2,Max_Entry_Count)))="","",MOD(ROWS($D$3:D124)-2,Max_Entry_Count)))</f>
        <v/>
      </c>
      <c r="D124" s="26" t="str">
        <f ca="1">IF(OR($A124&gt;=ROWS(Entries)-2,$B124=""),"",'(1)鑑'!$E$6&amp;"-"&amp;OFFSET('(2)出場選手'!$B$2,$A124,D$1))</f>
        <v/>
      </c>
      <c r="E124" s="26" t="str">
        <f ca="1">IF($D124="","",OFFSET('(2)出場選手'!$B$2,$A124,E$1))</f>
        <v/>
      </c>
      <c r="F124" s="26" t="str">
        <f ca="1">IF($D124="","",IF(OFFSET('(2)出場選手'!$B$2,$A124,F$1)="","",OFFSET('(2)出場選手'!$B$2,$A124,F$1)))</f>
        <v/>
      </c>
      <c r="G124" s="26" t="str">
        <f t="shared" ca="1" si="6"/>
        <v/>
      </c>
      <c r="H124" s="26" t="str">
        <f t="shared" ca="1" si="7"/>
        <v/>
      </c>
      <c r="I124" s="26" t="str">
        <f ca="1">IF($D124="","",IF(OFFSET('(2)出場選手'!$B$2,$A124,I$1)="","",OFFSET('(2)出場選手'!$B$2,$A124,I$1)))</f>
        <v/>
      </c>
      <c r="J124" s="26" t="str">
        <f ca="1">IF($D124="","",IF(OFFSET('(2)出場選手'!$B$2,$A124,J$1)="",'(1)鑑'!$E$6,OFFSET('(2)出場選手'!$B$2,$A124,J$1)))</f>
        <v/>
      </c>
      <c r="K124" s="26" t="str">
        <f ca="1">IF($D124="","",TRIM(ASC(IF(OFFSET('(2)出場選手'!$B$2,$A124,K$1)="",'(1)鑑'!$E$7,OFFSET('(2)出場選手'!$B$2,$A124,K$1)))))</f>
        <v/>
      </c>
      <c r="L124" s="26" t="str">
        <f ca="1">IF($D124="","",SUBSTITUTE(SUBSTITUTE(SUBSTITUTE(IF(OFFSET('(2)出場選手'!$B$2,$A124,L$1)="",'(1)鑑'!$E$8,OFFSET('(2)出場選手'!$B$2,$A124,L$1)),"県",""),"府",""),"東京都","東京"))</f>
        <v/>
      </c>
      <c r="M124" s="57" t="str">
        <f ca="1">IF($D124="","",IF(OFFSET('(2)出場選手'!$B$2,$A124,M$1)="","",OFFSET('(2)出場選手'!$B$2,$A124,M$1)))</f>
        <v/>
      </c>
      <c r="N124" s="26" t="str">
        <f ca="1">IF($D124="","",OFFSET('(2)出場選手'!$B$2,$A124,N$1+3*$B124))</f>
        <v/>
      </c>
      <c r="O124" s="26" t="str">
        <f ca="1">IF($D124="","",IF(OFFSET('(2)出場選手'!$B$2,$A124,O$1+3*$B124)="","",OFFSET('(2)出場選手'!$B$2,$A124,O$1+3*$B124)))</f>
        <v/>
      </c>
      <c r="P124" s="26" t="str">
        <f ca="1">IF($D124="","",IF(OFFSET('(2)出場選手'!$B$2,$A124,P$1+3*$B124)="","",OFFSET('(2)出場選手'!$B$2,$A124,P$1+3*$B124)))</f>
        <v/>
      </c>
      <c r="Q124" s="43" t="str">
        <f ca="1">IF(D124="","",VLOOKUP(N124,OFFSET(Competition_Events,0,1),11,FALSE)*IF($S124="リレー",IF(COUNTIF($T$3:$T124,$T124)&gt;1,0,1),1))</f>
        <v/>
      </c>
      <c r="R124" s="26" t="str">
        <f t="shared" ca="1" si="8"/>
        <v/>
      </c>
      <c r="S124" s="26" t="str">
        <f t="shared" ca="1" si="9"/>
        <v/>
      </c>
      <c r="T124" s="26" t="str">
        <f t="shared" ca="1" si="10"/>
        <v/>
      </c>
      <c r="U124" s="26" t="str">
        <f t="shared" ca="1" si="11"/>
        <v/>
      </c>
      <c r="W124" s="17" t="str">
        <f ca="1">IF($D124="","",OFFSET('(2)出場選手'!$B$2,$A124,W$1))</f>
        <v/>
      </c>
      <c r="X124" s="17" t="str">
        <f ca="1">IF($D124="","",OFFSET('(2)出場選手'!$B$2,$A124,X$1))</f>
        <v/>
      </c>
      <c r="Y124" s="17" t="str">
        <f ca="1">IF($D124="","",OFFSET('(2)出場選手'!$B$2,$A124,Y$1))</f>
        <v/>
      </c>
      <c r="Z124" s="17" t="str">
        <f ca="1">IF($D124="","",OFFSET('(2)出場選手'!$B$2,$A124,Z$1))</f>
        <v/>
      </c>
    </row>
    <row r="125" spans="1:26" x14ac:dyDescent="0.15">
      <c r="A125" s="17">
        <f>TRUNC((ROWS($D$3:D125)-2)/Max_Entry_Count)+1</f>
        <v>41</v>
      </c>
      <c r="B125" s="17" t="str">
        <f ca="1">IF($A125&gt;=ROWS(Entries)-2,"",IF(OFFSET('(2)出場選手'!$B$2,$A125,B$1+3*(MOD(ROWS($D$3:D125)-2,Max_Entry_Count)))="","",MOD(ROWS($D$3:D125)-2,Max_Entry_Count)))</f>
        <v/>
      </c>
      <c r="D125" s="26" t="str">
        <f ca="1">IF(OR($A125&gt;=ROWS(Entries)-2,$B125=""),"",'(1)鑑'!$E$6&amp;"-"&amp;OFFSET('(2)出場選手'!$B$2,$A125,D$1))</f>
        <v/>
      </c>
      <c r="E125" s="26" t="str">
        <f ca="1">IF($D125="","",OFFSET('(2)出場選手'!$B$2,$A125,E$1))</f>
        <v/>
      </c>
      <c r="F125" s="26" t="str">
        <f ca="1">IF($D125="","",IF(OFFSET('(2)出場選手'!$B$2,$A125,F$1)="","",OFFSET('(2)出場選手'!$B$2,$A125,F$1)))</f>
        <v/>
      </c>
      <c r="G125" s="26" t="str">
        <f t="shared" ca="1" si="6"/>
        <v/>
      </c>
      <c r="H125" s="26" t="str">
        <f t="shared" ca="1" si="7"/>
        <v/>
      </c>
      <c r="I125" s="26" t="str">
        <f ca="1">IF($D125="","",IF(OFFSET('(2)出場選手'!$B$2,$A125,I$1)="","",OFFSET('(2)出場選手'!$B$2,$A125,I$1)))</f>
        <v/>
      </c>
      <c r="J125" s="26" t="str">
        <f ca="1">IF($D125="","",IF(OFFSET('(2)出場選手'!$B$2,$A125,J$1)="",'(1)鑑'!$E$6,OFFSET('(2)出場選手'!$B$2,$A125,J$1)))</f>
        <v/>
      </c>
      <c r="K125" s="26" t="str">
        <f ca="1">IF($D125="","",TRIM(ASC(IF(OFFSET('(2)出場選手'!$B$2,$A125,K$1)="",'(1)鑑'!$E$7,OFFSET('(2)出場選手'!$B$2,$A125,K$1)))))</f>
        <v/>
      </c>
      <c r="L125" s="26" t="str">
        <f ca="1">IF($D125="","",SUBSTITUTE(SUBSTITUTE(SUBSTITUTE(IF(OFFSET('(2)出場選手'!$B$2,$A125,L$1)="",'(1)鑑'!$E$8,OFFSET('(2)出場選手'!$B$2,$A125,L$1)),"県",""),"府",""),"東京都","東京"))</f>
        <v/>
      </c>
      <c r="M125" s="57" t="str">
        <f ca="1">IF($D125="","",IF(OFFSET('(2)出場選手'!$B$2,$A125,M$1)="","",OFFSET('(2)出場選手'!$B$2,$A125,M$1)))</f>
        <v/>
      </c>
      <c r="N125" s="26" t="str">
        <f ca="1">IF($D125="","",OFFSET('(2)出場選手'!$B$2,$A125,N$1+3*$B125))</f>
        <v/>
      </c>
      <c r="O125" s="26" t="str">
        <f ca="1">IF($D125="","",IF(OFFSET('(2)出場選手'!$B$2,$A125,O$1+3*$B125)="","",OFFSET('(2)出場選手'!$B$2,$A125,O$1+3*$B125)))</f>
        <v/>
      </c>
      <c r="P125" s="26" t="str">
        <f ca="1">IF($D125="","",IF(OFFSET('(2)出場選手'!$B$2,$A125,P$1+3*$B125)="","",OFFSET('(2)出場選手'!$B$2,$A125,P$1+3*$B125)))</f>
        <v/>
      </c>
      <c r="Q125" s="43" t="str">
        <f ca="1">IF(D125="","",VLOOKUP(N125,OFFSET(Competition_Events,0,1),11,FALSE)*IF($S125="リレー",IF(COUNTIF($T$3:$T125,$T125)&gt;1,0,1),1))</f>
        <v/>
      </c>
      <c r="R125" s="26" t="str">
        <f t="shared" ca="1" si="8"/>
        <v/>
      </c>
      <c r="S125" s="26" t="str">
        <f t="shared" ca="1" si="9"/>
        <v/>
      </c>
      <c r="T125" s="26" t="str">
        <f t="shared" ca="1" si="10"/>
        <v/>
      </c>
      <c r="U125" s="26" t="str">
        <f t="shared" ca="1" si="11"/>
        <v/>
      </c>
      <c r="W125" s="17" t="str">
        <f ca="1">IF($D125="","",OFFSET('(2)出場選手'!$B$2,$A125,W$1))</f>
        <v/>
      </c>
      <c r="X125" s="17" t="str">
        <f ca="1">IF($D125="","",OFFSET('(2)出場選手'!$B$2,$A125,X$1))</f>
        <v/>
      </c>
      <c r="Y125" s="17" t="str">
        <f ca="1">IF($D125="","",OFFSET('(2)出場選手'!$B$2,$A125,Y$1))</f>
        <v/>
      </c>
      <c r="Z125" s="17" t="str">
        <f ca="1">IF($D125="","",OFFSET('(2)出場選手'!$B$2,$A125,Z$1))</f>
        <v/>
      </c>
    </row>
    <row r="126" spans="1:26" x14ac:dyDescent="0.15">
      <c r="A126" s="17">
        <f>TRUNC((ROWS($D$3:D126)-2)/Max_Entry_Count)+1</f>
        <v>41</v>
      </c>
      <c r="B126" s="17" t="str">
        <f ca="1">IF($A126&gt;=ROWS(Entries)-2,"",IF(OFFSET('(2)出場選手'!$B$2,$A126,B$1+3*(MOD(ROWS($D$3:D126)-2,Max_Entry_Count)))="","",MOD(ROWS($D$3:D126)-2,Max_Entry_Count)))</f>
        <v/>
      </c>
      <c r="D126" s="26" t="str">
        <f ca="1">IF(OR($A126&gt;=ROWS(Entries)-2,$B126=""),"",'(1)鑑'!$E$6&amp;"-"&amp;OFFSET('(2)出場選手'!$B$2,$A126,D$1))</f>
        <v/>
      </c>
      <c r="E126" s="26" t="str">
        <f ca="1">IF($D126="","",OFFSET('(2)出場選手'!$B$2,$A126,E$1))</f>
        <v/>
      </c>
      <c r="F126" s="26" t="str">
        <f ca="1">IF($D126="","",IF(OFFSET('(2)出場選手'!$B$2,$A126,F$1)="","",OFFSET('(2)出場選手'!$B$2,$A126,F$1)))</f>
        <v/>
      </c>
      <c r="G126" s="26" t="str">
        <f t="shared" ca="1" si="6"/>
        <v/>
      </c>
      <c r="H126" s="26" t="str">
        <f t="shared" ca="1" si="7"/>
        <v/>
      </c>
      <c r="I126" s="26" t="str">
        <f ca="1">IF($D126="","",IF(OFFSET('(2)出場選手'!$B$2,$A126,I$1)="","",OFFSET('(2)出場選手'!$B$2,$A126,I$1)))</f>
        <v/>
      </c>
      <c r="J126" s="26" t="str">
        <f ca="1">IF($D126="","",IF(OFFSET('(2)出場選手'!$B$2,$A126,J$1)="",'(1)鑑'!$E$6,OFFSET('(2)出場選手'!$B$2,$A126,J$1)))</f>
        <v/>
      </c>
      <c r="K126" s="26" t="str">
        <f ca="1">IF($D126="","",TRIM(ASC(IF(OFFSET('(2)出場選手'!$B$2,$A126,K$1)="",'(1)鑑'!$E$7,OFFSET('(2)出場選手'!$B$2,$A126,K$1)))))</f>
        <v/>
      </c>
      <c r="L126" s="26" t="str">
        <f ca="1">IF($D126="","",SUBSTITUTE(SUBSTITUTE(SUBSTITUTE(IF(OFFSET('(2)出場選手'!$B$2,$A126,L$1)="",'(1)鑑'!$E$8,OFFSET('(2)出場選手'!$B$2,$A126,L$1)),"県",""),"府",""),"東京都","東京"))</f>
        <v/>
      </c>
      <c r="M126" s="57" t="str">
        <f ca="1">IF($D126="","",IF(OFFSET('(2)出場選手'!$B$2,$A126,M$1)="","",OFFSET('(2)出場選手'!$B$2,$A126,M$1)))</f>
        <v/>
      </c>
      <c r="N126" s="26" t="str">
        <f ca="1">IF($D126="","",OFFSET('(2)出場選手'!$B$2,$A126,N$1+3*$B126))</f>
        <v/>
      </c>
      <c r="O126" s="26" t="str">
        <f ca="1">IF($D126="","",IF(OFFSET('(2)出場選手'!$B$2,$A126,O$1+3*$B126)="","",OFFSET('(2)出場選手'!$B$2,$A126,O$1+3*$B126)))</f>
        <v/>
      </c>
      <c r="P126" s="26" t="str">
        <f ca="1">IF($D126="","",IF(OFFSET('(2)出場選手'!$B$2,$A126,P$1+3*$B126)="","",OFFSET('(2)出場選手'!$B$2,$A126,P$1+3*$B126)))</f>
        <v/>
      </c>
      <c r="Q126" s="43" t="str">
        <f ca="1">IF(D126="","",VLOOKUP(N126,OFFSET(Competition_Events,0,1),11,FALSE)*IF($S126="リレー",IF(COUNTIF($T$3:$T126,$T126)&gt;1,0,1),1))</f>
        <v/>
      </c>
      <c r="R126" s="26" t="str">
        <f t="shared" ca="1" si="8"/>
        <v/>
      </c>
      <c r="S126" s="26" t="str">
        <f t="shared" ca="1" si="9"/>
        <v/>
      </c>
      <c r="T126" s="26" t="str">
        <f t="shared" ca="1" si="10"/>
        <v/>
      </c>
      <c r="U126" s="26" t="str">
        <f t="shared" ca="1" si="11"/>
        <v/>
      </c>
      <c r="W126" s="17" t="str">
        <f ca="1">IF($D126="","",OFFSET('(2)出場選手'!$B$2,$A126,W$1))</f>
        <v/>
      </c>
      <c r="X126" s="17" t="str">
        <f ca="1">IF($D126="","",OFFSET('(2)出場選手'!$B$2,$A126,X$1))</f>
        <v/>
      </c>
      <c r="Y126" s="17" t="str">
        <f ca="1">IF($D126="","",OFFSET('(2)出場選手'!$B$2,$A126,Y$1))</f>
        <v/>
      </c>
      <c r="Z126" s="17" t="str">
        <f ca="1">IF($D126="","",OFFSET('(2)出場選手'!$B$2,$A126,Z$1))</f>
        <v/>
      </c>
    </row>
    <row r="127" spans="1:26" x14ac:dyDescent="0.15">
      <c r="A127" s="17">
        <f>TRUNC((ROWS($D$3:D127)-2)/Max_Entry_Count)+1</f>
        <v>42</v>
      </c>
      <c r="B127" s="17" t="str">
        <f ca="1">IF($A127&gt;=ROWS(Entries)-2,"",IF(OFFSET('(2)出場選手'!$B$2,$A127,B$1+3*(MOD(ROWS($D$3:D127)-2,Max_Entry_Count)))="","",MOD(ROWS($D$3:D127)-2,Max_Entry_Count)))</f>
        <v/>
      </c>
      <c r="D127" s="26" t="str">
        <f ca="1">IF(OR($A127&gt;=ROWS(Entries)-2,$B127=""),"",'(1)鑑'!$E$6&amp;"-"&amp;OFFSET('(2)出場選手'!$B$2,$A127,D$1))</f>
        <v/>
      </c>
      <c r="E127" s="26" t="str">
        <f ca="1">IF($D127="","",OFFSET('(2)出場選手'!$B$2,$A127,E$1))</f>
        <v/>
      </c>
      <c r="F127" s="26" t="str">
        <f ca="1">IF($D127="","",IF(OFFSET('(2)出場選手'!$B$2,$A127,F$1)="","",OFFSET('(2)出場選手'!$B$2,$A127,F$1)))</f>
        <v/>
      </c>
      <c r="G127" s="26" t="str">
        <f t="shared" ca="1" si="6"/>
        <v/>
      </c>
      <c r="H127" s="26" t="str">
        <f t="shared" ca="1" si="7"/>
        <v/>
      </c>
      <c r="I127" s="26" t="str">
        <f ca="1">IF($D127="","",IF(OFFSET('(2)出場選手'!$B$2,$A127,I$1)="","",OFFSET('(2)出場選手'!$B$2,$A127,I$1)))</f>
        <v/>
      </c>
      <c r="J127" s="26" t="str">
        <f ca="1">IF($D127="","",IF(OFFSET('(2)出場選手'!$B$2,$A127,J$1)="",'(1)鑑'!$E$6,OFFSET('(2)出場選手'!$B$2,$A127,J$1)))</f>
        <v/>
      </c>
      <c r="K127" s="26" t="str">
        <f ca="1">IF($D127="","",TRIM(ASC(IF(OFFSET('(2)出場選手'!$B$2,$A127,K$1)="",'(1)鑑'!$E$7,OFFSET('(2)出場選手'!$B$2,$A127,K$1)))))</f>
        <v/>
      </c>
      <c r="L127" s="26" t="str">
        <f ca="1">IF($D127="","",SUBSTITUTE(SUBSTITUTE(SUBSTITUTE(IF(OFFSET('(2)出場選手'!$B$2,$A127,L$1)="",'(1)鑑'!$E$8,OFFSET('(2)出場選手'!$B$2,$A127,L$1)),"県",""),"府",""),"東京都","東京"))</f>
        <v/>
      </c>
      <c r="M127" s="57" t="str">
        <f ca="1">IF($D127="","",IF(OFFSET('(2)出場選手'!$B$2,$A127,M$1)="","",OFFSET('(2)出場選手'!$B$2,$A127,M$1)))</f>
        <v/>
      </c>
      <c r="N127" s="26" t="str">
        <f ca="1">IF($D127="","",OFFSET('(2)出場選手'!$B$2,$A127,N$1+3*$B127))</f>
        <v/>
      </c>
      <c r="O127" s="26" t="str">
        <f ca="1">IF($D127="","",IF(OFFSET('(2)出場選手'!$B$2,$A127,O$1+3*$B127)="","",OFFSET('(2)出場選手'!$B$2,$A127,O$1+3*$B127)))</f>
        <v/>
      </c>
      <c r="P127" s="26" t="str">
        <f ca="1">IF($D127="","",IF(OFFSET('(2)出場選手'!$B$2,$A127,P$1+3*$B127)="","",OFFSET('(2)出場選手'!$B$2,$A127,P$1+3*$B127)))</f>
        <v/>
      </c>
      <c r="Q127" s="43" t="str">
        <f ca="1">IF(D127="","",VLOOKUP(N127,OFFSET(Competition_Events,0,1),11,FALSE)*IF($S127="リレー",IF(COUNTIF($T$3:$T127,$T127)&gt;1,0,1),1))</f>
        <v/>
      </c>
      <c r="R127" s="26" t="str">
        <f t="shared" ca="1" si="8"/>
        <v/>
      </c>
      <c r="S127" s="26" t="str">
        <f t="shared" ca="1" si="9"/>
        <v/>
      </c>
      <c r="T127" s="26" t="str">
        <f t="shared" ca="1" si="10"/>
        <v/>
      </c>
      <c r="U127" s="26" t="str">
        <f t="shared" ca="1" si="11"/>
        <v/>
      </c>
      <c r="W127" s="17" t="str">
        <f ca="1">IF($D127="","",OFFSET('(2)出場選手'!$B$2,$A127,W$1))</f>
        <v/>
      </c>
      <c r="X127" s="17" t="str">
        <f ca="1">IF($D127="","",OFFSET('(2)出場選手'!$B$2,$A127,X$1))</f>
        <v/>
      </c>
      <c r="Y127" s="17" t="str">
        <f ca="1">IF($D127="","",OFFSET('(2)出場選手'!$B$2,$A127,Y$1))</f>
        <v/>
      </c>
      <c r="Z127" s="17" t="str">
        <f ca="1">IF($D127="","",OFFSET('(2)出場選手'!$B$2,$A127,Z$1))</f>
        <v/>
      </c>
    </row>
    <row r="128" spans="1:26" x14ac:dyDescent="0.15">
      <c r="A128" s="17">
        <f>TRUNC((ROWS($D$3:D128)-2)/Max_Entry_Count)+1</f>
        <v>42</v>
      </c>
      <c r="B128" s="17" t="str">
        <f ca="1">IF($A128&gt;=ROWS(Entries)-2,"",IF(OFFSET('(2)出場選手'!$B$2,$A128,B$1+3*(MOD(ROWS($D$3:D128)-2,Max_Entry_Count)))="","",MOD(ROWS($D$3:D128)-2,Max_Entry_Count)))</f>
        <v/>
      </c>
      <c r="D128" s="26" t="str">
        <f ca="1">IF(OR($A128&gt;=ROWS(Entries)-2,$B128=""),"",'(1)鑑'!$E$6&amp;"-"&amp;OFFSET('(2)出場選手'!$B$2,$A128,D$1))</f>
        <v/>
      </c>
      <c r="E128" s="26" t="str">
        <f ca="1">IF($D128="","",OFFSET('(2)出場選手'!$B$2,$A128,E$1))</f>
        <v/>
      </c>
      <c r="F128" s="26" t="str">
        <f ca="1">IF($D128="","",IF(OFFSET('(2)出場選手'!$B$2,$A128,F$1)="","",OFFSET('(2)出場選手'!$B$2,$A128,F$1)))</f>
        <v/>
      </c>
      <c r="G128" s="26" t="str">
        <f t="shared" ca="1" si="6"/>
        <v/>
      </c>
      <c r="H128" s="26" t="str">
        <f t="shared" ca="1" si="7"/>
        <v/>
      </c>
      <c r="I128" s="26" t="str">
        <f ca="1">IF($D128="","",IF(OFFSET('(2)出場選手'!$B$2,$A128,I$1)="","",OFFSET('(2)出場選手'!$B$2,$A128,I$1)))</f>
        <v/>
      </c>
      <c r="J128" s="26" t="str">
        <f ca="1">IF($D128="","",IF(OFFSET('(2)出場選手'!$B$2,$A128,J$1)="",'(1)鑑'!$E$6,OFFSET('(2)出場選手'!$B$2,$A128,J$1)))</f>
        <v/>
      </c>
      <c r="K128" s="26" t="str">
        <f ca="1">IF($D128="","",TRIM(ASC(IF(OFFSET('(2)出場選手'!$B$2,$A128,K$1)="",'(1)鑑'!$E$7,OFFSET('(2)出場選手'!$B$2,$A128,K$1)))))</f>
        <v/>
      </c>
      <c r="L128" s="26" t="str">
        <f ca="1">IF($D128="","",SUBSTITUTE(SUBSTITUTE(SUBSTITUTE(IF(OFFSET('(2)出場選手'!$B$2,$A128,L$1)="",'(1)鑑'!$E$8,OFFSET('(2)出場選手'!$B$2,$A128,L$1)),"県",""),"府",""),"東京都","東京"))</f>
        <v/>
      </c>
      <c r="M128" s="57" t="str">
        <f ca="1">IF($D128="","",IF(OFFSET('(2)出場選手'!$B$2,$A128,M$1)="","",OFFSET('(2)出場選手'!$B$2,$A128,M$1)))</f>
        <v/>
      </c>
      <c r="N128" s="26" t="str">
        <f ca="1">IF($D128="","",OFFSET('(2)出場選手'!$B$2,$A128,N$1+3*$B128))</f>
        <v/>
      </c>
      <c r="O128" s="26" t="str">
        <f ca="1">IF($D128="","",IF(OFFSET('(2)出場選手'!$B$2,$A128,O$1+3*$B128)="","",OFFSET('(2)出場選手'!$B$2,$A128,O$1+3*$B128)))</f>
        <v/>
      </c>
      <c r="P128" s="26" t="str">
        <f ca="1">IF($D128="","",IF(OFFSET('(2)出場選手'!$B$2,$A128,P$1+3*$B128)="","",OFFSET('(2)出場選手'!$B$2,$A128,P$1+3*$B128)))</f>
        <v/>
      </c>
      <c r="Q128" s="43" t="str">
        <f ca="1">IF(D128="","",VLOOKUP(N128,OFFSET(Competition_Events,0,1),11,FALSE)*IF($S128="リレー",IF(COUNTIF($T$3:$T128,$T128)&gt;1,0,1),1))</f>
        <v/>
      </c>
      <c r="R128" s="26" t="str">
        <f t="shared" ca="1" si="8"/>
        <v/>
      </c>
      <c r="S128" s="26" t="str">
        <f t="shared" ca="1" si="9"/>
        <v/>
      </c>
      <c r="T128" s="26" t="str">
        <f t="shared" ca="1" si="10"/>
        <v/>
      </c>
      <c r="U128" s="26" t="str">
        <f t="shared" ca="1" si="11"/>
        <v/>
      </c>
      <c r="W128" s="17" t="str">
        <f ca="1">IF($D128="","",OFFSET('(2)出場選手'!$B$2,$A128,W$1))</f>
        <v/>
      </c>
      <c r="X128" s="17" t="str">
        <f ca="1">IF($D128="","",OFFSET('(2)出場選手'!$B$2,$A128,X$1))</f>
        <v/>
      </c>
      <c r="Y128" s="17" t="str">
        <f ca="1">IF($D128="","",OFFSET('(2)出場選手'!$B$2,$A128,Y$1))</f>
        <v/>
      </c>
      <c r="Z128" s="17" t="str">
        <f ca="1">IF($D128="","",OFFSET('(2)出場選手'!$B$2,$A128,Z$1))</f>
        <v/>
      </c>
    </row>
    <row r="129" spans="1:26" x14ac:dyDescent="0.15">
      <c r="A129" s="17">
        <f>TRUNC((ROWS($D$3:D129)-2)/Max_Entry_Count)+1</f>
        <v>42</v>
      </c>
      <c r="B129" s="17" t="str">
        <f ca="1">IF($A129&gt;=ROWS(Entries)-2,"",IF(OFFSET('(2)出場選手'!$B$2,$A129,B$1+3*(MOD(ROWS($D$3:D129)-2,Max_Entry_Count)))="","",MOD(ROWS($D$3:D129)-2,Max_Entry_Count)))</f>
        <v/>
      </c>
      <c r="D129" s="26" t="str">
        <f ca="1">IF(OR($A129&gt;=ROWS(Entries)-2,$B129=""),"",'(1)鑑'!$E$6&amp;"-"&amp;OFFSET('(2)出場選手'!$B$2,$A129,D$1))</f>
        <v/>
      </c>
      <c r="E129" s="26" t="str">
        <f ca="1">IF($D129="","",OFFSET('(2)出場選手'!$B$2,$A129,E$1))</f>
        <v/>
      </c>
      <c r="F129" s="26" t="str">
        <f ca="1">IF($D129="","",IF(OFFSET('(2)出場選手'!$B$2,$A129,F$1)="","",OFFSET('(2)出場選手'!$B$2,$A129,F$1)))</f>
        <v/>
      </c>
      <c r="G129" s="26" t="str">
        <f t="shared" ca="1" si="6"/>
        <v/>
      </c>
      <c r="H129" s="26" t="str">
        <f t="shared" ca="1" si="7"/>
        <v/>
      </c>
      <c r="I129" s="26" t="str">
        <f ca="1">IF($D129="","",IF(OFFSET('(2)出場選手'!$B$2,$A129,I$1)="","",OFFSET('(2)出場選手'!$B$2,$A129,I$1)))</f>
        <v/>
      </c>
      <c r="J129" s="26" t="str">
        <f ca="1">IF($D129="","",IF(OFFSET('(2)出場選手'!$B$2,$A129,J$1)="",'(1)鑑'!$E$6,OFFSET('(2)出場選手'!$B$2,$A129,J$1)))</f>
        <v/>
      </c>
      <c r="K129" s="26" t="str">
        <f ca="1">IF($D129="","",TRIM(ASC(IF(OFFSET('(2)出場選手'!$B$2,$A129,K$1)="",'(1)鑑'!$E$7,OFFSET('(2)出場選手'!$B$2,$A129,K$1)))))</f>
        <v/>
      </c>
      <c r="L129" s="26" t="str">
        <f ca="1">IF($D129="","",SUBSTITUTE(SUBSTITUTE(SUBSTITUTE(IF(OFFSET('(2)出場選手'!$B$2,$A129,L$1)="",'(1)鑑'!$E$8,OFFSET('(2)出場選手'!$B$2,$A129,L$1)),"県",""),"府",""),"東京都","東京"))</f>
        <v/>
      </c>
      <c r="M129" s="57" t="str">
        <f ca="1">IF($D129="","",IF(OFFSET('(2)出場選手'!$B$2,$A129,M$1)="","",OFFSET('(2)出場選手'!$B$2,$A129,M$1)))</f>
        <v/>
      </c>
      <c r="N129" s="26" t="str">
        <f ca="1">IF($D129="","",OFFSET('(2)出場選手'!$B$2,$A129,N$1+3*$B129))</f>
        <v/>
      </c>
      <c r="O129" s="26" t="str">
        <f ca="1">IF($D129="","",IF(OFFSET('(2)出場選手'!$B$2,$A129,O$1+3*$B129)="","",OFFSET('(2)出場選手'!$B$2,$A129,O$1+3*$B129)))</f>
        <v/>
      </c>
      <c r="P129" s="26" t="str">
        <f ca="1">IF($D129="","",IF(OFFSET('(2)出場選手'!$B$2,$A129,P$1+3*$B129)="","",OFFSET('(2)出場選手'!$B$2,$A129,P$1+3*$B129)))</f>
        <v/>
      </c>
      <c r="Q129" s="43" t="str">
        <f ca="1">IF(D129="","",VLOOKUP(N129,OFFSET(Competition_Events,0,1),11,FALSE)*IF($S129="リレー",IF(COUNTIF($T$3:$T129,$T129)&gt;1,0,1),1))</f>
        <v/>
      </c>
      <c r="R129" s="26" t="str">
        <f t="shared" ca="1" si="8"/>
        <v/>
      </c>
      <c r="S129" s="26" t="str">
        <f t="shared" ca="1" si="9"/>
        <v/>
      </c>
      <c r="T129" s="26" t="str">
        <f t="shared" ca="1" si="10"/>
        <v/>
      </c>
      <c r="U129" s="26" t="str">
        <f t="shared" ca="1" si="11"/>
        <v/>
      </c>
      <c r="W129" s="17" t="str">
        <f ca="1">IF($D129="","",OFFSET('(2)出場選手'!$B$2,$A129,W$1))</f>
        <v/>
      </c>
      <c r="X129" s="17" t="str">
        <f ca="1">IF($D129="","",OFFSET('(2)出場選手'!$B$2,$A129,X$1))</f>
        <v/>
      </c>
      <c r="Y129" s="17" t="str">
        <f ca="1">IF($D129="","",OFFSET('(2)出場選手'!$B$2,$A129,Y$1))</f>
        <v/>
      </c>
      <c r="Z129" s="17" t="str">
        <f ca="1">IF($D129="","",OFFSET('(2)出場選手'!$B$2,$A129,Z$1))</f>
        <v/>
      </c>
    </row>
    <row r="130" spans="1:26" x14ac:dyDescent="0.15">
      <c r="A130" s="17">
        <f>TRUNC((ROWS($D$3:D130)-2)/Max_Entry_Count)+1</f>
        <v>43</v>
      </c>
      <c r="B130" s="17" t="str">
        <f ca="1">IF($A130&gt;=ROWS(Entries)-2,"",IF(OFFSET('(2)出場選手'!$B$2,$A130,B$1+3*(MOD(ROWS($D$3:D130)-2,Max_Entry_Count)))="","",MOD(ROWS($D$3:D130)-2,Max_Entry_Count)))</f>
        <v/>
      </c>
      <c r="D130" s="26" t="str">
        <f ca="1">IF(OR($A130&gt;=ROWS(Entries)-2,$B130=""),"",'(1)鑑'!$E$6&amp;"-"&amp;OFFSET('(2)出場選手'!$B$2,$A130,D$1))</f>
        <v/>
      </c>
      <c r="E130" s="26" t="str">
        <f ca="1">IF($D130="","",OFFSET('(2)出場選手'!$B$2,$A130,E$1))</f>
        <v/>
      </c>
      <c r="F130" s="26" t="str">
        <f ca="1">IF($D130="","",IF(OFFSET('(2)出場選手'!$B$2,$A130,F$1)="","",OFFSET('(2)出場選手'!$B$2,$A130,F$1)))</f>
        <v/>
      </c>
      <c r="G130" s="26" t="str">
        <f t="shared" ca="1" si="6"/>
        <v/>
      </c>
      <c r="H130" s="26" t="str">
        <f t="shared" ca="1" si="7"/>
        <v/>
      </c>
      <c r="I130" s="26" t="str">
        <f ca="1">IF($D130="","",IF(OFFSET('(2)出場選手'!$B$2,$A130,I$1)="","",OFFSET('(2)出場選手'!$B$2,$A130,I$1)))</f>
        <v/>
      </c>
      <c r="J130" s="26" t="str">
        <f ca="1">IF($D130="","",IF(OFFSET('(2)出場選手'!$B$2,$A130,J$1)="",'(1)鑑'!$E$6,OFFSET('(2)出場選手'!$B$2,$A130,J$1)))</f>
        <v/>
      </c>
      <c r="K130" s="26" t="str">
        <f ca="1">IF($D130="","",TRIM(ASC(IF(OFFSET('(2)出場選手'!$B$2,$A130,K$1)="",'(1)鑑'!$E$7,OFFSET('(2)出場選手'!$B$2,$A130,K$1)))))</f>
        <v/>
      </c>
      <c r="L130" s="26" t="str">
        <f ca="1">IF($D130="","",SUBSTITUTE(SUBSTITUTE(SUBSTITUTE(IF(OFFSET('(2)出場選手'!$B$2,$A130,L$1)="",'(1)鑑'!$E$8,OFFSET('(2)出場選手'!$B$2,$A130,L$1)),"県",""),"府",""),"東京都","東京"))</f>
        <v/>
      </c>
      <c r="M130" s="57" t="str">
        <f ca="1">IF($D130="","",IF(OFFSET('(2)出場選手'!$B$2,$A130,M$1)="","",OFFSET('(2)出場選手'!$B$2,$A130,M$1)))</f>
        <v/>
      </c>
      <c r="N130" s="26" t="str">
        <f ca="1">IF($D130="","",OFFSET('(2)出場選手'!$B$2,$A130,N$1+3*$B130))</f>
        <v/>
      </c>
      <c r="O130" s="26" t="str">
        <f ca="1">IF($D130="","",IF(OFFSET('(2)出場選手'!$B$2,$A130,O$1+3*$B130)="","",OFFSET('(2)出場選手'!$B$2,$A130,O$1+3*$B130)))</f>
        <v/>
      </c>
      <c r="P130" s="26" t="str">
        <f ca="1">IF($D130="","",IF(OFFSET('(2)出場選手'!$B$2,$A130,P$1+3*$B130)="","",OFFSET('(2)出場選手'!$B$2,$A130,P$1+3*$B130)))</f>
        <v/>
      </c>
      <c r="Q130" s="43" t="str">
        <f ca="1">IF(D130="","",VLOOKUP(N130,OFFSET(Competition_Events,0,1),11,FALSE)*IF($S130="リレー",IF(COUNTIF($T$3:$T130,$T130)&gt;1,0,1),1))</f>
        <v/>
      </c>
      <c r="R130" s="26" t="str">
        <f t="shared" ca="1" si="8"/>
        <v/>
      </c>
      <c r="S130" s="26" t="str">
        <f t="shared" ca="1" si="9"/>
        <v/>
      </c>
      <c r="T130" s="26" t="str">
        <f t="shared" ca="1" si="10"/>
        <v/>
      </c>
      <c r="U130" s="26" t="str">
        <f t="shared" ca="1" si="11"/>
        <v/>
      </c>
      <c r="W130" s="17" t="str">
        <f ca="1">IF($D130="","",OFFSET('(2)出場選手'!$B$2,$A130,W$1))</f>
        <v/>
      </c>
      <c r="X130" s="17" t="str">
        <f ca="1">IF($D130="","",OFFSET('(2)出場選手'!$B$2,$A130,X$1))</f>
        <v/>
      </c>
      <c r="Y130" s="17" t="str">
        <f ca="1">IF($D130="","",OFFSET('(2)出場選手'!$B$2,$A130,Y$1))</f>
        <v/>
      </c>
      <c r="Z130" s="17" t="str">
        <f ca="1">IF($D130="","",OFFSET('(2)出場選手'!$B$2,$A130,Z$1))</f>
        <v/>
      </c>
    </row>
    <row r="131" spans="1:26" x14ac:dyDescent="0.15">
      <c r="A131" s="17">
        <f>TRUNC((ROWS($D$3:D131)-2)/Max_Entry_Count)+1</f>
        <v>43</v>
      </c>
      <c r="B131" s="17" t="str">
        <f ca="1">IF($A131&gt;=ROWS(Entries)-2,"",IF(OFFSET('(2)出場選手'!$B$2,$A131,B$1+3*(MOD(ROWS($D$3:D131)-2,Max_Entry_Count)))="","",MOD(ROWS($D$3:D131)-2,Max_Entry_Count)))</f>
        <v/>
      </c>
      <c r="D131" s="26" t="str">
        <f ca="1">IF(OR($A131&gt;=ROWS(Entries)-2,$B131=""),"",'(1)鑑'!$E$6&amp;"-"&amp;OFFSET('(2)出場選手'!$B$2,$A131,D$1))</f>
        <v/>
      </c>
      <c r="E131" s="26" t="str">
        <f ca="1">IF($D131="","",OFFSET('(2)出場選手'!$B$2,$A131,E$1))</f>
        <v/>
      </c>
      <c r="F131" s="26" t="str">
        <f ca="1">IF($D131="","",IF(OFFSET('(2)出場選手'!$B$2,$A131,F$1)="","",OFFSET('(2)出場選手'!$B$2,$A131,F$1)))</f>
        <v/>
      </c>
      <c r="G131" s="26" t="str">
        <f t="shared" ca="1" si="6"/>
        <v/>
      </c>
      <c r="H131" s="26" t="str">
        <f t="shared" ca="1" si="7"/>
        <v/>
      </c>
      <c r="I131" s="26" t="str">
        <f ca="1">IF($D131="","",IF(OFFSET('(2)出場選手'!$B$2,$A131,I$1)="","",OFFSET('(2)出場選手'!$B$2,$A131,I$1)))</f>
        <v/>
      </c>
      <c r="J131" s="26" t="str">
        <f ca="1">IF($D131="","",IF(OFFSET('(2)出場選手'!$B$2,$A131,J$1)="",'(1)鑑'!$E$6,OFFSET('(2)出場選手'!$B$2,$A131,J$1)))</f>
        <v/>
      </c>
      <c r="K131" s="26" t="str">
        <f ca="1">IF($D131="","",TRIM(ASC(IF(OFFSET('(2)出場選手'!$B$2,$A131,K$1)="",'(1)鑑'!$E$7,OFFSET('(2)出場選手'!$B$2,$A131,K$1)))))</f>
        <v/>
      </c>
      <c r="L131" s="26" t="str">
        <f ca="1">IF($D131="","",SUBSTITUTE(SUBSTITUTE(SUBSTITUTE(IF(OFFSET('(2)出場選手'!$B$2,$A131,L$1)="",'(1)鑑'!$E$8,OFFSET('(2)出場選手'!$B$2,$A131,L$1)),"県",""),"府",""),"東京都","東京"))</f>
        <v/>
      </c>
      <c r="M131" s="57" t="str">
        <f ca="1">IF($D131="","",IF(OFFSET('(2)出場選手'!$B$2,$A131,M$1)="","",OFFSET('(2)出場選手'!$B$2,$A131,M$1)))</f>
        <v/>
      </c>
      <c r="N131" s="26" t="str">
        <f ca="1">IF($D131="","",OFFSET('(2)出場選手'!$B$2,$A131,N$1+3*$B131))</f>
        <v/>
      </c>
      <c r="O131" s="26" t="str">
        <f ca="1">IF($D131="","",IF(OFFSET('(2)出場選手'!$B$2,$A131,O$1+3*$B131)="","",OFFSET('(2)出場選手'!$B$2,$A131,O$1+3*$B131)))</f>
        <v/>
      </c>
      <c r="P131" s="26" t="str">
        <f ca="1">IF($D131="","",IF(OFFSET('(2)出場選手'!$B$2,$A131,P$1+3*$B131)="","",OFFSET('(2)出場選手'!$B$2,$A131,P$1+3*$B131)))</f>
        <v/>
      </c>
      <c r="Q131" s="43" t="str">
        <f ca="1">IF(D131="","",VLOOKUP(N131,OFFSET(Competition_Events,0,1),11,FALSE)*IF($S131="リレー",IF(COUNTIF($T$3:$T131,$T131)&gt;1,0,1),1))</f>
        <v/>
      </c>
      <c r="R131" s="26" t="str">
        <f t="shared" ca="1" si="8"/>
        <v/>
      </c>
      <c r="S131" s="26" t="str">
        <f t="shared" ca="1" si="9"/>
        <v/>
      </c>
      <c r="T131" s="26" t="str">
        <f t="shared" ca="1" si="10"/>
        <v/>
      </c>
      <c r="U131" s="26" t="str">
        <f t="shared" ca="1" si="11"/>
        <v/>
      </c>
      <c r="W131" s="17" t="str">
        <f ca="1">IF($D131="","",OFFSET('(2)出場選手'!$B$2,$A131,W$1))</f>
        <v/>
      </c>
      <c r="X131" s="17" t="str">
        <f ca="1">IF($D131="","",OFFSET('(2)出場選手'!$B$2,$A131,X$1))</f>
        <v/>
      </c>
      <c r="Y131" s="17" t="str">
        <f ca="1">IF($D131="","",OFFSET('(2)出場選手'!$B$2,$A131,Y$1))</f>
        <v/>
      </c>
      <c r="Z131" s="17" t="str">
        <f ca="1">IF($D131="","",OFFSET('(2)出場選手'!$B$2,$A131,Z$1))</f>
        <v/>
      </c>
    </row>
    <row r="132" spans="1:26" x14ac:dyDescent="0.15">
      <c r="A132" s="17">
        <f>TRUNC((ROWS($D$3:D132)-2)/Max_Entry_Count)+1</f>
        <v>43</v>
      </c>
      <c r="B132" s="17" t="str">
        <f ca="1">IF($A132&gt;=ROWS(Entries)-2,"",IF(OFFSET('(2)出場選手'!$B$2,$A132,B$1+3*(MOD(ROWS($D$3:D132)-2,Max_Entry_Count)))="","",MOD(ROWS($D$3:D132)-2,Max_Entry_Count)))</f>
        <v/>
      </c>
      <c r="D132" s="26" t="str">
        <f ca="1">IF(OR($A132&gt;=ROWS(Entries)-2,$B132=""),"",'(1)鑑'!$E$6&amp;"-"&amp;OFFSET('(2)出場選手'!$B$2,$A132,D$1))</f>
        <v/>
      </c>
      <c r="E132" s="26" t="str">
        <f ca="1">IF($D132="","",OFFSET('(2)出場選手'!$B$2,$A132,E$1))</f>
        <v/>
      </c>
      <c r="F132" s="26" t="str">
        <f ca="1">IF($D132="","",IF(OFFSET('(2)出場選手'!$B$2,$A132,F$1)="","",OFFSET('(2)出場選手'!$B$2,$A132,F$1)))</f>
        <v/>
      </c>
      <c r="G132" s="26" t="str">
        <f t="shared" ref="G132:G195" ca="1" si="12">IF($D132="","",$W132&amp;"　"&amp;$X132)</f>
        <v/>
      </c>
      <c r="H132" s="26" t="str">
        <f t="shared" ref="H132:H195" ca="1" si="13">IF($D132="","",ASC(TRIM($Y132)&amp;"　"&amp;TRIM($Z132)))</f>
        <v/>
      </c>
      <c r="I132" s="26" t="str">
        <f ca="1">IF($D132="","",IF(OFFSET('(2)出場選手'!$B$2,$A132,I$1)="","",OFFSET('(2)出場選手'!$B$2,$A132,I$1)))</f>
        <v/>
      </c>
      <c r="J132" s="26" t="str">
        <f ca="1">IF($D132="","",IF(OFFSET('(2)出場選手'!$B$2,$A132,J$1)="",'(1)鑑'!$E$6,OFFSET('(2)出場選手'!$B$2,$A132,J$1)))</f>
        <v/>
      </c>
      <c r="K132" s="26" t="str">
        <f ca="1">IF($D132="","",TRIM(ASC(IF(OFFSET('(2)出場選手'!$B$2,$A132,K$1)="",'(1)鑑'!$E$7,OFFSET('(2)出場選手'!$B$2,$A132,K$1)))))</f>
        <v/>
      </c>
      <c r="L132" s="26" t="str">
        <f ca="1">IF($D132="","",SUBSTITUTE(SUBSTITUTE(SUBSTITUTE(IF(OFFSET('(2)出場選手'!$B$2,$A132,L$1)="",'(1)鑑'!$E$8,OFFSET('(2)出場選手'!$B$2,$A132,L$1)),"県",""),"府",""),"東京都","東京"))</f>
        <v/>
      </c>
      <c r="M132" s="57" t="str">
        <f ca="1">IF($D132="","",IF(OFFSET('(2)出場選手'!$B$2,$A132,M$1)="","",OFFSET('(2)出場選手'!$B$2,$A132,M$1)))</f>
        <v/>
      </c>
      <c r="N132" s="26" t="str">
        <f ca="1">IF($D132="","",OFFSET('(2)出場選手'!$B$2,$A132,N$1+3*$B132))</f>
        <v/>
      </c>
      <c r="O132" s="26" t="str">
        <f ca="1">IF($D132="","",IF(OFFSET('(2)出場選手'!$B$2,$A132,O$1+3*$B132)="","",OFFSET('(2)出場選手'!$B$2,$A132,O$1+3*$B132)))</f>
        <v/>
      </c>
      <c r="P132" s="26" t="str">
        <f ca="1">IF($D132="","",IF(OFFSET('(2)出場選手'!$B$2,$A132,P$1+3*$B132)="","",OFFSET('(2)出場選手'!$B$2,$A132,P$1+3*$B132)))</f>
        <v/>
      </c>
      <c r="Q132" s="43" t="str">
        <f ca="1">IF(D132="","",VLOOKUP(N132,OFFSET(Competition_Events,0,1),11,FALSE)*IF($S132="リレー",IF(COUNTIF($T$3:$T132,$T132)&gt;1,0,1),1))</f>
        <v/>
      </c>
      <c r="R132" s="26" t="str">
        <f t="shared" ref="R132:R195" ca="1" si="14">IF($D132="","",VLOOKUP($N132,OFFSET(Competition_Events,0,1),3,FALSE))</f>
        <v/>
      </c>
      <c r="S132" s="26" t="str">
        <f t="shared" ref="S132:S195" ca="1" si="15">IF($D132="","",VLOOKUP($R132,Competition_Events,7,FALSE))</f>
        <v/>
      </c>
      <c r="T132" s="26" t="str">
        <f t="shared" ref="T132:T195" ca="1" si="16">IF($D132="","",$N132&amp;"//"&amp;$P132)</f>
        <v/>
      </c>
      <c r="U132" s="26" t="str">
        <f t="shared" ref="U132:U195" ca="1" si="17">IF($D132="","",IFERROR(CHOOSE(VLOOKUP($R132,Competition_Events,6,FALSE),SUBSTITUTE(O132,"点","")*1,SUBSTITUTE(O132,"m",".")*100,SUBSTITUTE(SUBSTITUTE("0:"&amp;O132,"'",":"),"""",".")/"0:00:00.01"*-1,SUBSTITUTE(O132,"m",".")*100,SUBSTITUTE(SUBSTITUTE(O132,"'",":"),"""",".")/"0:00:00.01"*-1),-8640000))</f>
        <v/>
      </c>
      <c r="W132" s="17" t="str">
        <f ca="1">IF($D132="","",OFFSET('(2)出場選手'!$B$2,$A132,W$1))</f>
        <v/>
      </c>
      <c r="X132" s="17" t="str">
        <f ca="1">IF($D132="","",OFFSET('(2)出場選手'!$B$2,$A132,X$1))</f>
        <v/>
      </c>
      <c r="Y132" s="17" t="str">
        <f ca="1">IF($D132="","",OFFSET('(2)出場選手'!$B$2,$A132,Y$1))</f>
        <v/>
      </c>
      <c r="Z132" s="17" t="str">
        <f ca="1">IF($D132="","",OFFSET('(2)出場選手'!$B$2,$A132,Z$1))</f>
        <v/>
      </c>
    </row>
    <row r="133" spans="1:26" x14ac:dyDescent="0.15">
      <c r="A133" s="17">
        <f>TRUNC((ROWS($D$3:D133)-2)/Max_Entry_Count)+1</f>
        <v>44</v>
      </c>
      <c r="B133" s="17" t="str">
        <f ca="1">IF($A133&gt;=ROWS(Entries)-2,"",IF(OFFSET('(2)出場選手'!$B$2,$A133,B$1+3*(MOD(ROWS($D$3:D133)-2,Max_Entry_Count)))="","",MOD(ROWS($D$3:D133)-2,Max_Entry_Count)))</f>
        <v/>
      </c>
      <c r="D133" s="26" t="str">
        <f ca="1">IF(OR($A133&gt;=ROWS(Entries)-2,$B133=""),"",'(1)鑑'!$E$6&amp;"-"&amp;OFFSET('(2)出場選手'!$B$2,$A133,D$1))</f>
        <v/>
      </c>
      <c r="E133" s="26" t="str">
        <f ca="1">IF($D133="","",OFFSET('(2)出場選手'!$B$2,$A133,E$1))</f>
        <v/>
      </c>
      <c r="F133" s="26" t="str">
        <f ca="1">IF($D133="","",IF(OFFSET('(2)出場選手'!$B$2,$A133,F$1)="","",OFFSET('(2)出場選手'!$B$2,$A133,F$1)))</f>
        <v/>
      </c>
      <c r="G133" s="26" t="str">
        <f t="shared" ca="1" si="12"/>
        <v/>
      </c>
      <c r="H133" s="26" t="str">
        <f t="shared" ca="1" si="13"/>
        <v/>
      </c>
      <c r="I133" s="26" t="str">
        <f ca="1">IF($D133="","",IF(OFFSET('(2)出場選手'!$B$2,$A133,I$1)="","",OFFSET('(2)出場選手'!$B$2,$A133,I$1)))</f>
        <v/>
      </c>
      <c r="J133" s="26" t="str">
        <f ca="1">IF($D133="","",IF(OFFSET('(2)出場選手'!$B$2,$A133,J$1)="",'(1)鑑'!$E$6,OFFSET('(2)出場選手'!$B$2,$A133,J$1)))</f>
        <v/>
      </c>
      <c r="K133" s="26" t="str">
        <f ca="1">IF($D133="","",TRIM(ASC(IF(OFFSET('(2)出場選手'!$B$2,$A133,K$1)="",'(1)鑑'!$E$7,OFFSET('(2)出場選手'!$B$2,$A133,K$1)))))</f>
        <v/>
      </c>
      <c r="L133" s="26" t="str">
        <f ca="1">IF($D133="","",SUBSTITUTE(SUBSTITUTE(SUBSTITUTE(IF(OFFSET('(2)出場選手'!$B$2,$A133,L$1)="",'(1)鑑'!$E$8,OFFSET('(2)出場選手'!$B$2,$A133,L$1)),"県",""),"府",""),"東京都","東京"))</f>
        <v/>
      </c>
      <c r="M133" s="57" t="str">
        <f ca="1">IF($D133="","",IF(OFFSET('(2)出場選手'!$B$2,$A133,M$1)="","",OFFSET('(2)出場選手'!$B$2,$A133,M$1)))</f>
        <v/>
      </c>
      <c r="N133" s="26" t="str">
        <f ca="1">IF($D133="","",OFFSET('(2)出場選手'!$B$2,$A133,N$1+3*$B133))</f>
        <v/>
      </c>
      <c r="O133" s="26" t="str">
        <f ca="1">IF($D133="","",IF(OFFSET('(2)出場選手'!$B$2,$A133,O$1+3*$B133)="","",OFFSET('(2)出場選手'!$B$2,$A133,O$1+3*$B133)))</f>
        <v/>
      </c>
      <c r="P133" s="26" t="str">
        <f ca="1">IF($D133="","",IF(OFFSET('(2)出場選手'!$B$2,$A133,P$1+3*$B133)="","",OFFSET('(2)出場選手'!$B$2,$A133,P$1+3*$B133)))</f>
        <v/>
      </c>
      <c r="Q133" s="43" t="str">
        <f ca="1">IF(D133="","",VLOOKUP(N133,OFFSET(Competition_Events,0,1),11,FALSE)*IF($S133="リレー",IF(COUNTIF($T$3:$T133,$T133)&gt;1,0,1),1))</f>
        <v/>
      </c>
      <c r="R133" s="26" t="str">
        <f t="shared" ca="1" si="14"/>
        <v/>
      </c>
      <c r="S133" s="26" t="str">
        <f t="shared" ca="1" si="15"/>
        <v/>
      </c>
      <c r="T133" s="26" t="str">
        <f t="shared" ca="1" si="16"/>
        <v/>
      </c>
      <c r="U133" s="26" t="str">
        <f t="shared" ca="1" si="17"/>
        <v/>
      </c>
      <c r="W133" s="17" t="str">
        <f ca="1">IF($D133="","",OFFSET('(2)出場選手'!$B$2,$A133,W$1))</f>
        <v/>
      </c>
      <c r="X133" s="17" t="str">
        <f ca="1">IF($D133="","",OFFSET('(2)出場選手'!$B$2,$A133,X$1))</f>
        <v/>
      </c>
      <c r="Y133" s="17" t="str">
        <f ca="1">IF($D133="","",OFFSET('(2)出場選手'!$B$2,$A133,Y$1))</f>
        <v/>
      </c>
      <c r="Z133" s="17" t="str">
        <f ca="1">IF($D133="","",OFFSET('(2)出場選手'!$B$2,$A133,Z$1))</f>
        <v/>
      </c>
    </row>
    <row r="134" spans="1:26" x14ac:dyDescent="0.15">
      <c r="A134" s="17">
        <f>TRUNC((ROWS($D$3:D134)-2)/Max_Entry_Count)+1</f>
        <v>44</v>
      </c>
      <c r="B134" s="17" t="str">
        <f ca="1">IF($A134&gt;=ROWS(Entries)-2,"",IF(OFFSET('(2)出場選手'!$B$2,$A134,B$1+3*(MOD(ROWS($D$3:D134)-2,Max_Entry_Count)))="","",MOD(ROWS($D$3:D134)-2,Max_Entry_Count)))</f>
        <v/>
      </c>
      <c r="D134" s="26" t="str">
        <f ca="1">IF(OR($A134&gt;=ROWS(Entries)-2,$B134=""),"",'(1)鑑'!$E$6&amp;"-"&amp;OFFSET('(2)出場選手'!$B$2,$A134,D$1))</f>
        <v/>
      </c>
      <c r="E134" s="26" t="str">
        <f ca="1">IF($D134="","",OFFSET('(2)出場選手'!$B$2,$A134,E$1))</f>
        <v/>
      </c>
      <c r="F134" s="26" t="str">
        <f ca="1">IF($D134="","",IF(OFFSET('(2)出場選手'!$B$2,$A134,F$1)="","",OFFSET('(2)出場選手'!$B$2,$A134,F$1)))</f>
        <v/>
      </c>
      <c r="G134" s="26" t="str">
        <f t="shared" ca="1" si="12"/>
        <v/>
      </c>
      <c r="H134" s="26" t="str">
        <f t="shared" ca="1" si="13"/>
        <v/>
      </c>
      <c r="I134" s="26" t="str">
        <f ca="1">IF($D134="","",IF(OFFSET('(2)出場選手'!$B$2,$A134,I$1)="","",OFFSET('(2)出場選手'!$B$2,$A134,I$1)))</f>
        <v/>
      </c>
      <c r="J134" s="26" t="str">
        <f ca="1">IF($D134="","",IF(OFFSET('(2)出場選手'!$B$2,$A134,J$1)="",'(1)鑑'!$E$6,OFFSET('(2)出場選手'!$B$2,$A134,J$1)))</f>
        <v/>
      </c>
      <c r="K134" s="26" t="str">
        <f ca="1">IF($D134="","",TRIM(ASC(IF(OFFSET('(2)出場選手'!$B$2,$A134,K$1)="",'(1)鑑'!$E$7,OFFSET('(2)出場選手'!$B$2,$A134,K$1)))))</f>
        <v/>
      </c>
      <c r="L134" s="26" t="str">
        <f ca="1">IF($D134="","",SUBSTITUTE(SUBSTITUTE(SUBSTITUTE(IF(OFFSET('(2)出場選手'!$B$2,$A134,L$1)="",'(1)鑑'!$E$8,OFFSET('(2)出場選手'!$B$2,$A134,L$1)),"県",""),"府",""),"東京都","東京"))</f>
        <v/>
      </c>
      <c r="M134" s="57" t="str">
        <f ca="1">IF($D134="","",IF(OFFSET('(2)出場選手'!$B$2,$A134,M$1)="","",OFFSET('(2)出場選手'!$B$2,$A134,M$1)))</f>
        <v/>
      </c>
      <c r="N134" s="26" t="str">
        <f ca="1">IF($D134="","",OFFSET('(2)出場選手'!$B$2,$A134,N$1+3*$B134))</f>
        <v/>
      </c>
      <c r="O134" s="26" t="str">
        <f ca="1">IF($D134="","",IF(OFFSET('(2)出場選手'!$B$2,$A134,O$1+3*$B134)="","",OFFSET('(2)出場選手'!$B$2,$A134,O$1+3*$B134)))</f>
        <v/>
      </c>
      <c r="P134" s="26" t="str">
        <f ca="1">IF($D134="","",IF(OFFSET('(2)出場選手'!$B$2,$A134,P$1+3*$B134)="","",OFFSET('(2)出場選手'!$B$2,$A134,P$1+3*$B134)))</f>
        <v/>
      </c>
      <c r="Q134" s="43" t="str">
        <f ca="1">IF(D134="","",VLOOKUP(N134,OFFSET(Competition_Events,0,1),11,FALSE)*IF($S134="リレー",IF(COUNTIF($T$3:$T134,$T134)&gt;1,0,1),1))</f>
        <v/>
      </c>
      <c r="R134" s="26" t="str">
        <f t="shared" ca="1" si="14"/>
        <v/>
      </c>
      <c r="S134" s="26" t="str">
        <f t="shared" ca="1" si="15"/>
        <v/>
      </c>
      <c r="T134" s="26" t="str">
        <f t="shared" ca="1" si="16"/>
        <v/>
      </c>
      <c r="U134" s="26" t="str">
        <f t="shared" ca="1" si="17"/>
        <v/>
      </c>
      <c r="W134" s="17" t="str">
        <f ca="1">IF($D134="","",OFFSET('(2)出場選手'!$B$2,$A134,W$1))</f>
        <v/>
      </c>
      <c r="X134" s="17" t="str">
        <f ca="1">IF($D134="","",OFFSET('(2)出場選手'!$B$2,$A134,X$1))</f>
        <v/>
      </c>
      <c r="Y134" s="17" t="str">
        <f ca="1">IF($D134="","",OFFSET('(2)出場選手'!$B$2,$A134,Y$1))</f>
        <v/>
      </c>
      <c r="Z134" s="17" t="str">
        <f ca="1">IF($D134="","",OFFSET('(2)出場選手'!$B$2,$A134,Z$1))</f>
        <v/>
      </c>
    </row>
    <row r="135" spans="1:26" x14ac:dyDescent="0.15">
      <c r="A135" s="17">
        <f>TRUNC((ROWS($D$3:D135)-2)/Max_Entry_Count)+1</f>
        <v>44</v>
      </c>
      <c r="B135" s="17" t="str">
        <f ca="1">IF($A135&gt;=ROWS(Entries)-2,"",IF(OFFSET('(2)出場選手'!$B$2,$A135,B$1+3*(MOD(ROWS($D$3:D135)-2,Max_Entry_Count)))="","",MOD(ROWS($D$3:D135)-2,Max_Entry_Count)))</f>
        <v/>
      </c>
      <c r="D135" s="26" t="str">
        <f ca="1">IF(OR($A135&gt;=ROWS(Entries)-2,$B135=""),"",'(1)鑑'!$E$6&amp;"-"&amp;OFFSET('(2)出場選手'!$B$2,$A135,D$1))</f>
        <v/>
      </c>
      <c r="E135" s="26" t="str">
        <f ca="1">IF($D135="","",OFFSET('(2)出場選手'!$B$2,$A135,E$1))</f>
        <v/>
      </c>
      <c r="F135" s="26" t="str">
        <f ca="1">IF($D135="","",IF(OFFSET('(2)出場選手'!$B$2,$A135,F$1)="","",OFFSET('(2)出場選手'!$B$2,$A135,F$1)))</f>
        <v/>
      </c>
      <c r="G135" s="26" t="str">
        <f t="shared" ca="1" si="12"/>
        <v/>
      </c>
      <c r="H135" s="26" t="str">
        <f t="shared" ca="1" si="13"/>
        <v/>
      </c>
      <c r="I135" s="26" t="str">
        <f ca="1">IF($D135="","",IF(OFFSET('(2)出場選手'!$B$2,$A135,I$1)="","",OFFSET('(2)出場選手'!$B$2,$A135,I$1)))</f>
        <v/>
      </c>
      <c r="J135" s="26" t="str">
        <f ca="1">IF($D135="","",IF(OFFSET('(2)出場選手'!$B$2,$A135,J$1)="",'(1)鑑'!$E$6,OFFSET('(2)出場選手'!$B$2,$A135,J$1)))</f>
        <v/>
      </c>
      <c r="K135" s="26" t="str">
        <f ca="1">IF($D135="","",TRIM(ASC(IF(OFFSET('(2)出場選手'!$B$2,$A135,K$1)="",'(1)鑑'!$E$7,OFFSET('(2)出場選手'!$B$2,$A135,K$1)))))</f>
        <v/>
      </c>
      <c r="L135" s="26" t="str">
        <f ca="1">IF($D135="","",SUBSTITUTE(SUBSTITUTE(SUBSTITUTE(IF(OFFSET('(2)出場選手'!$B$2,$A135,L$1)="",'(1)鑑'!$E$8,OFFSET('(2)出場選手'!$B$2,$A135,L$1)),"県",""),"府",""),"東京都","東京"))</f>
        <v/>
      </c>
      <c r="M135" s="57" t="str">
        <f ca="1">IF($D135="","",IF(OFFSET('(2)出場選手'!$B$2,$A135,M$1)="","",OFFSET('(2)出場選手'!$B$2,$A135,M$1)))</f>
        <v/>
      </c>
      <c r="N135" s="26" t="str">
        <f ca="1">IF($D135="","",OFFSET('(2)出場選手'!$B$2,$A135,N$1+3*$B135))</f>
        <v/>
      </c>
      <c r="O135" s="26" t="str">
        <f ca="1">IF($D135="","",IF(OFFSET('(2)出場選手'!$B$2,$A135,O$1+3*$B135)="","",OFFSET('(2)出場選手'!$B$2,$A135,O$1+3*$B135)))</f>
        <v/>
      </c>
      <c r="P135" s="26" t="str">
        <f ca="1">IF($D135="","",IF(OFFSET('(2)出場選手'!$B$2,$A135,P$1+3*$B135)="","",OFFSET('(2)出場選手'!$B$2,$A135,P$1+3*$B135)))</f>
        <v/>
      </c>
      <c r="Q135" s="43" t="str">
        <f ca="1">IF(D135="","",VLOOKUP(N135,OFFSET(Competition_Events,0,1),11,FALSE)*IF($S135="リレー",IF(COUNTIF($T$3:$T135,$T135)&gt;1,0,1),1))</f>
        <v/>
      </c>
      <c r="R135" s="26" t="str">
        <f t="shared" ca="1" si="14"/>
        <v/>
      </c>
      <c r="S135" s="26" t="str">
        <f t="shared" ca="1" si="15"/>
        <v/>
      </c>
      <c r="T135" s="26" t="str">
        <f t="shared" ca="1" si="16"/>
        <v/>
      </c>
      <c r="U135" s="26" t="str">
        <f t="shared" ca="1" si="17"/>
        <v/>
      </c>
      <c r="W135" s="17" t="str">
        <f ca="1">IF($D135="","",OFFSET('(2)出場選手'!$B$2,$A135,W$1))</f>
        <v/>
      </c>
      <c r="X135" s="17" t="str">
        <f ca="1">IF($D135="","",OFFSET('(2)出場選手'!$B$2,$A135,X$1))</f>
        <v/>
      </c>
      <c r="Y135" s="17" t="str">
        <f ca="1">IF($D135="","",OFFSET('(2)出場選手'!$B$2,$A135,Y$1))</f>
        <v/>
      </c>
      <c r="Z135" s="17" t="str">
        <f ca="1">IF($D135="","",OFFSET('(2)出場選手'!$B$2,$A135,Z$1))</f>
        <v/>
      </c>
    </row>
    <row r="136" spans="1:26" x14ac:dyDescent="0.15">
      <c r="A136" s="17">
        <f>TRUNC((ROWS($D$3:D136)-2)/Max_Entry_Count)+1</f>
        <v>45</v>
      </c>
      <c r="B136" s="17" t="str">
        <f ca="1">IF($A136&gt;=ROWS(Entries)-2,"",IF(OFFSET('(2)出場選手'!$B$2,$A136,B$1+3*(MOD(ROWS($D$3:D136)-2,Max_Entry_Count)))="","",MOD(ROWS($D$3:D136)-2,Max_Entry_Count)))</f>
        <v/>
      </c>
      <c r="D136" s="26" t="str">
        <f ca="1">IF(OR($A136&gt;=ROWS(Entries)-2,$B136=""),"",'(1)鑑'!$E$6&amp;"-"&amp;OFFSET('(2)出場選手'!$B$2,$A136,D$1))</f>
        <v/>
      </c>
      <c r="E136" s="26" t="str">
        <f ca="1">IF($D136="","",OFFSET('(2)出場選手'!$B$2,$A136,E$1))</f>
        <v/>
      </c>
      <c r="F136" s="26" t="str">
        <f ca="1">IF($D136="","",IF(OFFSET('(2)出場選手'!$B$2,$A136,F$1)="","",OFFSET('(2)出場選手'!$B$2,$A136,F$1)))</f>
        <v/>
      </c>
      <c r="G136" s="26" t="str">
        <f t="shared" ca="1" si="12"/>
        <v/>
      </c>
      <c r="H136" s="26" t="str">
        <f t="shared" ca="1" si="13"/>
        <v/>
      </c>
      <c r="I136" s="26" t="str">
        <f ca="1">IF($D136="","",IF(OFFSET('(2)出場選手'!$B$2,$A136,I$1)="","",OFFSET('(2)出場選手'!$B$2,$A136,I$1)))</f>
        <v/>
      </c>
      <c r="J136" s="26" t="str">
        <f ca="1">IF($D136="","",IF(OFFSET('(2)出場選手'!$B$2,$A136,J$1)="",'(1)鑑'!$E$6,OFFSET('(2)出場選手'!$B$2,$A136,J$1)))</f>
        <v/>
      </c>
      <c r="K136" s="26" t="str">
        <f ca="1">IF($D136="","",TRIM(ASC(IF(OFFSET('(2)出場選手'!$B$2,$A136,K$1)="",'(1)鑑'!$E$7,OFFSET('(2)出場選手'!$B$2,$A136,K$1)))))</f>
        <v/>
      </c>
      <c r="L136" s="26" t="str">
        <f ca="1">IF($D136="","",SUBSTITUTE(SUBSTITUTE(SUBSTITUTE(IF(OFFSET('(2)出場選手'!$B$2,$A136,L$1)="",'(1)鑑'!$E$8,OFFSET('(2)出場選手'!$B$2,$A136,L$1)),"県",""),"府",""),"東京都","東京"))</f>
        <v/>
      </c>
      <c r="M136" s="57" t="str">
        <f ca="1">IF($D136="","",IF(OFFSET('(2)出場選手'!$B$2,$A136,M$1)="","",OFFSET('(2)出場選手'!$B$2,$A136,M$1)))</f>
        <v/>
      </c>
      <c r="N136" s="26" t="str">
        <f ca="1">IF($D136="","",OFFSET('(2)出場選手'!$B$2,$A136,N$1+3*$B136))</f>
        <v/>
      </c>
      <c r="O136" s="26" t="str">
        <f ca="1">IF($D136="","",IF(OFFSET('(2)出場選手'!$B$2,$A136,O$1+3*$B136)="","",OFFSET('(2)出場選手'!$B$2,$A136,O$1+3*$B136)))</f>
        <v/>
      </c>
      <c r="P136" s="26" t="str">
        <f ca="1">IF($D136="","",IF(OFFSET('(2)出場選手'!$B$2,$A136,P$1+3*$B136)="","",OFFSET('(2)出場選手'!$B$2,$A136,P$1+3*$B136)))</f>
        <v/>
      </c>
      <c r="Q136" s="43" t="str">
        <f ca="1">IF(D136="","",VLOOKUP(N136,OFFSET(Competition_Events,0,1),11,FALSE)*IF($S136="リレー",IF(COUNTIF($T$3:$T136,$T136)&gt;1,0,1),1))</f>
        <v/>
      </c>
      <c r="R136" s="26" t="str">
        <f t="shared" ca="1" si="14"/>
        <v/>
      </c>
      <c r="S136" s="26" t="str">
        <f t="shared" ca="1" si="15"/>
        <v/>
      </c>
      <c r="T136" s="26" t="str">
        <f t="shared" ca="1" si="16"/>
        <v/>
      </c>
      <c r="U136" s="26" t="str">
        <f t="shared" ca="1" si="17"/>
        <v/>
      </c>
      <c r="W136" s="17" t="str">
        <f ca="1">IF($D136="","",OFFSET('(2)出場選手'!$B$2,$A136,W$1))</f>
        <v/>
      </c>
      <c r="X136" s="17" t="str">
        <f ca="1">IF($D136="","",OFFSET('(2)出場選手'!$B$2,$A136,X$1))</f>
        <v/>
      </c>
      <c r="Y136" s="17" t="str">
        <f ca="1">IF($D136="","",OFFSET('(2)出場選手'!$B$2,$A136,Y$1))</f>
        <v/>
      </c>
      <c r="Z136" s="17" t="str">
        <f ca="1">IF($D136="","",OFFSET('(2)出場選手'!$B$2,$A136,Z$1))</f>
        <v/>
      </c>
    </row>
    <row r="137" spans="1:26" x14ac:dyDescent="0.15">
      <c r="A137" s="17">
        <f>TRUNC((ROWS($D$3:D137)-2)/Max_Entry_Count)+1</f>
        <v>45</v>
      </c>
      <c r="B137" s="17" t="str">
        <f ca="1">IF($A137&gt;=ROWS(Entries)-2,"",IF(OFFSET('(2)出場選手'!$B$2,$A137,B$1+3*(MOD(ROWS($D$3:D137)-2,Max_Entry_Count)))="","",MOD(ROWS($D$3:D137)-2,Max_Entry_Count)))</f>
        <v/>
      </c>
      <c r="D137" s="26" t="str">
        <f ca="1">IF(OR($A137&gt;=ROWS(Entries)-2,$B137=""),"",'(1)鑑'!$E$6&amp;"-"&amp;OFFSET('(2)出場選手'!$B$2,$A137,D$1))</f>
        <v/>
      </c>
      <c r="E137" s="26" t="str">
        <f ca="1">IF($D137="","",OFFSET('(2)出場選手'!$B$2,$A137,E$1))</f>
        <v/>
      </c>
      <c r="F137" s="26" t="str">
        <f ca="1">IF($D137="","",IF(OFFSET('(2)出場選手'!$B$2,$A137,F$1)="","",OFFSET('(2)出場選手'!$B$2,$A137,F$1)))</f>
        <v/>
      </c>
      <c r="G137" s="26" t="str">
        <f t="shared" ca="1" si="12"/>
        <v/>
      </c>
      <c r="H137" s="26" t="str">
        <f t="shared" ca="1" si="13"/>
        <v/>
      </c>
      <c r="I137" s="26" t="str">
        <f ca="1">IF($D137="","",IF(OFFSET('(2)出場選手'!$B$2,$A137,I$1)="","",OFFSET('(2)出場選手'!$B$2,$A137,I$1)))</f>
        <v/>
      </c>
      <c r="J137" s="26" t="str">
        <f ca="1">IF($D137="","",IF(OFFSET('(2)出場選手'!$B$2,$A137,J$1)="",'(1)鑑'!$E$6,OFFSET('(2)出場選手'!$B$2,$A137,J$1)))</f>
        <v/>
      </c>
      <c r="K137" s="26" t="str">
        <f ca="1">IF($D137="","",TRIM(ASC(IF(OFFSET('(2)出場選手'!$B$2,$A137,K$1)="",'(1)鑑'!$E$7,OFFSET('(2)出場選手'!$B$2,$A137,K$1)))))</f>
        <v/>
      </c>
      <c r="L137" s="26" t="str">
        <f ca="1">IF($D137="","",SUBSTITUTE(SUBSTITUTE(SUBSTITUTE(IF(OFFSET('(2)出場選手'!$B$2,$A137,L$1)="",'(1)鑑'!$E$8,OFFSET('(2)出場選手'!$B$2,$A137,L$1)),"県",""),"府",""),"東京都","東京"))</f>
        <v/>
      </c>
      <c r="M137" s="57" t="str">
        <f ca="1">IF($D137="","",IF(OFFSET('(2)出場選手'!$B$2,$A137,M$1)="","",OFFSET('(2)出場選手'!$B$2,$A137,M$1)))</f>
        <v/>
      </c>
      <c r="N137" s="26" t="str">
        <f ca="1">IF($D137="","",OFFSET('(2)出場選手'!$B$2,$A137,N$1+3*$B137))</f>
        <v/>
      </c>
      <c r="O137" s="26" t="str">
        <f ca="1">IF($D137="","",IF(OFFSET('(2)出場選手'!$B$2,$A137,O$1+3*$B137)="","",OFFSET('(2)出場選手'!$B$2,$A137,O$1+3*$B137)))</f>
        <v/>
      </c>
      <c r="P137" s="26" t="str">
        <f ca="1">IF($D137="","",IF(OFFSET('(2)出場選手'!$B$2,$A137,P$1+3*$B137)="","",OFFSET('(2)出場選手'!$B$2,$A137,P$1+3*$B137)))</f>
        <v/>
      </c>
      <c r="Q137" s="43" t="str">
        <f ca="1">IF(D137="","",VLOOKUP(N137,OFFSET(Competition_Events,0,1),11,FALSE)*IF($S137="リレー",IF(COUNTIF($T$3:$T137,$T137)&gt;1,0,1),1))</f>
        <v/>
      </c>
      <c r="R137" s="26" t="str">
        <f t="shared" ca="1" si="14"/>
        <v/>
      </c>
      <c r="S137" s="26" t="str">
        <f t="shared" ca="1" si="15"/>
        <v/>
      </c>
      <c r="T137" s="26" t="str">
        <f t="shared" ca="1" si="16"/>
        <v/>
      </c>
      <c r="U137" s="26" t="str">
        <f t="shared" ca="1" si="17"/>
        <v/>
      </c>
      <c r="W137" s="17" t="str">
        <f ca="1">IF($D137="","",OFFSET('(2)出場選手'!$B$2,$A137,W$1))</f>
        <v/>
      </c>
      <c r="X137" s="17" t="str">
        <f ca="1">IF($D137="","",OFFSET('(2)出場選手'!$B$2,$A137,X$1))</f>
        <v/>
      </c>
      <c r="Y137" s="17" t="str">
        <f ca="1">IF($D137="","",OFFSET('(2)出場選手'!$B$2,$A137,Y$1))</f>
        <v/>
      </c>
      <c r="Z137" s="17" t="str">
        <f ca="1">IF($D137="","",OFFSET('(2)出場選手'!$B$2,$A137,Z$1))</f>
        <v/>
      </c>
    </row>
    <row r="138" spans="1:26" x14ac:dyDescent="0.15">
      <c r="A138" s="17">
        <f>TRUNC((ROWS($D$3:D138)-2)/Max_Entry_Count)+1</f>
        <v>45</v>
      </c>
      <c r="B138" s="17" t="str">
        <f ca="1">IF($A138&gt;=ROWS(Entries)-2,"",IF(OFFSET('(2)出場選手'!$B$2,$A138,B$1+3*(MOD(ROWS($D$3:D138)-2,Max_Entry_Count)))="","",MOD(ROWS($D$3:D138)-2,Max_Entry_Count)))</f>
        <v/>
      </c>
      <c r="D138" s="26" t="str">
        <f ca="1">IF(OR($A138&gt;=ROWS(Entries)-2,$B138=""),"",'(1)鑑'!$E$6&amp;"-"&amp;OFFSET('(2)出場選手'!$B$2,$A138,D$1))</f>
        <v/>
      </c>
      <c r="E138" s="26" t="str">
        <f ca="1">IF($D138="","",OFFSET('(2)出場選手'!$B$2,$A138,E$1))</f>
        <v/>
      </c>
      <c r="F138" s="26" t="str">
        <f ca="1">IF($D138="","",IF(OFFSET('(2)出場選手'!$B$2,$A138,F$1)="","",OFFSET('(2)出場選手'!$B$2,$A138,F$1)))</f>
        <v/>
      </c>
      <c r="G138" s="26" t="str">
        <f t="shared" ca="1" si="12"/>
        <v/>
      </c>
      <c r="H138" s="26" t="str">
        <f t="shared" ca="1" si="13"/>
        <v/>
      </c>
      <c r="I138" s="26" t="str">
        <f ca="1">IF($D138="","",IF(OFFSET('(2)出場選手'!$B$2,$A138,I$1)="","",OFFSET('(2)出場選手'!$B$2,$A138,I$1)))</f>
        <v/>
      </c>
      <c r="J138" s="26" t="str">
        <f ca="1">IF($D138="","",IF(OFFSET('(2)出場選手'!$B$2,$A138,J$1)="",'(1)鑑'!$E$6,OFFSET('(2)出場選手'!$B$2,$A138,J$1)))</f>
        <v/>
      </c>
      <c r="K138" s="26" t="str">
        <f ca="1">IF($D138="","",TRIM(ASC(IF(OFFSET('(2)出場選手'!$B$2,$A138,K$1)="",'(1)鑑'!$E$7,OFFSET('(2)出場選手'!$B$2,$A138,K$1)))))</f>
        <v/>
      </c>
      <c r="L138" s="26" t="str">
        <f ca="1">IF($D138="","",SUBSTITUTE(SUBSTITUTE(SUBSTITUTE(IF(OFFSET('(2)出場選手'!$B$2,$A138,L$1)="",'(1)鑑'!$E$8,OFFSET('(2)出場選手'!$B$2,$A138,L$1)),"県",""),"府",""),"東京都","東京"))</f>
        <v/>
      </c>
      <c r="M138" s="57" t="str">
        <f ca="1">IF($D138="","",IF(OFFSET('(2)出場選手'!$B$2,$A138,M$1)="","",OFFSET('(2)出場選手'!$B$2,$A138,M$1)))</f>
        <v/>
      </c>
      <c r="N138" s="26" t="str">
        <f ca="1">IF($D138="","",OFFSET('(2)出場選手'!$B$2,$A138,N$1+3*$B138))</f>
        <v/>
      </c>
      <c r="O138" s="26" t="str">
        <f ca="1">IF($D138="","",IF(OFFSET('(2)出場選手'!$B$2,$A138,O$1+3*$B138)="","",OFFSET('(2)出場選手'!$B$2,$A138,O$1+3*$B138)))</f>
        <v/>
      </c>
      <c r="P138" s="26" t="str">
        <f ca="1">IF($D138="","",IF(OFFSET('(2)出場選手'!$B$2,$A138,P$1+3*$B138)="","",OFFSET('(2)出場選手'!$B$2,$A138,P$1+3*$B138)))</f>
        <v/>
      </c>
      <c r="Q138" s="43" t="str">
        <f ca="1">IF(D138="","",VLOOKUP(N138,OFFSET(Competition_Events,0,1),11,FALSE)*IF($S138="リレー",IF(COUNTIF($T$3:$T138,$T138)&gt;1,0,1),1))</f>
        <v/>
      </c>
      <c r="R138" s="26" t="str">
        <f t="shared" ca="1" si="14"/>
        <v/>
      </c>
      <c r="S138" s="26" t="str">
        <f t="shared" ca="1" si="15"/>
        <v/>
      </c>
      <c r="T138" s="26" t="str">
        <f t="shared" ca="1" si="16"/>
        <v/>
      </c>
      <c r="U138" s="26" t="str">
        <f t="shared" ca="1" si="17"/>
        <v/>
      </c>
      <c r="W138" s="17" t="str">
        <f ca="1">IF($D138="","",OFFSET('(2)出場選手'!$B$2,$A138,W$1))</f>
        <v/>
      </c>
      <c r="X138" s="17" t="str">
        <f ca="1">IF($D138="","",OFFSET('(2)出場選手'!$B$2,$A138,X$1))</f>
        <v/>
      </c>
      <c r="Y138" s="17" t="str">
        <f ca="1">IF($D138="","",OFFSET('(2)出場選手'!$B$2,$A138,Y$1))</f>
        <v/>
      </c>
      <c r="Z138" s="17" t="str">
        <f ca="1">IF($D138="","",OFFSET('(2)出場選手'!$B$2,$A138,Z$1))</f>
        <v/>
      </c>
    </row>
    <row r="139" spans="1:26" x14ac:dyDescent="0.15">
      <c r="A139" s="17">
        <f>TRUNC((ROWS($D$3:D139)-2)/Max_Entry_Count)+1</f>
        <v>46</v>
      </c>
      <c r="B139" s="17" t="str">
        <f ca="1">IF($A139&gt;=ROWS(Entries)-2,"",IF(OFFSET('(2)出場選手'!$B$2,$A139,B$1+3*(MOD(ROWS($D$3:D139)-2,Max_Entry_Count)))="","",MOD(ROWS($D$3:D139)-2,Max_Entry_Count)))</f>
        <v/>
      </c>
      <c r="D139" s="26" t="str">
        <f ca="1">IF(OR($A139&gt;=ROWS(Entries)-2,$B139=""),"",'(1)鑑'!$E$6&amp;"-"&amp;OFFSET('(2)出場選手'!$B$2,$A139,D$1))</f>
        <v/>
      </c>
      <c r="E139" s="26" t="str">
        <f ca="1">IF($D139="","",OFFSET('(2)出場選手'!$B$2,$A139,E$1))</f>
        <v/>
      </c>
      <c r="F139" s="26" t="str">
        <f ca="1">IF($D139="","",IF(OFFSET('(2)出場選手'!$B$2,$A139,F$1)="","",OFFSET('(2)出場選手'!$B$2,$A139,F$1)))</f>
        <v/>
      </c>
      <c r="G139" s="26" t="str">
        <f t="shared" ca="1" si="12"/>
        <v/>
      </c>
      <c r="H139" s="26" t="str">
        <f t="shared" ca="1" si="13"/>
        <v/>
      </c>
      <c r="I139" s="26" t="str">
        <f ca="1">IF($D139="","",IF(OFFSET('(2)出場選手'!$B$2,$A139,I$1)="","",OFFSET('(2)出場選手'!$B$2,$A139,I$1)))</f>
        <v/>
      </c>
      <c r="J139" s="26" t="str">
        <f ca="1">IF($D139="","",IF(OFFSET('(2)出場選手'!$B$2,$A139,J$1)="",'(1)鑑'!$E$6,OFFSET('(2)出場選手'!$B$2,$A139,J$1)))</f>
        <v/>
      </c>
      <c r="K139" s="26" t="str">
        <f ca="1">IF($D139="","",TRIM(ASC(IF(OFFSET('(2)出場選手'!$B$2,$A139,K$1)="",'(1)鑑'!$E$7,OFFSET('(2)出場選手'!$B$2,$A139,K$1)))))</f>
        <v/>
      </c>
      <c r="L139" s="26" t="str">
        <f ca="1">IF($D139="","",SUBSTITUTE(SUBSTITUTE(SUBSTITUTE(IF(OFFSET('(2)出場選手'!$B$2,$A139,L$1)="",'(1)鑑'!$E$8,OFFSET('(2)出場選手'!$B$2,$A139,L$1)),"県",""),"府",""),"東京都","東京"))</f>
        <v/>
      </c>
      <c r="M139" s="57" t="str">
        <f ca="1">IF($D139="","",IF(OFFSET('(2)出場選手'!$B$2,$A139,M$1)="","",OFFSET('(2)出場選手'!$B$2,$A139,M$1)))</f>
        <v/>
      </c>
      <c r="N139" s="26" t="str">
        <f ca="1">IF($D139="","",OFFSET('(2)出場選手'!$B$2,$A139,N$1+3*$B139))</f>
        <v/>
      </c>
      <c r="O139" s="26" t="str">
        <f ca="1">IF($D139="","",IF(OFFSET('(2)出場選手'!$B$2,$A139,O$1+3*$B139)="","",OFFSET('(2)出場選手'!$B$2,$A139,O$1+3*$B139)))</f>
        <v/>
      </c>
      <c r="P139" s="26" t="str">
        <f ca="1">IF($D139="","",IF(OFFSET('(2)出場選手'!$B$2,$A139,P$1+3*$B139)="","",OFFSET('(2)出場選手'!$B$2,$A139,P$1+3*$B139)))</f>
        <v/>
      </c>
      <c r="Q139" s="43" t="str">
        <f ca="1">IF(D139="","",VLOOKUP(N139,OFFSET(Competition_Events,0,1),11,FALSE)*IF($S139="リレー",IF(COUNTIF($T$3:$T139,$T139)&gt;1,0,1),1))</f>
        <v/>
      </c>
      <c r="R139" s="26" t="str">
        <f t="shared" ca="1" si="14"/>
        <v/>
      </c>
      <c r="S139" s="26" t="str">
        <f t="shared" ca="1" si="15"/>
        <v/>
      </c>
      <c r="T139" s="26" t="str">
        <f t="shared" ca="1" si="16"/>
        <v/>
      </c>
      <c r="U139" s="26" t="str">
        <f t="shared" ca="1" si="17"/>
        <v/>
      </c>
      <c r="W139" s="17" t="str">
        <f ca="1">IF($D139="","",OFFSET('(2)出場選手'!$B$2,$A139,W$1))</f>
        <v/>
      </c>
      <c r="X139" s="17" t="str">
        <f ca="1">IF($D139="","",OFFSET('(2)出場選手'!$B$2,$A139,X$1))</f>
        <v/>
      </c>
      <c r="Y139" s="17" t="str">
        <f ca="1">IF($D139="","",OFFSET('(2)出場選手'!$B$2,$A139,Y$1))</f>
        <v/>
      </c>
      <c r="Z139" s="17" t="str">
        <f ca="1">IF($D139="","",OFFSET('(2)出場選手'!$B$2,$A139,Z$1))</f>
        <v/>
      </c>
    </row>
    <row r="140" spans="1:26" x14ac:dyDescent="0.15">
      <c r="A140" s="17">
        <f>TRUNC((ROWS($D$3:D140)-2)/Max_Entry_Count)+1</f>
        <v>46</v>
      </c>
      <c r="B140" s="17" t="str">
        <f ca="1">IF($A140&gt;=ROWS(Entries)-2,"",IF(OFFSET('(2)出場選手'!$B$2,$A140,B$1+3*(MOD(ROWS($D$3:D140)-2,Max_Entry_Count)))="","",MOD(ROWS($D$3:D140)-2,Max_Entry_Count)))</f>
        <v/>
      </c>
      <c r="D140" s="26" t="str">
        <f ca="1">IF(OR($A140&gt;=ROWS(Entries)-2,$B140=""),"",'(1)鑑'!$E$6&amp;"-"&amp;OFFSET('(2)出場選手'!$B$2,$A140,D$1))</f>
        <v/>
      </c>
      <c r="E140" s="26" t="str">
        <f ca="1">IF($D140="","",OFFSET('(2)出場選手'!$B$2,$A140,E$1))</f>
        <v/>
      </c>
      <c r="F140" s="26" t="str">
        <f ca="1">IF($D140="","",IF(OFFSET('(2)出場選手'!$B$2,$A140,F$1)="","",OFFSET('(2)出場選手'!$B$2,$A140,F$1)))</f>
        <v/>
      </c>
      <c r="G140" s="26" t="str">
        <f t="shared" ca="1" si="12"/>
        <v/>
      </c>
      <c r="H140" s="26" t="str">
        <f t="shared" ca="1" si="13"/>
        <v/>
      </c>
      <c r="I140" s="26" t="str">
        <f ca="1">IF($D140="","",IF(OFFSET('(2)出場選手'!$B$2,$A140,I$1)="","",OFFSET('(2)出場選手'!$B$2,$A140,I$1)))</f>
        <v/>
      </c>
      <c r="J140" s="26" t="str">
        <f ca="1">IF($D140="","",IF(OFFSET('(2)出場選手'!$B$2,$A140,J$1)="",'(1)鑑'!$E$6,OFFSET('(2)出場選手'!$B$2,$A140,J$1)))</f>
        <v/>
      </c>
      <c r="K140" s="26" t="str">
        <f ca="1">IF($D140="","",TRIM(ASC(IF(OFFSET('(2)出場選手'!$B$2,$A140,K$1)="",'(1)鑑'!$E$7,OFFSET('(2)出場選手'!$B$2,$A140,K$1)))))</f>
        <v/>
      </c>
      <c r="L140" s="26" t="str">
        <f ca="1">IF($D140="","",SUBSTITUTE(SUBSTITUTE(SUBSTITUTE(IF(OFFSET('(2)出場選手'!$B$2,$A140,L$1)="",'(1)鑑'!$E$8,OFFSET('(2)出場選手'!$B$2,$A140,L$1)),"県",""),"府",""),"東京都","東京"))</f>
        <v/>
      </c>
      <c r="M140" s="57" t="str">
        <f ca="1">IF($D140="","",IF(OFFSET('(2)出場選手'!$B$2,$A140,M$1)="","",OFFSET('(2)出場選手'!$B$2,$A140,M$1)))</f>
        <v/>
      </c>
      <c r="N140" s="26" t="str">
        <f ca="1">IF($D140="","",OFFSET('(2)出場選手'!$B$2,$A140,N$1+3*$B140))</f>
        <v/>
      </c>
      <c r="O140" s="26" t="str">
        <f ca="1">IF($D140="","",IF(OFFSET('(2)出場選手'!$B$2,$A140,O$1+3*$B140)="","",OFFSET('(2)出場選手'!$B$2,$A140,O$1+3*$B140)))</f>
        <v/>
      </c>
      <c r="P140" s="26" t="str">
        <f ca="1">IF($D140="","",IF(OFFSET('(2)出場選手'!$B$2,$A140,P$1+3*$B140)="","",OFFSET('(2)出場選手'!$B$2,$A140,P$1+3*$B140)))</f>
        <v/>
      </c>
      <c r="Q140" s="43" t="str">
        <f ca="1">IF(D140="","",VLOOKUP(N140,OFFSET(Competition_Events,0,1),11,FALSE)*IF($S140="リレー",IF(COUNTIF($T$3:$T140,$T140)&gt;1,0,1),1))</f>
        <v/>
      </c>
      <c r="R140" s="26" t="str">
        <f t="shared" ca="1" si="14"/>
        <v/>
      </c>
      <c r="S140" s="26" t="str">
        <f t="shared" ca="1" si="15"/>
        <v/>
      </c>
      <c r="T140" s="26" t="str">
        <f t="shared" ca="1" si="16"/>
        <v/>
      </c>
      <c r="U140" s="26" t="str">
        <f t="shared" ca="1" si="17"/>
        <v/>
      </c>
      <c r="W140" s="17" t="str">
        <f ca="1">IF($D140="","",OFFSET('(2)出場選手'!$B$2,$A140,W$1))</f>
        <v/>
      </c>
      <c r="X140" s="17" t="str">
        <f ca="1">IF($D140="","",OFFSET('(2)出場選手'!$B$2,$A140,X$1))</f>
        <v/>
      </c>
      <c r="Y140" s="17" t="str">
        <f ca="1">IF($D140="","",OFFSET('(2)出場選手'!$B$2,$A140,Y$1))</f>
        <v/>
      </c>
      <c r="Z140" s="17" t="str">
        <f ca="1">IF($D140="","",OFFSET('(2)出場選手'!$B$2,$A140,Z$1))</f>
        <v/>
      </c>
    </row>
    <row r="141" spans="1:26" x14ac:dyDescent="0.15">
      <c r="A141" s="17">
        <f>TRUNC((ROWS($D$3:D141)-2)/Max_Entry_Count)+1</f>
        <v>46</v>
      </c>
      <c r="B141" s="17" t="str">
        <f ca="1">IF($A141&gt;=ROWS(Entries)-2,"",IF(OFFSET('(2)出場選手'!$B$2,$A141,B$1+3*(MOD(ROWS($D$3:D141)-2,Max_Entry_Count)))="","",MOD(ROWS($D$3:D141)-2,Max_Entry_Count)))</f>
        <v/>
      </c>
      <c r="D141" s="26" t="str">
        <f ca="1">IF(OR($A141&gt;=ROWS(Entries)-2,$B141=""),"",'(1)鑑'!$E$6&amp;"-"&amp;OFFSET('(2)出場選手'!$B$2,$A141,D$1))</f>
        <v/>
      </c>
      <c r="E141" s="26" t="str">
        <f ca="1">IF($D141="","",OFFSET('(2)出場選手'!$B$2,$A141,E$1))</f>
        <v/>
      </c>
      <c r="F141" s="26" t="str">
        <f ca="1">IF($D141="","",IF(OFFSET('(2)出場選手'!$B$2,$A141,F$1)="","",OFFSET('(2)出場選手'!$B$2,$A141,F$1)))</f>
        <v/>
      </c>
      <c r="G141" s="26" t="str">
        <f t="shared" ca="1" si="12"/>
        <v/>
      </c>
      <c r="H141" s="26" t="str">
        <f t="shared" ca="1" si="13"/>
        <v/>
      </c>
      <c r="I141" s="26" t="str">
        <f ca="1">IF($D141="","",IF(OFFSET('(2)出場選手'!$B$2,$A141,I$1)="","",OFFSET('(2)出場選手'!$B$2,$A141,I$1)))</f>
        <v/>
      </c>
      <c r="J141" s="26" t="str">
        <f ca="1">IF($D141="","",IF(OFFSET('(2)出場選手'!$B$2,$A141,J$1)="",'(1)鑑'!$E$6,OFFSET('(2)出場選手'!$B$2,$A141,J$1)))</f>
        <v/>
      </c>
      <c r="K141" s="26" t="str">
        <f ca="1">IF($D141="","",TRIM(ASC(IF(OFFSET('(2)出場選手'!$B$2,$A141,K$1)="",'(1)鑑'!$E$7,OFFSET('(2)出場選手'!$B$2,$A141,K$1)))))</f>
        <v/>
      </c>
      <c r="L141" s="26" t="str">
        <f ca="1">IF($D141="","",SUBSTITUTE(SUBSTITUTE(SUBSTITUTE(IF(OFFSET('(2)出場選手'!$B$2,$A141,L$1)="",'(1)鑑'!$E$8,OFFSET('(2)出場選手'!$B$2,$A141,L$1)),"県",""),"府",""),"東京都","東京"))</f>
        <v/>
      </c>
      <c r="M141" s="57" t="str">
        <f ca="1">IF($D141="","",IF(OFFSET('(2)出場選手'!$B$2,$A141,M$1)="","",OFFSET('(2)出場選手'!$B$2,$A141,M$1)))</f>
        <v/>
      </c>
      <c r="N141" s="26" t="str">
        <f ca="1">IF($D141="","",OFFSET('(2)出場選手'!$B$2,$A141,N$1+3*$B141))</f>
        <v/>
      </c>
      <c r="O141" s="26" t="str">
        <f ca="1">IF($D141="","",IF(OFFSET('(2)出場選手'!$B$2,$A141,O$1+3*$B141)="","",OFFSET('(2)出場選手'!$B$2,$A141,O$1+3*$B141)))</f>
        <v/>
      </c>
      <c r="P141" s="26" t="str">
        <f ca="1">IF($D141="","",IF(OFFSET('(2)出場選手'!$B$2,$A141,P$1+3*$B141)="","",OFFSET('(2)出場選手'!$B$2,$A141,P$1+3*$B141)))</f>
        <v/>
      </c>
      <c r="Q141" s="43" t="str">
        <f ca="1">IF(D141="","",VLOOKUP(N141,OFFSET(Competition_Events,0,1),11,FALSE)*IF($S141="リレー",IF(COUNTIF($T$3:$T141,$T141)&gt;1,0,1),1))</f>
        <v/>
      </c>
      <c r="R141" s="26" t="str">
        <f t="shared" ca="1" si="14"/>
        <v/>
      </c>
      <c r="S141" s="26" t="str">
        <f t="shared" ca="1" si="15"/>
        <v/>
      </c>
      <c r="T141" s="26" t="str">
        <f t="shared" ca="1" si="16"/>
        <v/>
      </c>
      <c r="U141" s="26" t="str">
        <f t="shared" ca="1" si="17"/>
        <v/>
      </c>
      <c r="W141" s="17" t="str">
        <f ca="1">IF($D141="","",OFFSET('(2)出場選手'!$B$2,$A141,W$1))</f>
        <v/>
      </c>
      <c r="X141" s="17" t="str">
        <f ca="1">IF($D141="","",OFFSET('(2)出場選手'!$B$2,$A141,X$1))</f>
        <v/>
      </c>
      <c r="Y141" s="17" t="str">
        <f ca="1">IF($D141="","",OFFSET('(2)出場選手'!$B$2,$A141,Y$1))</f>
        <v/>
      </c>
      <c r="Z141" s="17" t="str">
        <f ca="1">IF($D141="","",OFFSET('(2)出場選手'!$B$2,$A141,Z$1))</f>
        <v/>
      </c>
    </row>
    <row r="142" spans="1:26" x14ac:dyDescent="0.15">
      <c r="A142" s="17">
        <f>TRUNC((ROWS($D$3:D142)-2)/Max_Entry_Count)+1</f>
        <v>47</v>
      </c>
      <c r="B142" s="17" t="str">
        <f ca="1">IF($A142&gt;=ROWS(Entries)-2,"",IF(OFFSET('(2)出場選手'!$B$2,$A142,B$1+3*(MOD(ROWS($D$3:D142)-2,Max_Entry_Count)))="","",MOD(ROWS($D$3:D142)-2,Max_Entry_Count)))</f>
        <v/>
      </c>
      <c r="D142" s="26" t="str">
        <f ca="1">IF(OR($A142&gt;=ROWS(Entries)-2,$B142=""),"",'(1)鑑'!$E$6&amp;"-"&amp;OFFSET('(2)出場選手'!$B$2,$A142,D$1))</f>
        <v/>
      </c>
      <c r="E142" s="26" t="str">
        <f ca="1">IF($D142="","",OFFSET('(2)出場選手'!$B$2,$A142,E$1))</f>
        <v/>
      </c>
      <c r="F142" s="26" t="str">
        <f ca="1">IF($D142="","",IF(OFFSET('(2)出場選手'!$B$2,$A142,F$1)="","",OFFSET('(2)出場選手'!$B$2,$A142,F$1)))</f>
        <v/>
      </c>
      <c r="G142" s="26" t="str">
        <f t="shared" ca="1" si="12"/>
        <v/>
      </c>
      <c r="H142" s="26" t="str">
        <f t="shared" ca="1" si="13"/>
        <v/>
      </c>
      <c r="I142" s="26" t="str">
        <f ca="1">IF($D142="","",IF(OFFSET('(2)出場選手'!$B$2,$A142,I$1)="","",OFFSET('(2)出場選手'!$B$2,$A142,I$1)))</f>
        <v/>
      </c>
      <c r="J142" s="26" t="str">
        <f ca="1">IF($D142="","",IF(OFFSET('(2)出場選手'!$B$2,$A142,J$1)="",'(1)鑑'!$E$6,OFFSET('(2)出場選手'!$B$2,$A142,J$1)))</f>
        <v/>
      </c>
      <c r="K142" s="26" t="str">
        <f ca="1">IF($D142="","",TRIM(ASC(IF(OFFSET('(2)出場選手'!$B$2,$A142,K$1)="",'(1)鑑'!$E$7,OFFSET('(2)出場選手'!$B$2,$A142,K$1)))))</f>
        <v/>
      </c>
      <c r="L142" s="26" t="str">
        <f ca="1">IF($D142="","",SUBSTITUTE(SUBSTITUTE(SUBSTITUTE(IF(OFFSET('(2)出場選手'!$B$2,$A142,L$1)="",'(1)鑑'!$E$8,OFFSET('(2)出場選手'!$B$2,$A142,L$1)),"県",""),"府",""),"東京都","東京"))</f>
        <v/>
      </c>
      <c r="M142" s="57" t="str">
        <f ca="1">IF($D142="","",IF(OFFSET('(2)出場選手'!$B$2,$A142,M$1)="","",OFFSET('(2)出場選手'!$B$2,$A142,M$1)))</f>
        <v/>
      </c>
      <c r="N142" s="26" t="str">
        <f ca="1">IF($D142="","",OFFSET('(2)出場選手'!$B$2,$A142,N$1+3*$B142))</f>
        <v/>
      </c>
      <c r="O142" s="26" t="str">
        <f ca="1">IF($D142="","",IF(OFFSET('(2)出場選手'!$B$2,$A142,O$1+3*$B142)="","",OFFSET('(2)出場選手'!$B$2,$A142,O$1+3*$B142)))</f>
        <v/>
      </c>
      <c r="P142" s="26" t="str">
        <f ca="1">IF($D142="","",IF(OFFSET('(2)出場選手'!$B$2,$A142,P$1+3*$B142)="","",OFFSET('(2)出場選手'!$B$2,$A142,P$1+3*$B142)))</f>
        <v/>
      </c>
      <c r="Q142" s="43" t="str">
        <f ca="1">IF(D142="","",VLOOKUP(N142,OFFSET(Competition_Events,0,1),11,FALSE)*IF($S142="リレー",IF(COUNTIF($T$3:$T142,$T142)&gt;1,0,1),1))</f>
        <v/>
      </c>
      <c r="R142" s="26" t="str">
        <f t="shared" ca="1" si="14"/>
        <v/>
      </c>
      <c r="S142" s="26" t="str">
        <f t="shared" ca="1" si="15"/>
        <v/>
      </c>
      <c r="T142" s="26" t="str">
        <f t="shared" ca="1" si="16"/>
        <v/>
      </c>
      <c r="U142" s="26" t="str">
        <f t="shared" ca="1" si="17"/>
        <v/>
      </c>
      <c r="W142" s="17" t="str">
        <f ca="1">IF($D142="","",OFFSET('(2)出場選手'!$B$2,$A142,W$1))</f>
        <v/>
      </c>
      <c r="X142" s="17" t="str">
        <f ca="1">IF($D142="","",OFFSET('(2)出場選手'!$B$2,$A142,X$1))</f>
        <v/>
      </c>
      <c r="Y142" s="17" t="str">
        <f ca="1">IF($D142="","",OFFSET('(2)出場選手'!$B$2,$A142,Y$1))</f>
        <v/>
      </c>
      <c r="Z142" s="17" t="str">
        <f ca="1">IF($D142="","",OFFSET('(2)出場選手'!$B$2,$A142,Z$1))</f>
        <v/>
      </c>
    </row>
    <row r="143" spans="1:26" x14ac:dyDescent="0.15">
      <c r="A143" s="17">
        <f>TRUNC((ROWS($D$3:D143)-2)/Max_Entry_Count)+1</f>
        <v>47</v>
      </c>
      <c r="B143" s="17" t="str">
        <f ca="1">IF($A143&gt;=ROWS(Entries)-2,"",IF(OFFSET('(2)出場選手'!$B$2,$A143,B$1+3*(MOD(ROWS($D$3:D143)-2,Max_Entry_Count)))="","",MOD(ROWS($D$3:D143)-2,Max_Entry_Count)))</f>
        <v/>
      </c>
      <c r="D143" s="26" t="str">
        <f ca="1">IF(OR($A143&gt;=ROWS(Entries)-2,$B143=""),"",'(1)鑑'!$E$6&amp;"-"&amp;OFFSET('(2)出場選手'!$B$2,$A143,D$1))</f>
        <v/>
      </c>
      <c r="E143" s="26" t="str">
        <f ca="1">IF($D143="","",OFFSET('(2)出場選手'!$B$2,$A143,E$1))</f>
        <v/>
      </c>
      <c r="F143" s="26" t="str">
        <f ca="1">IF($D143="","",IF(OFFSET('(2)出場選手'!$B$2,$A143,F$1)="","",OFFSET('(2)出場選手'!$B$2,$A143,F$1)))</f>
        <v/>
      </c>
      <c r="G143" s="26" t="str">
        <f t="shared" ca="1" si="12"/>
        <v/>
      </c>
      <c r="H143" s="26" t="str">
        <f t="shared" ca="1" si="13"/>
        <v/>
      </c>
      <c r="I143" s="26" t="str">
        <f ca="1">IF($D143="","",IF(OFFSET('(2)出場選手'!$B$2,$A143,I$1)="","",OFFSET('(2)出場選手'!$B$2,$A143,I$1)))</f>
        <v/>
      </c>
      <c r="J143" s="26" t="str">
        <f ca="1">IF($D143="","",IF(OFFSET('(2)出場選手'!$B$2,$A143,J$1)="",'(1)鑑'!$E$6,OFFSET('(2)出場選手'!$B$2,$A143,J$1)))</f>
        <v/>
      </c>
      <c r="K143" s="26" t="str">
        <f ca="1">IF($D143="","",TRIM(ASC(IF(OFFSET('(2)出場選手'!$B$2,$A143,K$1)="",'(1)鑑'!$E$7,OFFSET('(2)出場選手'!$B$2,$A143,K$1)))))</f>
        <v/>
      </c>
      <c r="L143" s="26" t="str">
        <f ca="1">IF($D143="","",SUBSTITUTE(SUBSTITUTE(SUBSTITUTE(IF(OFFSET('(2)出場選手'!$B$2,$A143,L$1)="",'(1)鑑'!$E$8,OFFSET('(2)出場選手'!$B$2,$A143,L$1)),"県",""),"府",""),"東京都","東京"))</f>
        <v/>
      </c>
      <c r="M143" s="57" t="str">
        <f ca="1">IF($D143="","",IF(OFFSET('(2)出場選手'!$B$2,$A143,M$1)="","",OFFSET('(2)出場選手'!$B$2,$A143,M$1)))</f>
        <v/>
      </c>
      <c r="N143" s="26" t="str">
        <f ca="1">IF($D143="","",OFFSET('(2)出場選手'!$B$2,$A143,N$1+3*$B143))</f>
        <v/>
      </c>
      <c r="O143" s="26" t="str">
        <f ca="1">IF($D143="","",IF(OFFSET('(2)出場選手'!$B$2,$A143,O$1+3*$B143)="","",OFFSET('(2)出場選手'!$B$2,$A143,O$1+3*$B143)))</f>
        <v/>
      </c>
      <c r="P143" s="26" t="str">
        <f ca="1">IF($D143="","",IF(OFFSET('(2)出場選手'!$B$2,$A143,P$1+3*$B143)="","",OFFSET('(2)出場選手'!$B$2,$A143,P$1+3*$B143)))</f>
        <v/>
      </c>
      <c r="Q143" s="43" t="str">
        <f ca="1">IF(D143="","",VLOOKUP(N143,OFFSET(Competition_Events,0,1),11,FALSE)*IF($S143="リレー",IF(COUNTIF($T$3:$T143,$T143)&gt;1,0,1),1))</f>
        <v/>
      </c>
      <c r="R143" s="26" t="str">
        <f t="shared" ca="1" si="14"/>
        <v/>
      </c>
      <c r="S143" s="26" t="str">
        <f t="shared" ca="1" si="15"/>
        <v/>
      </c>
      <c r="T143" s="26" t="str">
        <f t="shared" ca="1" si="16"/>
        <v/>
      </c>
      <c r="U143" s="26" t="str">
        <f t="shared" ca="1" si="17"/>
        <v/>
      </c>
      <c r="W143" s="17" t="str">
        <f ca="1">IF($D143="","",OFFSET('(2)出場選手'!$B$2,$A143,W$1))</f>
        <v/>
      </c>
      <c r="X143" s="17" t="str">
        <f ca="1">IF($D143="","",OFFSET('(2)出場選手'!$B$2,$A143,X$1))</f>
        <v/>
      </c>
      <c r="Y143" s="17" t="str">
        <f ca="1">IF($D143="","",OFFSET('(2)出場選手'!$B$2,$A143,Y$1))</f>
        <v/>
      </c>
      <c r="Z143" s="17" t="str">
        <f ca="1">IF($D143="","",OFFSET('(2)出場選手'!$B$2,$A143,Z$1))</f>
        <v/>
      </c>
    </row>
    <row r="144" spans="1:26" x14ac:dyDescent="0.15">
      <c r="A144" s="17">
        <f>TRUNC((ROWS($D$3:D144)-2)/Max_Entry_Count)+1</f>
        <v>47</v>
      </c>
      <c r="B144" s="17" t="str">
        <f ca="1">IF($A144&gt;=ROWS(Entries)-2,"",IF(OFFSET('(2)出場選手'!$B$2,$A144,B$1+3*(MOD(ROWS($D$3:D144)-2,Max_Entry_Count)))="","",MOD(ROWS($D$3:D144)-2,Max_Entry_Count)))</f>
        <v/>
      </c>
      <c r="D144" s="26" t="str">
        <f ca="1">IF(OR($A144&gt;=ROWS(Entries)-2,$B144=""),"",'(1)鑑'!$E$6&amp;"-"&amp;OFFSET('(2)出場選手'!$B$2,$A144,D$1))</f>
        <v/>
      </c>
      <c r="E144" s="26" t="str">
        <f ca="1">IF($D144="","",OFFSET('(2)出場選手'!$B$2,$A144,E$1))</f>
        <v/>
      </c>
      <c r="F144" s="26" t="str">
        <f ca="1">IF($D144="","",IF(OFFSET('(2)出場選手'!$B$2,$A144,F$1)="","",OFFSET('(2)出場選手'!$B$2,$A144,F$1)))</f>
        <v/>
      </c>
      <c r="G144" s="26" t="str">
        <f t="shared" ca="1" si="12"/>
        <v/>
      </c>
      <c r="H144" s="26" t="str">
        <f t="shared" ca="1" si="13"/>
        <v/>
      </c>
      <c r="I144" s="26" t="str">
        <f ca="1">IF($D144="","",IF(OFFSET('(2)出場選手'!$B$2,$A144,I$1)="","",OFFSET('(2)出場選手'!$B$2,$A144,I$1)))</f>
        <v/>
      </c>
      <c r="J144" s="26" t="str">
        <f ca="1">IF($D144="","",IF(OFFSET('(2)出場選手'!$B$2,$A144,J$1)="",'(1)鑑'!$E$6,OFFSET('(2)出場選手'!$B$2,$A144,J$1)))</f>
        <v/>
      </c>
      <c r="K144" s="26" t="str">
        <f ca="1">IF($D144="","",TRIM(ASC(IF(OFFSET('(2)出場選手'!$B$2,$A144,K$1)="",'(1)鑑'!$E$7,OFFSET('(2)出場選手'!$B$2,$A144,K$1)))))</f>
        <v/>
      </c>
      <c r="L144" s="26" t="str">
        <f ca="1">IF($D144="","",SUBSTITUTE(SUBSTITUTE(SUBSTITUTE(IF(OFFSET('(2)出場選手'!$B$2,$A144,L$1)="",'(1)鑑'!$E$8,OFFSET('(2)出場選手'!$B$2,$A144,L$1)),"県",""),"府",""),"東京都","東京"))</f>
        <v/>
      </c>
      <c r="M144" s="57" t="str">
        <f ca="1">IF($D144="","",IF(OFFSET('(2)出場選手'!$B$2,$A144,M$1)="","",OFFSET('(2)出場選手'!$B$2,$A144,M$1)))</f>
        <v/>
      </c>
      <c r="N144" s="26" t="str">
        <f ca="1">IF($D144="","",OFFSET('(2)出場選手'!$B$2,$A144,N$1+3*$B144))</f>
        <v/>
      </c>
      <c r="O144" s="26" t="str">
        <f ca="1">IF($D144="","",IF(OFFSET('(2)出場選手'!$B$2,$A144,O$1+3*$B144)="","",OFFSET('(2)出場選手'!$B$2,$A144,O$1+3*$B144)))</f>
        <v/>
      </c>
      <c r="P144" s="26" t="str">
        <f ca="1">IF($D144="","",IF(OFFSET('(2)出場選手'!$B$2,$A144,P$1+3*$B144)="","",OFFSET('(2)出場選手'!$B$2,$A144,P$1+3*$B144)))</f>
        <v/>
      </c>
      <c r="Q144" s="43" t="str">
        <f ca="1">IF(D144="","",VLOOKUP(N144,OFFSET(Competition_Events,0,1),11,FALSE)*IF($S144="リレー",IF(COUNTIF($T$3:$T144,$T144)&gt;1,0,1),1))</f>
        <v/>
      </c>
      <c r="R144" s="26" t="str">
        <f t="shared" ca="1" si="14"/>
        <v/>
      </c>
      <c r="S144" s="26" t="str">
        <f t="shared" ca="1" si="15"/>
        <v/>
      </c>
      <c r="T144" s="26" t="str">
        <f t="shared" ca="1" si="16"/>
        <v/>
      </c>
      <c r="U144" s="26" t="str">
        <f t="shared" ca="1" si="17"/>
        <v/>
      </c>
      <c r="W144" s="17" t="str">
        <f ca="1">IF($D144="","",OFFSET('(2)出場選手'!$B$2,$A144,W$1))</f>
        <v/>
      </c>
      <c r="X144" s="17" t="str">
        <f ca="1">IF($D144="","",OFFSET('(2)出場選手'!$B$2,$A144,X$1))</f>
        <v/>
      </c>
      <c r="Y144" s="17" t="str">
        <f ca="1">IF($D144="","",OFFSET('(2)出場選手'!$B$2,$A144,Y$1))</f>
        <v/>
      </c>
      <c r="Z144" s="17" t="str">
        <f ca="1">IF($D144="","",OFFSET('(2)出場選手'!$B$2,$A144,Z$1))</f>
        <v/>
      </c>
    </row>
    <row r="145" spans="1:26" x14ac:dyDescent="0.15">
      <c r="A145" s="17">
        <f>TRUNC((ROWS($D$3:D145)-2)/Max_Entry_Count)+1</f>
        <v>48</v>
      </c>
      <c r="B145" s="17" t="str">
        <f ca="1">IF($A145&gt;=ROWS(Entries)-2,"",IF(OFFSET('(2)出場選手'!$B$2,$A145,B$1+3*(MOD(ROWS($D$3:D145)-2,Max_Entry_Count)))="","",MOD(ROWS($D$3:D145)-2,Max_Entry_Count)))</f>
        <v/>
      </c>
      <c r="D145" s="26" t="str">
        <f ca="1">IF(OR($A145&gt;=ROWS(Entries)-2,$B145=""),"",'(1)鑑'!$E$6&amp;"-"&amp;OFFSET('(2)出場選手'!$B$2,$A145,D$1))</f>
        <v/>
      </c>
      <c r="E145" s="26" t="str">
        <f ca="1">IF($D145="","",OFFSET('(2)出場選手'!$B$2,$A145,E$1))</f>
        <v/>
      </c>
      <c r="F145" s="26" t="str">
        <f ca="1">IF($D145="","",IF(OFFSET('(2)出場選手'!$B$2,$A145,F$1)="","",OFFSET('(2)出場選手'!$B$2,$A145,F$1)))</f>
        <v/>
      </c>
      <c r="G145" s="26" t="str">
        <f t="shared" ca="1" si="12"/>
        <v/>
      </c>
      <c r="H145" s="26" t="str">
        <f t="shared" ca="1" si="13"/>
        <v/>
      </c>
      <c r="I145" s="26" t="str">
        <f ca="1">IF($D145="","",IF(OFFSET('(2)出場選手'!$B$2,$A145,I$1)="","",OFFSET('(2)出場選手'!$B$2,$A145,I$1)))</f>
        <v/>
      </c>
      <c r="J145" s="26" t="str">
        <f ca="1">IF($D145="","",IF(OFFSET('(2)出場選手'!$B$2,$A145,J$1)="",'(1)鑑'!$E$6,OFFSET('(2)出場選手'!$B$2,$A145,J$1)))</f>
        <v/>
      </c>
      <c r="K145" s="26" t="str">
        <f ca="1">IF($D145="","",TRIM(ASC(IF(OFFSET('(2)出場選手'!$B$2,$A145,K$1)="",'(1)鑑'!$E$7,OFFSET('(2)出場選手'!$B$2,$A145,K$1)))))</f>
        <v/>
      </c>
      <c r="L145" s="26" t="str">
        <f ca="1">IF($D145="","",SUBSTITUTE(SUBSTITUTE(SUBSTITUTE(IF(OFFSET('(2)出場選手'!$B$2,$A145,L$1)="",'(1)鑑'!$E$8,OFFSET('(2)出場選手'!$B$2,$A145,L$1)),"県",""),"府",""),"東京都","東京"))</f>
        <v/>
      </c>
      <c r="M145" s="57" t="str">
        <f ca="1">IF($D145="","",IF(OFFSET('(2)出場選手'!$B$2,$A145,M$1)="","",OFFSET('(2)出場選手'!$B$2,$A145,M$1)))</f>
        <v/>
      </c>
      <c r="N145" s="26" t="str">
        <f ca="1">IF($D145="","",OFFSET('(2)出場選手'!$B$2,$A145,N$1+3*$B145))</f>
        <v/>
      </c>
      <c r="O145" s="26" t="str">
        <f ca="1">IF($D145="","",IF(OFFSET('(2)出場選手'!$B$2,$A145,O$1+3*$B145)="","",OFFSET('(2)出場選手'!$B$2,$A145,O$1+3*$B145)))</f>
        <v/>
      </c>
      <c r="P145" s="26" t="str">
        <f ca="1">IF($D145="","",IF(OFFSET('(2)出場選手'!$B$2,$A145,P$1+3*$B145)="","",OFFSET('(2)出場選手'!$B$2,$A145,P$1+3*$B145)))</f>
        <v/>
      </c>
      <c r="Q145" s="43" t="str">
        <f ca="1">IF(D145="","",VLOOKUP(N145,OFFSET(Competition_Events,0,1),11,FALSE)*IF($S145="リレー",IF(COUNTIF($T$3:$T145,$T145)&gt;1,0,1),1))</f>
        <v/>
      </c>
      <c r="R145" s="26" t="str">
        <f t="shared" ca="1" si="14"/>
        <v/>
      </c>
      <c r="S145" s="26" t="str">
        <f t="shared" ca="1" si="15"/>
        <v/>
      </c>
      <c r="T145" s="26" t="str">
        <f t="shared" ca="1" si="16"/>
        <v/>
      </c>
      <c r="U145" s="26" t="str">
        <f t="shared" ca="1" si="17"/>
        <v/>
      </c>
      <c r="W145" s="17" t="str">
        <f ca="1">IF($D145="","",OFFSET('(2)出場選手'!$B$2,$A145,W$1))</f>
        <v/>
      </c>
      <c r="X145" s="17" t="str">
        <f ca="1">IF($D145="","",OFFSET('(2)出場選手'!$B$2,$A145,X$1))</f>
        <v/>
      </c>
      <c r="Y145" s="17" t="str">
        <f ca="1">IF($D145="","",OFFSET('(2)出場選手'!$B$2,$A145,Y$1))</f>
        <v/>
      </c>
      <c r="Z145" s="17" t="str">
        <f ca="1">IF($D145="","",OFFSET('(2)出場選手'!$B$2,$A145,Z$1))</f>
        <v/>
      </c>
    </row>
    <row r="146" spans="1:26" x14ac:dyDescent="0.15">
      <c r="A146" s="17">
        <f>TRUNC((ROWS($D$3:D146)-2)/Max_Entry_Count)+1</f>
        <v>48</v>
      </c>
      <c r="B146" s="17" t="str">
        <f ca="1">IF($A146&gt;=ROWS(Entries)-2,"",IF(OFFSET('(2)出場選手'!$B$2,$A146,B$1+3*(MOD(ROWS($D$3:D146)-2,Max_Entry_Count)))="","",MOD(ROWS($D$3:D146)-2,Max_Entry_Count)))</f>
        <v/>
      </c>
      <c r="D146" s="26" t="str">
        <f ca="1">IF(OR($A146&gt;=ROWS(Entries)-2,$B146=""),"",'(1)鑑'!$E$6&amp;"-"&amp;OFFSET('(2)出場選手'!$B$2,$A146,D$1))</f>
        <v/>
      </c>
      <c r="E146" s="26" t="str">
        <f ca="1">IF($D146="","",OFFSET('(2)出場選手'!$B$2,$A146,E$1))</f>
        <v/>
      </c>
      <c r="F146" s="26" t="str">
        <f ca="1">IF($D146="","",IF(OFFSET('(2)出場選手'!$B$2,$A146,F$1)="","",OFFSET('(2)出場選手'!$B$2,$A146,F$1)))</f>
        <v/>
      </c>
      <c r="G146" s="26" t="str">
        <f t="shared" ca="1" si="12"/>
        <v/>
      </c>
      <c r="H146" s="26" t="str">
        <f t="shared" ca="1" si="13"/>
        <v/>
      </c>
      <c r="I146" s="26" t="str">
        <f ca="1">IF($D146="","",IF(OFFSET('(2)出場選手'!$B$2,$A146,I$1)="","",OFFSET('(2)出場選手'!$B$2,$A146,I$1)))</f>
        <v/>
      </c>
      <c r="J146" s="26" t="str">
        <f ca="1">IF($D146="","",IF(OFFSET('(2)出場選手'!$B$2,$A146,J$1)="",'(1)鑑'!$E$6,OFFSET('(2)出場選手'!$B$2,$A146,J$1)))</f>
        <v/>
      </c>
      <c r="K146" s="26" t="str">
        <f ca="1">IF($D146="","",TRIM(ASC(IF(OFFSET('(2)出場選手'!$B$2,$A146,K$1)="",'(1)鑑'!$E$7,OFFSET('(2)出場選手'!$B$2,$A146,K$1)))))</f>
        <v/>
      </c>
      <c r="L146" s="26" t="str">
        <f ca="1">IF($D146="","",SUBSTITUTE(SUBSTITUTE(SUBSTITUTE(IF(OFFSET('(2)出場選手'!$B$2,$A146,L$1)="",'(1)鑑'!$E$8,OFFSET('(2)出場選手'!$B$2,$A146,L$1)),"県",""),"府",""),"東京都","東京"))</f>
        <v/>
      </c>
      <c r="M146" s="57" t="str">
        <f ca="1">IF($D146="","",IF(OFFSET('(2)出場選手'!$B$2,$A146,M$1)="","",OFFSET('(2)出場選手'!$B$2,$A146,M$1)))</f>
        <v/>
      </c>
      <c r="N146" s="26" t="str">
        <f ca="1">IF($D146="","",OFFSET('(2)出場選手'!$B$2,$A146,N$1+3*$B146))</f>
        <v/>
      </c>
      <c r="O146" s="26" t="str">
        <f ca="1">IF($D146="","",IF(OFFSET('(2)出場選手'!$B$2,$A146,O$1+3*$B146)="","",OFFSET('(2)出場選手'!$B$2,$A146,O$1+3*$B146)))</f>
        <v/>
      </c>
      <c r="P146" s="26" t="str">
        <f ca="1">IF($D146="","",IF(OFFSET('(2)出場選手'!$B$2,$A146,P$1+3*$B146)="","",OFFSET('(2)出場選手'!$B$2,$A146,P$1+3*$B146)))</f>
        <v/>
      </c>
      <c r="Q146" s="43" t="str">
        <f ca="1">IF(D146="","",VLOOKUP(N146,OFFSET(Competition_Events,0,1),11,FALSE)*IF($S146="リレー",IF(COUNTIF($T$3:$T146,$T146)&gt;1,0,1),1))</f>
        <v/>
      </c>
      <c r="R146" s="26" t="str">
        <f t="shared" ca="1" si="14"/>
        <v/>
      </c>
      <c r="S146" s="26" t="str">
        <f t="shared" ca="1" si="15"/>
        <v/>
      </c>
      <c r="T146" s="26" t="str">
        <f t="shared" ca="1" si="16"/>
        <v/>
      </c>
      <c r="U146" s="26" t="str">
        <f t="shared" ca="1" si="17"/>
        <v/>
      </c>
      <c r="W146" s="17" t="str">
        <f ca="1">IF($D146="","",OFFSET('(2)出場選手'!$B$2,$A146,W$1))</f>
        <v/>
      </c>
      <c r="X146" s="17" t="str">
        <f ca="1">IF($D146="","",OFFSET('(2)出場選手'!$B$2,$A146,X$1))</f>
        <v/>
      </c>
      <c r="Y146" s="17" t="str">
        <f ca="1">IF($D146="","",OFFSET('(2)出場選手'!$B$2,$A146,Y$1))</f>
        <v/>
      </c>
      <c r="Z146" s="17" t="str">
        <f ca="1">IF($D146="","",OFFSET('(2)出場選手'!$B$2,$A146,Z$1))</f>
        <v/>
      </c>
    </row>
    <row r="147" spans="1:26" x14ac:dyDescent="0.15">
      <c r="A147" s="17">
        <f>TRUNC((ROWS($D$3:D147)-2)/Max_Entry_Count)+1</f>
        <v>48</v>
      </c>
      <c r="B147" s="17" t="str">
        <f ca="1">IF($A147&gt;=ROWS(Entries)-2,"",IF(OFFSET('(2)出場選手'!$B$2,$A147,B$1+3*(MOD(ROWS($D$3:D147)-2,Max_Entry_Count)))="","",MOD(ROWS($D$3:D147)-2,Max_Entry_Count)))</f>
        <v/>
      </c>
      <c r="D147" s="26" t="str">
        <f ca="1">IF(OR($A147&gt;=ROWS(Entries)-2,$B147=""),"",'(1)鑑'!$E$6&amp;"-"&amp;OFFSET('(2)出場選手'!$B$2,$A147,D$1))</f>
        <v/>
      </c>
      <c r="E147" s="26" t="str">
        <f ca="1">IF($D147="","",OFFSET('(2)出場選手'!$B$2,$A147,E$1))</f>
        <v/>
      </c>
      <c r="F147" s="26" t="str">
        <f ca="1">IF($D147="","",IF(OFFSET('(2)出場選手'!$B$2,$A147,F$1)="","",OFFSET('(2)出場選手'!$B$2,$A147,F$1)))</f>
        <v/>
      </c>
      <c r="G147" s="26" t="str">
        <f t="shared" ca="1" si="12"/>
        <v/>
      </c>
      <c r="H147" s="26" t="str">
        <f t="shared" ca="1" si="13"/>
        <v/>
      </c>
      <c r="I147" s="26" t="str">
        <f ca="1">IF($D147="","",IF(OFFSET('(2)出場選手'!$B$2,$A147,I$1)="","",OFFSET('(2)出場選手'!$B$2,$A147,I$1)))</f>
        <v/>
      </c>
      <c r="J147" s="26" t="str">
        <f ca="1">IF($D147="","",IF(OFFSET('(2)出場選手'!$B$2,$A147,J$1)="",'(1)鑑'!$E$6,OFFSET('(2)出場選手'!$B$2,$A147,J$1)))</f>
        <v/>
      </c>
      <c r="K147" s="26" t="str">
        <f ca="1">IF($D147="","",TRIM(ASC(IF(OFFSET('(2)出場選手'!$B$2,$A147,K$1)="",'(1)鑑'!$E$7,OFFSET('(2)出場選手'!$B$2,$A147,K$1)))))</f>
        <v/>
      </c>
      <c r="L147" s="26" t="str">
        <f ca="1">IF($D147="","",SUBSTITUTE(SUBSTITUTE(SUBSTITUTE(IF(OFFSET('(2)出場選手'!$B$2,$A147,L$1)="",'(1)鑑'!$E$8,OFFSET('(2)出場選手'!$B$2,$A147,L$1)),"県",""),"府",""),"東京都","東京"))</f>
        <v/>
      </c>
      <c r="M147" s="57" t="str">
        <f ca="1">IF($D147="","",IF(OFFSET('(2)出場選手'!$B$2,$A147,M$1)="","",OFFSET('(2)出場選手'!$B$2,$A147,M$1)))</f>
        <v/>
      </c>
      <c r="N147" s="26" t="str">
        <f ca="1">IF($D147="","",OFFSET('(2)出場選手'!$B$2,$A147,N$1+3*$B147))</f>
        <v/>
      </c>
      <c r="O147" s="26" t="str">
        <f ca="1">IF($D147="","",IF(OFFSET('(2)出場選手'!$B$2,$A147,O$1+3*$B147)="","",OFFSET('(2)出場選手'!$B$2,$A147,O$1+3*$B147)))</f>
        <v/>
      </c>
      <c r="P147" s="26" t="str">
        <f ca="1">IF($D147="","",IF(OFFSET('(2)出場選手'!$B$2,$A147,P$1+3*$B147)="","",OFFSET('(2)出場選手'!$B$2,$A147,P$1+3*$B147)))</f>
        <v/>
      </c>
      <c r="Q147" s="43" t="str">
        <f ca="1">IF(D147="","",VLOOKUP(N147,OFFSET(Competition_Events,0,1),11,FALSE)*IF($S147="リレー",IF(COUNTIF($T$3:$T147,$T147)&gt;1,0,1),1))</f>
        <v/>
      </c>
      <c r="R147" s="26" t="str">
        <f t="shared" ca="1" si="14"/>
        <v/>
      </c>
      <c r="S147" s="26" t="str">
        <f t="shared" ca="1" si="15"/>
        <v/>
      </c>
      <c r="T147" s="26" t="str">
        <f t="shared" ca="1" si="16"/>
        <v/>
      </c>
      <c r="U147" s="26" t="str">
        <f t="shared" ca="1" si="17"/>
        <v/>
      </c>
      <c r="W147" s="17" t="str">
        <f ca="1">IF($D147="","",OFFSET('(2)出場選手'!$B$2,$A147,W$1))</f>
        <v/>
      </c>
      <c r="X147" s="17" t="str">
        <f ca="1">IF($D147="","",OFFSET('(2)出場選手'!$B$2,$A147,X$1))</f>
        <v/>
      </c>
      <c r="Y147" s="17" t="str">
        <f ca="1">IF($D147="","",OFFSET('(2)出場選手'!$B$2,$A147,Y$1))</f>
        <v/>
      </c>
      <c r="Z147" s="17" t="str">
        <f ca="1">IF($D147="","",OFFSET('(2)出場選手'!$B$2,$A147,Z$1))</f>
        <v/>
      </c>
    </row>
    <row r="148" spans="1:26" x14ac:dyDescent="0.15">
      <c r="A148" s="17">
        <f>TRUNC((ROWS($D$3:D148)-2)/Max_Entry_Count)+1</f>
        <v>49</v>
      </c>
      <c r="B148" s="17" t="str">
        <f ca="1">IF($A148&gt;=ROWS(Entries)-2,"",IF(OFFSET('(2)出場選手'!$B$2,$A148,B$1+3*(MOD(ROWS($D$3:D148)-2,Max_Entry_Count)))="","",MOD(ROWS($D$3:D148)-2,Max_Entry_Count)))</f>
        <v/>
      </c>
      <c r="D148" s="26" t="str">
        <f ca="1">IF(OR($A148&gt;=ROWS(Entries)-2,$B148=""),"",'(1)鑑'!$E$6&amp;"-"&amp;OFFSET('(2)出場選手'!$B$2,$A148,D$1))</f>
        <v/>
      </c>
      <c r="E148" s="26" t="str">
        <f ca="1">IF($D148="","",OFFSET('(2)出場選手'!$B$2,$A148,E$1))</f>
        <v/>
      </c>
      <c r="F148" s="26" t="str">
        <f ca="1">IF($D148="","",IF(OFFSET('(2)出場選手'!$B$2,$A148,F$1)="","",OFFSET('(2)出場選手'!$B$2,$A148,F$1)))</f>
        <v/>
      </c>
      <c r="G148" s="26" t="str">
        <f t="shared" ca="1" si="12"/>
        <v/>
      </c>
      <c r="H148" s="26" t="str">
        <f t="shared" ca="1" si="13"/>
        <v/>
      </c>
      <c r="I148" s="26" t="str">
        <f ca="1">IF($D148="","",IF(OFFSET('(2)出場選手'!$B$2,$A148,I$1)="","",OFFSET('(2)出場選手'!$B$2,$A148,I$1)))</f>
        <v/>
      </c>
      <c r="J148" s="26" t="str">
        <f ca="1">IF($D148="","",IF(OFFSET('(2)出場選手'!$B$2,$A148,J$1)="",'(1)鑑'!$E$6,OFFSET('(2)出場選手'!$B$2,$A148,J$1)))</f>
        <v/>
      </c>
      <c r="K148" s="26" t="str">
        <f ca="1">IF($D148="","",TRIM(ASC(IF(OFFSET('(2)出場選手'!$B$2,$A148,K$1)="",'(1)鑑'!$E$7,OFFSET('(2)出場選手'!$B$2,$A148,K$1)))))</f>
        <v/>
      </c>
      <c r="L148" s="26" t="str">
        <f ca="1">IF($D148="","",SUBSTITUTE(SUBSTITUTE(SUBSTITUTE(IF(OFFSET('(2)出場選手'!$B$2,$A148,L$1)="",'(1)鑑'!$E$8,OFFSET('(2)出場選手'!$B$2,$A148,L$1)),"県",""),"府",""),"東京都","東京"))</f>
        <v/>
      </c>
      <c r="M148" s="57" t="str">
        <f ca="1">IF($D148="","",IF(OFFSET('(2)出場選手'!$B$2,$A148,M$1)="","",OFFSET('(2)出場選手'!$B$2,$A148,M$1)))</f>
        <v/>
      </c>
      <c r="N148" s="26" t="str">
        <f ca="1">IF($D148="","",OFFSET('(2)出場選手'!$B$2,$A148,N$1+3*$B148))</f>
        <v/>
      </c>
      <c r="O148" s="26" t="str">
        <f ca="1">IF($D148="","",IF(OFFSET('(2)出場選手'!$B$2,$A148,O$1+3*$B148)="","",OFFSET('(2)出場選手'!$B$2,$A148,O$1+3*$B148)))</f>
        <v/>
      </c>
      <c r="P148" s="26" t="str">
        <f ca="1">IF($D148="","",IF(OFFSET('(2)出場選手'!$B$2,$A148,P$1+3*$B148)="","",OFFSET('(2)出場選手'!$B$2,$A148,P$1+3*$B148)))</f>
        <v/>
      </c>
      <c r="Q148" s="43" t="str">
        <f ca="1">IF(D148="","",VLOOKUP(N148,OFFSET(Competition_Events,0,1),11,FALSE)*IF($S148="リレー",IF(COUNTIF($T$3:$T148,$T148)&gt;1,0,1),1))</f>
        <v/>
      </c>
      <c r="R148" s="26" t="str">
        <f t="shared" ca="1" si="14"/>
        <v/>
      </c>
      <c r="S148" s="26" t="str">
        <f t="shared" ca="1" si="15"/>
        <v/>
      </c>
      <c r="T148" s="26" t="str">
        <f t="shared" ca="1" si="16"/>
        <v/>
      </c>
      <c r="U148" s="26" t="str">
        <f t="shared" ca="1" si="17"/>
        <v/>
      </c>
      <c r="W148" s="17" t="str">
        <f ca="1">IF($D148="","",OFFSET('(2)出場選手'!$B$2,$A148,W$1))</f>
        <v/>
      </c>
      <c r="X148" s="17" t="str">
        <f ca="1">IF($D148="","",OFFSET('(2)出場選手'!$B$2,$A148,X$1))</f>
        <v/>
      </c>
      <c r="Y148" s="17" t="str">
        <f ca="1">IF($D148="","",OFFSET('(2)出場選手'!$B$2,$A148,Y$1))</f>
        <v/>
      </c>
      <c r="Z148" s="17" t="str">
        <f ca="1">IF($D148="","",OFFSET('(2)出場選手'!$B$2,$A148,Z$1))</f>
        <v/>
      </c>
    </row>
    <row r="149" spans="1:26" x14ac:dyDescent="0.15">
      <c r="A149" s="17">
        <f>TRUNC((ROWS($D$3:D149)-2)/Max_Entry_Count)+1</f>
        <v>49</v>
      </c>
      <c r="B149" s="17" t="str">
        <f ca="1">IF($A149&gt;=ROWS(Entries)-2,"",IF(OFFSET('(2)出場選手'!$B$2,$A149,B$1+3*(MOD(ROWS($D$3:D149)-2,Max_Entry_Count)))="","",MOD(ROWS($D$3:D149)-2,Max_Entry_Count)))</f>
        <v/>
      </c>
      <c r="D149" s="26" t="str">
        <f ca="1">IF(OR($A149&gt;=ROWS(Entries)-2,$B149=""),"",'(1)鑑'!$E$6&amp;"-"&amp;OFFSET('(2)出場選手'!$B$2,$A149,D$1))</f>
        <v/>
      </c>
      <c r="E149" s="26" t="str">
        <f ca="1">IF($D149="","",OFFSET('(2)出場選手'!$B$2,$A149,E$1))</f>
        <v/>
      </c>
      <c r="F149" s="26" t="str">
        <f ca="1">IF($D149="","",IF(OFFSET('(2)出場選手'!$B$2,$A149,F$1)="","",OFFSET('(2)出場選手'!$B$2,$A149,F$1)))</f>
        <v/>
      </c>
      <c r="G149" s="26" t="str">
        <f t="shared" ca="1" si="12"/>
        <v/>
      </c>
      <c r="H149" s="26" t="str">
        <f t="shared" ca="1" si="13"/>
        <v/>
      </c>
      <c r="I149" s="26" t="str">
        <f ca="1">IF($D149="","",IF(OFFSET('(2)出場選手'!$B$2,$A149,I$1)="","",OFFSET('(2)出場選手'!$B$2,$A149,I$1)))</f>
        <v/>
      </c>
      <c r="J149" s="26" t="str">
        <f ca="1">IF($D149="","",IF(OFFSET('(2)出場選手'!$B$2,$A149,J$1)="",'(1)鑑'!$E$6,OFFSET('(2)出場選手'!$B$2,$A149,J$1)))</f>
        <v/>
      </c>
      <c r="K149" s="26" t="str">
        <f ca="1">IF($D149="","",TRIM(ASC(IF(OFFSET('(2)出場選手'!$B$2,$A149,K$1)="",'(1)鑑'!$E$7,OFFSET('(2)出場選手'!$B$2,$A149,K$1)))))</f>
        <v/>
      </c>
      <c r="L149" s="26" t="str">
        <f ca="1">IF($D149="","",SUBSTITUTE(SUBSTITUTE(SUBSTITUTE(IF(OFFSET('(2)出場選手'!$B$2,$A149,L$1)="",'(1)鑑'!$E$8,OFFSET('(2)出場選手'!$B$2,$A149,L$1)),"県",""),"府",""),"東京都","東京"))</f>
        <v/>
      </c>
      <c r="M149" s="57" t="str">
        <f ca="1">IF($D149="","",IF(OFFSET('(2)出場選手'!$B$2,$A149,M$1)="","",OFFSET('(2)出場選手'!$B$2,$A149,M$1)))</f>
        <v/>
      </c>
      <c r="N149" s="26" t="str">
        <f ca="1">IF($D149="","",OFFSET('(2)出場選手'!$B$2,$A149,N$1+3*$B149))</f>
        <v/>
      </c>
      <c r="O149" s="26" t="str">
        <f ca="1">IF($D149="","",IF(OFFSET('(2)出場選手'!$B$2,$A149,O$1+3*$B149)="","",OFFSET('(2)出場選手'!$B$2,$A149,O$1+3*$B149)))</f>
        <v/>
      </c>
      <c r="P149" s="26" t="str">
        <f ca="1">IF($D149="","",IF(OFFSET('(2)出場選手'!$B$2,$A149,P$1+3*$B149)="","",OFFSET('(2)出場選手'!$B$2,$A149,P$1+3*$B149)))</f>
        <v/>
      </c>
      <c r="Q149" s="43" t="str">
        <f ca="1">IF(D149="","",VLOOKUP(N149,OFFSET(Competition_Events,0,1),11,FALSE)*IF($S149="リレー",IF(COUNTIF($T$3:$T149,$T149)&gt;1,0,1),1))</f>
        <v/>
      </c>
      <c r="R149" s="26" t="str">
        <f t="shared" ca="1" si="14"/>
        <v/>
      </c>
      <c r="S149" s="26" t="str">
        <f t="shared" ca="1" si="15"/>
        <v/>
      </c>
      <c r="T149" s="26" t="str">
        <f t="shared" ca="1" si="16"/>
        <v/>
      </c>
      <c r="U149" s="26" t="str">
        <f t="shared" ca="1" si="17"/>
        <v/>
      </c>
      <c r="W149" s="17" t="str">
        <f ca="1">IF($D149="","",OFFSET('(2)出場選手'!$B$2,$A149,W$1))</f>
        <v/>
      </c>
      <c r="X149" s="17" t="str">
        <f ca="1">IF($D149="","",OFFSET('(2)出場選手'!$B$2,$A149,X$1))</f>
        <v/>
      </c>
      <c r="Y149" s="17" t="str">
        <f ca="1">IF($D149="","",OFFSET('(2)出場選手'!$B$2,$A149,Y$1))</f>
        <v/>
      </c>
      <c r="Z149" s="17" t="str">
        <f ca="1">IF($D149="","",OFFSET('(2)出場選手'!$B$2,$A149,Z$1))</f>
        <v/>
      </c>
    </row>
    <row r="150" spans="1:26" x14ac:dyDescent="0.15">
      <c r="A150" s="17">
        <f>TRUNC((ROWS($D$3:D150)-2)/Max_Entry_Count)+1</f>
        <v>49</v>
      </c>
      <c r="B150" s="17" t="str">
        <f ca="1">IF($A150&gt;=ROWS(Entries)-2,"",IF(OFFSET('(2)出場選手'!$B$2,$A150,B$1+3*(MOD(ROWS($D$3:D150)-2,Max_Entry_Count)))="","",MOD(ROWS($D$3:D150)-2,Max_Entry_Count)))</f>
        <v/>
      </c>
      <c r="D150" s="26" t="str">
        <f ca="1">IF(OR($A150&gt;=ROWS(Entries)-2,$B150=""),"",'(1)鑑'!$E$6&amp;"-"&amp;OFFSET('(2)出場選手'!$B$2,$A150,D$1))</f>
        <v/>
      </c>
      <c r="E150" s="26" t="str">
        <f ca="1">IF($D150="","",OFFSET('(2)出場選手'!$B$2,$A150,E$1))</f>
        <v/>
      </c>
      <c r="F150" s="26" t="str">
        <f ca="1">IF($D150="","",IF(OFFSET('(2)出場選手'!$B$2,$A150,F$1)="","",OFFSET('(2)出場選手'!$B$2,$A150,F$1)))</f>
        <v/>
      </c>
      <c r="G150" s="26" t="str">
        <f t="shared" ca="1" si="12"/>
        <v/>
      </c>
      <c r="H150" s="26" t="str">
        <f t="shared" ca="1" si="13"/>
        <v/>
      </c>
      <c r="I150" s="26" t="str">
        <f ca="1">IF($D150="","",IF(OFFSET('(2)出場選手'!$B$2,$A150,I$1)="","",OFFSET('(2)出場選手'!$B$2,$A150,I$1)))</f>
        <v/>
      </c>
      <c r="J150" s="26" t="str">
        <f ca="1">IF($D150="","",IF(OFFSET('(2)出場選手'!$B$2,$A150,J$1)="",'(1)鑑'!$E$6,OFFSET('(2)出場選手'!$B$2,$A150,J$1)))</f>
        <v/>
      </c>
      <c r="K150" s="26" t="str">
        <f ca="1">IF($D150="","",TRIM(ASC(IF(OFFSET('(2)出場選手'!$B$2,$A150,K$1)="",'(1)鑑'!$E$7,OFFSET('(2)出場選手'!$B$2,$A150,K$1)))))</f>
        <v/>
      </c>
      <c r="L150" s="26" t="str">
        <f ca="1">IF($D150="","",SUBSTITUTE(SUBSTITUTE(SUBSTITUTE(IF(OFFSET('(2)出場選手'!$B$2,$A150,L$1)="",'(1)鑑'!$E$8,OFFSET('(2)出場選手'!$B$2,$A150,L$1)),"県",""),"府",""),"東京都","東京"))</f>
        <v/>
      </c>
      <c r="M150" s="57" t="str">
        <f ca="1">IF($D150="","",IF(OFFSET('(2)出場選手'!$B$2,$A150,M$1)="","",OFFSET('(2)出場選手'!$B$2,$A150,M$1)))</f>
        <v/>
      </c>
      <c r="N150" s="26" t="str">
        <f ca="1">IF($D150="","",OFFSET('(2)出場選手'!$B$2,$A150,N$1+3*$B150))</f>
        <v/>
      </c>
      <c r="O150" s="26" t="str">
        <f ca="1">IF($D150="","",IF(OFFSET('(2)出場選手'!$B$2,$A150,O$1+3*$B150)="","",OFFSET('(2)出場選手'!$B$2,$A150,O$1+3*$B150)))</f>
        <v/>
      </c>
      <c r="P150" s="26" t="str">
        <f ca="1">IF($D150="","",IF(OFFSET('(2)出場選手'!$B$2,$A150,P$1+3*$B150)="","",OFFSET('(2)出場選手'!$B$2,$A150,P$1+3*$B150)))</f>
        <v/>
      </c>
      <c r="Q150" s="43" t="str">
        <f ca="1">IF(D150="","",VLOOKUP(N150,OFFSET(Competition_Events,0,1),11,FALSE)*IF($S150="リレー",IF(COUNTIF($T$3:$T150,$T150)&gt;1,0,1),1))</f>
        <v/>
      </c>
      <c r="R150" s="26" t="str">
        <f t="shared" ca="1" si="14"/>
        <v/>
      </c>
      <c r="S150" s="26" t="str">
        <f t="shared" ca="1" si="15"/>
        <v/>
      </c>
      <c r="T150" s="26" t="str">
        <f t="shared" ca="1" si="16"/>
        <v/>
      </c>
      <c r="U150" s="26" t="str">
        <f t="shared" ca="1" si="17"/>
        <v/>
      </c>
      <c r="W150" s="17" t="str">
        <f ca="1">IF($D150="","",OFFSET('(2)出場選手'!$B$2,$A150,W$1))</f>
        <v/>
      </c>
      <c r="X150" s="17" t="str">
        <f ca="1">IF($D150="","",OFFSET('(2)出場選手'!$B$2,$A150,X$1))</f>
        <v/>
      </c>
      <c r="Y150" s="17" t="str">
        <f ca="1">IF($D150="","",OFFSET('(2)出場選手'!$B$2,$A150,Y$1))</f>
        <v/>
      </c>
      <c r="Z150" s="17" t="str">
        <f ca="1">IF($D150="","",OFFSET('(2)出場選手'!$B$2,$A150,Z$1))</f>
        <v/>
      </c>
    </row>
    <row r="151" spans="1:26" x14ac:dyDescent="0.15">
      <c r="A151" s="17">
        <f>TRUNC((ROWS($D$3:D151)-2)/Max_Entry_Count)+1</f>
        <v>50</v>
      </c>
      <c r="B151" s="17" t="str">
        <f ca="1">IF($A151&gt;=ROWS(Entries)-2,"",IF(OFFSET('(2)出場選手'!$B$2,$A151,B$1+3*(MOD(ROWS($D$3:D151)-2,Max_Entry_Count)))="","",MOD(ROWS($D$3:D151)-2,Max_Entry_Count)))</f>
        <v/>
      </c>
      <c r="D151" s="26" t="str">
        <f ca="1">IF(OR($A151&gt;=ROWS(Entries)-2,$B151=""),"",'(1)鑑'!$E$6&amp;"-"&amp;OFFSET('(2)出場選手'!$B$2,$A151,D$1))</f>
        <v/>
      </c>
      <c r="E151" s="26" t="str">
        <f ca="1">IF($D151="","",OFFSET('(2)出場選手'!$B$2,$A151,E$1))</f>
        <v/>
      </c>
      <c r="F151" s="26" t="str">
        <f ca="1">IF($D151="","",IF(OFFSET('(2)出場選手'!$B$2,$A151,F$1)="","",OFFSET('(2)出場選手'!$B$2,$A151,F$1)))</f>
        <v/>
      </c>
      <c r="G151" s="26" t="str">
        <f t="shared" ca="1" si="12"/>
        <v/>
      </c>
      <c r="H151" s="26" t="str">
        <f t="shared" ca="1" si="13"/>
        <v/>
      </c>
      <c r="I151" s="26" t="str">
        <f ca="1">IF($D151="","",IF(OFFSET('(2)出場選手'!$B$2,$A151,I$1)="","",OFFSET('(2)出場選手'!$B$2,$A151,I$1)))</f>
        <v/>
      </c>
      <c r="J151" s="26" t="str">
        <f ca="1">IF($D151="","",IF(OFFSET('(2)出場選手'!$B$2,$A151,J$1)="",'(1)鑑'!$E$6,OFFSET('(2)出場選手'!$B$2,$A151,J$1)))</f>
        <v/>
      </c>
      <c r="K151" s="26" t="str">
        <f ca="1">IF($D151="","",TRIM(ASC(IF(OFFSET('(2)出場選手'!$B$2,$A151,K$1)="",'(1)鑑'!$E$7,OFFSET('(2)出場選手'!$B$2,$A151,K$1)))))</f>
        <v/>
      </c>
      <c r="L151" s="26" t="str">
        <f ca="1">IF($D151="","",SUBSTITUTE(SUBSTITUTE(SUBSTITUTE(IF(OFFSET('(2)出場選手'!$B$2,$A151,L$1)="",'(1)鑑'!$E$8,OFFSET('(2)出場選手'!$B$2,$A151,L$1)),"県",""),"府",""),"東京都","東京"))</f>
        <v/>
      </c>
      <c r="M151" s="57" t="str">
        <f ca="1">IF($D151="","",IF(OFFSET('(2)出場選手'!$B$2,$A151,M$1)="","",OFFSET('(2)出場選手'!$B$2,$A151,M$1)))</f>
        <v/>
      </c>
      <c r="N151" s="26" t="str">
        <f ca="1">IF($D151="","",OFFSET('(2)出場選手'!$B$2,$A151,N$1+3*$B151))</f>
        <v/>
      </c>
      <c r="O151" s="26" t="str">
        <f ca="1">IF($D151="","",IF(OFFSET('(2)出場選手'!$B$2,$A151,O$1+3*$B151)="","",OFFSET('(2)出場選手'!$B$2,$A151,O$1+3*$B151)))</f>
        <v/>
      </c>
      <c r="P151" s="26" t="str">
        <f ca="1">IF($D151="","",IF(OFFSET('(2)出場選手'!$B$2,$A151,P$1+3*$B151)="","",OFFSET('(2)出場選手'!$B$2,$A151,P$1+3*$B151)))</f>
        <v/>
      </c>
      <c r="Q151" s="43" t="str">
        <f ca="1">IF(D151="","",VLOOKUP(N151,OFFSET(Competition_Events,0,1),11,FALSE)*IF($S151="リレー",IF(COUNTIF($T$3:$T151,$T151)&gt;1,0,1),1))</f>
        <v/>
      </c>
      <c r="R151" s="26" t="str">
        <f t="shared" ca="1" si="14"/>
        <v/>
      </c>
      <c r="S151" s="26" t="str">
        <f t="shared" ca="1" si="15"/>
        <v/>
      </c>
      <c r="T151" s="26" t="str">
        <f t="shared" ca="1" si="16"/>
        <v/>
      </c>
      <c r="U151" s="26" t="str">
        <f t="shared" ca="1" si="17"/>
        <v/>
      </c>
      <c r="W151" s="17" t="str">
        <f ca="1">IF($D151="","",OFFSET('(2)出場選手'!$B$2,$A151,W$1))</f>
        <v/>
      </c>
      <c r="X151" s="17" t="str">
        <f ca="1">IF($D151="","",OFFSET('(2)出場選手'!$B$2,$A151,X$1))</f>
        <v/>
      </c>
      <c r="Y151" s="17" t="str">
        <f ca="1">IF($D151="","",OFFSET('(2)出場選手'!$B$2,$A151,Y$1))</f>
        <v/>
      </c>
      <c r="Z151" s="17" t="str">
        <f ca="1">IF($D151="","",OFFSET('(2)出場選手'!$B$2,$A151,Z$1))</f>
        <v/>
      </c>
    </row>
    <row r="152" spans="1:26" x14ac:dyDescent="0.15">
      <c r="A152" s="17">
        <f>TRUNC((ROWS($D$3:D152)-2)/Max_Entry_Count)+1</f>
        <v>50</v>
      </c>
      <c r="B152" s="17" t="str">
        <f ca="1">IF($A152&gt;=ROWS(Entries)-2,"",IF(OFFSET('(2)出場選手'!$B$2,$A152,B$1+3*(MOD(ROWS($D$3:D152)-2,Max_Entry_Count)))="","",MOD(ROWS($D$3:D152)-2,Max_Entry_Count)))</f>
        <v/>
      </c>
      <c r="D152" s="26" t="str">
        <f ca="1">IF(OR($A152&gt;=ROWS(Entries)-2,$B152=""),"",'(1)鑑'!$E$6&amp;"-"&amp;OFFSET('(2)出場選手'!$B$2,$A152,D$1))</f>
        <v/>
      </c>
      <c r="E152" s="26" t="str">
        <f ca="1">IF($D152="","",OFFSET('(2)出場選手'!$B$2,$A152,E$1))</f>
        <v/>
      </c>
      <c r="F152" s="26" t="str">
        <f ca="1">IF($D152="","",IF(OFFSET('(2)出場選手'!$B$2,$A152,F$1)="","",OFFSET('(2)出場選手'!$B$2,$A152,F$1)))</f>
        <v/>
      </c>
      <c r="G152" s="26" t="str">
        <f t="shared" ca="1" si="12"/>
        <v/>
      </c>
      <c r="H152" s="26" t="str">
        <f t="shared" ca="1" si="13"/>
        <v/>
      </c>
      <c r="I152" s="26" t="str">
        <f ca="1">IF($D152="","",IF(OFFSET('(2)出場選手'!$B$2,$A152,I$1)="","",OFFSET('(2)出場選手'!$B$2,$A152,I$1)))</f>
        <v/>
      </c>
      <c r="J152" s="26" t="str">
        <f ca="1">IF($D152="","",IF(OFFSET('(2)出場選手'!$B$2,$A152,J$1)="",'(1)鑑'!$E$6,OFFSET('(2)出場選手'!$B$2,$A152,J$1)))</f>
        <v/>
      </c>
      <c r="K152" s="26" t="str">
        <f ca="1">IF($D152="","",TRIM(ASC(IF(OFFSET('(2)出場選手'!$B$2,$A152,K$1)="",'(1)鑑'!$E$7,OFFSET('(2)出場選手'!$B$2,$A152,K$1)))))</f>
        <v/>
      </c>
      <c r="L152" s="26" t="str">
        <f ca="1">IF($D152="","",SUBSTITUTE(SUBSTITUTE(SUBSTITUTE(IF(OFFSET('(2)出場選手'!$B$2,$A152,L$1)="",'(1)鑑'!$E$8,OFFSET('(2)出場選手'!$B$2,$A152,L$1)),"県",""),"府",""),"東京都","東京"))</f>
        <v/>
      </c>
      <c r="M152" s="57" t="str">
        <f ca="1">IF($D152="","",IF(OFFSET('(2)出場選手'!$B$2,$A152,M$1)="","",OFFSET('(2)出場選手'!$B$2,$A152,M$1)))</f>
        <v/>
      </c>
      <c r="N152" s="26" t="str">
        <f ca="1">IF($D152="","",OFFSET('(2)出場選手'!$B$2,$A152,N$1+3*$B152))</f>
        <v/>
      </c>
      <c r="O152" s="26" t="str">
        <f ca="1">IF($D152="","",IF(OFFSET('(2)出場選手'!$B$2,$A152,O$1+3*$B152)="","",OFFSET('(2)出場選手'!$B$2,$A152,O$1+3*$B152)))</f>
        <v/>
      </c>
      <c r="P152" s="26" t="str">
        <f ca="1">IF($D152="","",IF(OFFSET('(2)出場選手'!$B$2,$A152,P$1+3*$B152)="","",OFFSET('(2)出場選手'!$B$2,$A152,P$1+3*$B152)))</f>
        <v/>
      </c>
      <c r="Q152" s="43" t="str">
        <f ca="1">IF(D152="","",VLOOKUP(N152,OFFSET(Competition_Events,0,1),11,FALSE)*IF($S152="リレー",IF(COUNTIF($T$3:$T152,$T152)&gt;1,0,1),1))</f>
        <v/>
      </c>
      <c r="R152" s="26" t="str">
        <f t="shared" ca="1" si="14"/>
        <v/>
      </c>
      <c r="S152" s="26" t="str">
        <f t="shared" ca="1" si="15"/>
        <v/>
      </c>
      <c r="T152" s="26" t="str">
        <f t="shared" ca="1" si="16"/>
        <v/>
      </c>
      <c r="U152" s="26" t="str">
        <f t="shared" ca="1" si="17"/>
        <v/>
      </c>
      <c r="W152" s="17" t="str">
        <f ca="1">IF($D152="","",OFFSET('(2)出場選手'!$B$2,$A152,W$1))</f>
        <v/>
      </c>
      <c r="X152" s="17" t="str">
        <f ca="1">IF($D152="","",OFFSET('(2)出場選手'!$B$2,$A152,X$1))</f>
        <v/>
      </c>
      <c r="Y152" s="17" t="str">
        <f ca="1">IF($D152="","",OFFSET('(2)出場選手'!$B$2,$A152,Y$1))</f>
        <v/>
      </c>
      <c r="Z152" s="17" t="str">
        <f ca="1">IF($D152="","",OFFSET('(2)出場選手'!$B$2,$A152,Z$1))</f>
        <v/>
      </c>
    </row>
    <row r="153" spans="1:26" x14ac:dyDescent="0.15">
      <c r="A153" s="17">
        <f>TRUNC((ROWS($D$3:D153)-2)/Max_Entry_Count)+1</f>
        <v>50</v>
      </c>
      <c r="B153" s="17" t="str">
        <f ca="1">IF($A153&gt;=ROWS(Entries)-2,"",IF(OFFSET('(2)出場選手'!$B$2,$A153,B$1+3*(MOD(ROWS($D$3:D153)-2,Max_Entry_Count)))="","",MOD(ROWS($D$3:D153)-2,Max_Entry_Count)))</f>
        <v/>
      </c>
      <c r="D153" s="26" t="str">
        <f ca="1">IF(OR($A153&gt;=ROWS(Entries)-2,$B153=""),"",'(1)鑑'!$E$6&amp;"-"&amp;OFFSET('(2)出場選手'!$B$2,$A153,D$1))</f>
        <v/>
      </c>
      <c r="E153" s="26" t="str">
        <f ca="1">IF($D153="","",OFFSET('(2)出場選手'!$B$2,$A153,E$1))</f>
        <v/>
      </c>
      <c r="F153" s="26" t="str">
        <f ca="1">IF($D153="","",IF(OFFSET('(2)出場選手'!$B$2,$A153,F$1)="","",OFFSET('(2)出場選手'!$B$2,$A153,F$1)))</f>
        <v/>
      </c>
      <c r="G153" s="26" t="str">
        <f t="shared" ca="1" si="12"/>
        <v/>
      </c>
      <c r="H153" s="26" t="str">
        <f t="shared" ca="1" si="13"/>
        <v/>
      </c>
      <c r="I153" s="26" t="str">
        <f ca="1">IF($D153="","",IF(OFFSET('(2)出場選手'!$B$2,$A153,I$1)="","",OFFSET('(2)出場選手'!$B$2,$A153,I$1)))</f>
        <v/>
      </c>
      <c r="J153" s="26" t="str">
        <f ca="1">IF($D153="","",IF(OFFSET('(2)出場選手'!$B$2,$A153,J$1)="",'(1)鑑'!$E$6,OFFSET('(2)出場選手'!$B$2,$A153,J$1)))</f>
        <v/>
      </c>
      <c r="K153" s="26" t="str">
        <f ca="1">IF($D153="","",TRIM(ASC(IF(OFFSET('(2)出場選手'!$B$2,$A153,K$1)="",'(1)鑑'!$E$7,OFFSET('(2)出場選手'!$B$2,$A153,K$1)))))</f>
        <v/>
      </c>
      <c r="L153" s="26" t="str">
        <f ca="1">IF($D153="","",SUBSTITUTE(SUBSTITUTE(SUBSTITUTE(IF(OFFSET('(2)出場選手'!$B$2,$A153,L$1)="",'(1)鑑'!$E$8,OFFSET('(2)出場選手'!$B$2,$A153,L$1)),"県",""),"府",""),"東京都","東京"))</f>
        <v/>
      </c>
      <c r="M153" s="57" t="str">
        <f ca="1">IF($D153="","",IF(OFFSET('(2)出場選手'!$B$2,$A153,M$1)="","",OFFSET('(2)出場選手'!$B$2,$A153,M$1)))</f>
        <v/>
      </c>
      <c r="N153" s="26" t="str">
        <f ca="1">IF($D153="","",OFFSET('(2)出場選手'!$B$2,$A153,N$1+3*$B153))</f>
        <v/>
      </c>
      <c r="O153" s="26" t="str">
        <f ca="1">IF($D153="","",IF(OFFSET('(2)出場選手'!$B$2,$A153,O$1+3*$B153)="","",OFFSET('(2)出場選手'!$B$2,$A153,O$1+3*$B153)))</f>
        <v/>
      </c>
      <c r="P153" s="26" t="str">
        <f ca="1">IF($D153="","",IF(OFFSET('(2)出場選手'!$B$2,$A153,P$1+3*$B153)="","",OFFSET('(2)出場選手'!$B$2,$A153,P$1+3*$B153)))</f>
        <v/>
      </c>
      <c r="Q153" s="43" t="str">
        <f ca="1">IF(D153="","",VLOOKUP(N153,OFFSET(Competition_Events,0,1),11,FALSE)*IF($S153="リレー",IF(COUNTIF($T$3:$T153,$T153)&gt;1,0,1),1))</f>
        <v/>
      </c>
      <c r="R153" s="26" t="str">
        <f t="shared" ca="1" si="14"/>
        <v/>
      </c>
      <c r="S153" s="26" t="str">
        <f t="shared" ca="1" si="15"/>
        <v/>
      </c>
      <c r="T153" s="26" t="str">
        <f t="shared" ca="1" si="16"/>
        <v/>
      </c>
      <c r="U153" s="26" t="str">
        <f t="shared" ca="1" si="17"/>
        <v/>
      </c>
      <c r="W153" s="17" t="str">
        <f ca="1">IF($D153="","",OFFSET('(2)出場選手'!$B$2,$A153,W$1))</f>
        <v/>
      </c>
      <c r="X153" s="17" t="str">
        <f ca="1">IF($D153="","",OFFSET('(2)出場選手'!$B$2,$A153,X$1))</f>
        <v/>
      </c>
      <c r="Y153" s="17" t="str">
        <f ca="1">IF($D153="","",OFFSET('(2)出場選手'!$B$2,$A153,Y$1))</f>
        <v/>
      </c>
      <c r="Z153" s="17" t="str">
        <f ca="1">IF($D153="","",OFFSET('(2)出場選手'!$B$2,$A153,Z$1))</f>
        <v/>
      </c>
    </row>
    <row r="154" spans="1:26" x14ac:dyDescent="0.15">
      <c r="A154" s="17">
        <f>TRUNC((ROWS($D$3:D154)-2)/Max_Entry_Count)+1</f>
        <v>51</v>
      </c>
      <c r="B154" s="17" t="str">
        <f ca="1">IF($A154&gt;=ROWS(Entries)-2,"",IF(OFFSET('(2)出場選手'!$B$2,$A154,B$1+3*(MOD(ROWS($D$3:D154)-2,Max_Entry_Count)))="","",MOD(ROWS($D$3:D154)-2,Max_Entry_Count)))</f>
        <v/>
      </c>
      <c r="D154" s="26" t="str">
        <f ca="1">IF(OR($A154&gt;=ROWS(Entries)-2,$B154=""),"",'(1)鑑'!$E$6&amp;"-"&amp;OFFSET('(2)出場選手'!$B$2,$A154,D$1))</f>
        <v/>
      </c>
      <c r="E154" s="26" t="str">
        <f ca="1">IF($D154="","",OFFSET('(2)出場選手'!$B$2,$A154,E$1))</f>
        <v/>
      </c>
      <c r="F154" s="26" t="str">
        <f ca="1">IF($D154="","",IF(OFFSET('(2)出場選手'!$B$2,$A154,F$1)="","",OFFSET('(2)出場選手'!$B$2,$A154,F$1)))</f>
        <v/>
      </c>
      <c r="G154" s="26" t="str">
        <f t="shared" ca="1" si="12"/>
        <v/>
      </c>
      <c r="H154" s="26" t="str">
        <f t="shared" ca="1" si="13"/>
        <v/>
      </c>
      <c r="I154" s="26" t="str">
        <f ca="1">IF($D154="","",IF(OFFSET('(2)出場選手'!$B$2,$A154,I$1)="","",OFFSET('(2)出場選手'!$B$2,$A154,I$1)))</f>
        <v/>
      </c>
      <c r="J154" s="26" t="str">
        <f ca="1">IF($D154="","",IF(OFFSET('(2)出場選手'!$B$2,$A154,J$1)="",'(1)鑑'!$E$6,OFFSET('(2)出場選手'!$B$2,$A154,J$1)))</f>
        <v/>
      </c>
      <c r="K154" s="26" t="str">
        <f ca="1">IF($D154="","",TRIM(ASC(IF(OFFSET('(2)出場選手'!$B$2,$A154,K$1)="",'(1)鑑'!$E$7,OFFSET('(2)出場選手'!$B$2,$A154,K$1)))))</f>
        <v/>
      </c>
      <c r="L154" s="26" t="str">
        <f ca="1">IF($D154="","",SUBSTITUTE(SUBSTITUTE(SUBSTITUTE(IF(OFFSET('(2)出場選手'!$B$2,$A154,L$1)="",'(1)鑑'!$E$8,OFFSET('(2)出場選手'!$B$2,$A154,L$1)),"県",""),"府",""),"東京都","東京"))</f>
        <v/>
      </c>
      <c r="M154" s="57" t="str">
        <f ca="1">IF($D154="","",IF(OFFSET('(2)出場選手'!$B$2,$A154,M$1)="","",OFFSET('(2)出場選手'!$B$2,$A154,M$1)))</f>
        <v/>
      </c>
      <c r="N154" s="26" t="str">
        <f ca="1">IF($D154="","",OFFSET('(2)出場選手'!$B$2,$A154,N$1+3*$B154))</f>
        <v/>
      </c>
      <c r="O154" s="26" t="str">
        <f ca="1">IF($D154="","",IF(OFFSET('(2)出場選手'!$B$2,$A154,O$1+3*$B154)="","",OFFSET('(2)出場選手'!$B$2,$A154,O$1+3*$B154)))</f>
        <v/>
      </c>
      <c r="P154" s="26" t="str">
        <f ca="1">IF($D154="","",IF(OFFSET('(2)出場選手'!$B$2,$A154,P$1+3*$B154)="","",OFFSET('(2)出場選手'!$B$2,$A154,P$1+3*$B154)))</f>
        <v/>
      </c>
      <c r="Q154" s="43" t="str">
        <f ca="1">IF(D154="","",VLOOKUP(N154,OFFSET(Competition_Events,0,1),11,FALSE)*IF($S154="リレー",IF(COUNTIF($T$3:$T154,$T154)&gt;1,0,1),1))</f>
        <v/>
      </c>
      <c r="R154" s="26" t="str">
        <f t="shared" ca="1" si="14"/>
        <v/>
      </c>
      <c r="S154" s="26" t="str">
        <f t="shared" ca="1" si="15"/>
        <v/>
      </c>
      <c r="T154" s="26" t="str">
        <f t="shared" ca="1" si="16"/>
        <v/>
      </c>
      <c r="U154" s="26" t="str">
        <f t="shared" ca="1" si="17"/>
        <v/>
      </c>
      <c r="W154" s="17" t="str">
        <f ca="1">IF($D154="","",OFFSET('(2)出場選手'!$B$2,$A154,W$1))</f>
        <v/>
      </c>
      <c r="X154" s="17" t="str">
        <f ca="1">IF($D154="","",OFFSET('(2)出場選手'!$B$2,$A154,X$1))</f>
        <v/>
      </c>
      <c r="Y154" s="17" t="str">
        <f ca="1">IF($D154="","",OFFSET('(2)出場選手'!$B$2,$A154,Y$1))</f>
        <v/>
      </c>
      <c r="Z154" s="17" t="str">
        <f ca="1">IF($D154="","",OFFSET('(2)出場選手'!$B$2,$A154,Z$1))</f>
        <v/>
      </c>
    </row>
    <row r="155" spans="1:26" x14ac:dyDescent="0.15">
      <c r="A155" s="17">
        <f>TRUNC((ROWS($D$3:D155)-2)/Max_Entry_Count)+1</f>
        <v>51</v>
      </c>
      <c r="B155" s="17" t="str">
        <f ca="1">IF($A155&gt;=ROWS(Entries)-2,"",IF(OFFSET('(2)出場選手'!$B$2,$A155,B$1+3*(MOD(ROWS($D$3:D155)-2,Max_Entry_Count)))="","",MOD(ROWS($D$3:D155)-2,Max_Entry_Count)))</f>
        <v/>
      </c>
      <c r="D155" s="26" t="str">
        <f ca="1">IF(OR($A155&gt;=ROWS(Entries)-2,$B155=""),"",'(1)鑑'!$E$6&amp;"-"&amp;OFFSET('(2)出場選手'!$B$2,$A155,D$1))</f>
        <v/>
      </c>
      <c r="E155" s="26" t="str">
        <f ca="1">IF($D155="","",OFFSET('(2)出場選手'!$B$2,$A155,E$1))</f>
        <v/>
      </c>
      <c r="F155" s="26" t="str">
        <f ca="1">IF($D155="","",IF(OFFSET('(2)出場選手'!$B$2,$A155,F$1)="","",OFFSET('(2)出場選手'!$B$2,$A155,F$1)))</f>
        <v/>
      </c>
      <c r="G155" s="26" t="str">
        <f t="shared" ca="1" si="12"/>
        <v/>
      </c>
      <c r="H155" s="26" t="str">
        <f t="shared" ca="1" si="13"/>
        <v/>
      </c>
      <c r="I155" s="26" t="str">
        <f ca="1">IF($D155="","",IF(OFFSET('(2)出場選手'!$B$2,$A155,I$1)="","",OFFSET('(2)出場選手'!$B$2,$A155,I$1)))</f>
        <v/>
      </c>
      <c r="J155" s="26" t="str">
        <f ca="1">IF($D155="","",IF(OFFSET('(2)出場選手'!$B$2,$A155,J$1)="",'(1)鑑'!$E$6,OFFSET('(2)出場選手'!$B$2,$A155,J$1)))</f>
        <v/>
      </c>
      <c r="K155" s="26" t="str">
        <f ca="1">IF($D155="","",TRIM(ASC(IF(OFFSET('(2)出場選手'!$B$2,$A155,K$1)="",'(1)鑑'!$E$7,OFFSET('(2)出場選手'!$B$2,$A155,K$1)))))</f>
        <v/>
      </c>
      <c r="L155" s="26" t="str">
        <f ca="1">IF($D155="","",SUBSTITUTE(SUBSTITUTE(SUBSTITUTE(IF(OFFSET('(2)出場選手'!$B$2,$A155,L$1)="",'(1)鑑'!$E$8,OFFSET('(2)出場選手'!$B$2,$A155,L$1)),"県",""),"府",""),"東京都","東京"))</f>
        <v/>
      </c>
      <c r="M155" s="57" t="str">
        <f ca="1">IF($D155="","",IF(OFFSET('(2)出場選手'!$B$2,$A155,M$1)="","",OFFSET('(2)出場選手'!$B$2,$A155,M$1)))</f>
        <v/>
      </c>
      <c r="N155" s="26" t="str">
        <f ca="1">IF($D155="","",OFFSET('(2)出場選手'!$B$2,$A155,N$1+3*$B155))</f>
        <v/>
      </c>
      <c r="O155" s="26" t="str">
        <f ca="1">IF($D155="","",IF(OFFSET('(2)出場選手'!$B$2,$A155,O$1+3*$B155)="","",OFFSET('(2)出場選手'!$B$2,$A155,O$1+3*$B155)))</f>
        <v/>
      </c>
      <c r="P155" s="26" t="str">
        <f ca="1">IF($D155="","",IF(OFFSET('(2)出場選手'!$B$2,$A155,P$1+3*$B155)="","",OFFSET('(2)出場選手'!$B$2,$A155,P$1+3*$B155)))</f>
        <v/>
      </c>
      <c r="Q155" s="43" t="str">
        <f ca="1">IF(D155="","",VLOOKUP(N155,OFFSET(Competition_Events,0,1),11,FALSE)*IF($S155="リレー",IF(COUNTIF($T$3:$T155,$T155)&gt;1,0,1),1))</f>
        <v/>
      </c>
      <c r="R155" s="26" t="str">
        <f t="shared" ca="1" si="14"/>
        <v/>
      </c>
      <c r="S155" s="26" t="str">
        <f t="shared" ca="1" si="15"/>
        <v/>
      </c>
      <c r="T155" s="26" t="str">
        <f t="shared" ca="1" si="16"/>
        <v/>
      </c>
      <c r="U155" s="26" t="str">
        <f t="shared" ca="1" si="17"/>
        <v/>
      </c>
      <c r="W155" s="17" t="str">
        <f ca="1">IF($D155="","",OFFSET('(2)出場選手'!$B$2,$A155,W$1))</f>
        <v/>
      </c>
      <c r="X155" s="17" t="str">
        <f ca="1">IF($D155="","",OFFSET('(2)出場選手'!$B$2,$A155,X$1))</f>
        <v/>
      </c>
      <c r="Y155" s="17" t="str">
        <f ca="1">IF($D155="","",OFFSET('(2)出場選手'!$B$2,$A155,Y$1))</f>
        <v/>
      </c>
      <c r="Z155" s="17" t="str">
        <f ca="1">IF($D155="","",OFFSET('(2)出場選手'!$B$2,$A155,Z$1))</f>
        <v/>
      </c>
    </row>
    <row r="156" spans="1:26" x14ac:dyDescent="0.15">
      <c r="A156" s="17">
        <f>TRUNC((ROWS($D$3:D156)-2)/Max_Entry_Count)+1</f>
        <v>51</v>
      </c>
      <c r="B156" s="17" t="str">
        <f ca="1">IF($A156&gt;=ROWS(Entries)-2,"",IF(OFFSET('(2)出場選手'!$B$2,$A156,B$1+3*(MOD(ROWS($D$3:D156)-2,Max_Entry_Count)))="","",MOD(ROWS($D$3:D156)-2,Max_Entry_Count)))</f>
        <v/>
      </c>
      <c r="D156" s="26" t="str">
        <f ca="1">IF(OR($A156&gt;=ROWS(Entries)-2,$B156=""),"",'(1)鑑'!$E$6&amp;"-"&amp;OFFSET('(2)出場選手'!$B$2,$A156,D$1))</f>
        <v/>
      </c>
      <c r="E156" s="26" t="str">
        <f ca="1">IF($D156="","",OFFSET('(2)出場選手'!$B$2,$A156,E$1))</f>
        <v/>
      </c>
      <c r="F156" s="26" t="str">
        <f ca="1">IF($D156="","",IF(OFFSET('(2)出場選手'!$B$2,$A156,F$1)="","",OFFSET('(2)出場選手'!$B$2,$A156,F$1)))</f>
        <v/>
      </c>
      <c r="G156" s="26" t="str">
        <f t="shared" ca="1" si="12"/>
        <v/>
      </c>
      <c r="H156" s="26" t="str">
        <f t="shared" ca="1" si="13"/>
        <v/>
      </c>
      <c r="I156" s="26" t="str">
        <f ca="1">IF($D156="","",IF(OFFSET('(2)出場選手'!$B$2,$A156,I$1)="","",OFFSET('(2)出場選手'!$B$2,$A156,I$1)))</f>
        <v/>
      </c>
      <c r="J156" s="26" t="str">
        <f ca="1">IF($D156="","",IF(OFFSET('(2)出場選手'!$B$2,$A156,J$1)="",'(1)鑑'!$E$6,OFFSET('(2)出場選手'!$B$2,$A156,J$1)))</f>
        <v/>
      </c>
      <c r="K156" s="26" t="str">
        <f ca="1">IF($D156="","",TRIM(ASC(IF(OFFSET('(2)出場選手'!$B$2,$A156,K$1)="",'(1)鑑'!$E$7,OFFSET('(2)出場選手'!$B$2,$A156,K$1)))))</f>
        <v/>
      </c>
      <c r="L156" s="26" t="str">
        <f ca="1">IF($D156="","",SUBSTITUTE(SUBSTITUTE(SUBSTITUTE(IF(OFFSET('(2)出場選手'!$B$2,$A156,L$1)="",'(1)鑑'!$E$8,OFFSET('(2)出場選手'!$B$2,$A156,L$1)),"県",""),"府",""),"東京都","東京"))</f>
        <v/>
      </c>
      <c r="M156" s="57" t="str">
        <f ca="1">IF($D156="","",IF(OFFSET('(2)出場選手'!$B$2,$A156,M$1)="","",OFFSET('(2)出場選手'!$B$2,$A156,M$1)))</f>
        <v/>
      </c>
      <c r="N156" s="26" t="str">
        <f ca="1">IF($D156="","",OFFSET('(2)出場選手'!$B$2,$A156,N$1+3*$B156))</f>
        <v/>
      </c>
      <c r="O156" s="26" t="str">
        <f ca="1">IF($D156="","",IF(OFFSET('(2)出場選手'!$B$2,$A156,O$1+3*$B156)="","",OFFSET('(2)出場選手'!$B$2,$A156,O$1+3*$B156)))</f>
        <v/>
      </c>
      <c r="P156" s="26" t="str">
        <f ca="1">IF($D156="","",IF(OFFSET('(2)出場選手'!$B$2,$A156,P$1+3*$B156)="","",OFFSET('(2)出場選手'!$B$2,$A156,P$1+3*$B156)))</f>
        <v/>
      </c>
      <c r="Q156" s="43" t="str">
        <f ca="1">IF(D156="","",VLOOKUP(N156,OFFSET(Competition_Events,0,1),11,FALSE)*IF($S156="リレー",IF(COUNTIF($T$3:$T156,$T156)&gt;1,0,1),1))</f>
        <v/>
      </c>
      <c r="R156" s="26" t="str">
        <f t="shared" ca="1" si="14"/>
        <v/>
      </c>
      <c r="S156" s="26" t="str">
        <f t="shared" ca="1" si="15"/>
        <v/>
      </c>
      <c r="T156" s="26" t="str">
        <f t="shared" ca="1" si="16"/>
        <v/>
      </c>
      <c r="U156" s="26" t="str">
        <f t="shared" ca="1" si="17"/>
        <v/>
      </c>
      <c r="W156" s="17" t="str">
        <f ca="1">IF($D156="","",OFFSET('(2)出場選手'!$B$2,$A156,W$1))</f>
        <v/>
      </c>
      <c r="X156" s="17" t="str">
        <f ca="1">IF($D156="","",OFFSET('(2)出場選手'!$B$2,$A156,X$1))</f>
        <v/>
      </c>
      <c r="Y156" s="17" t="str">
        <f ca="1">IF($D156="","",OFFSET('(2)出場選手'!$B$2,$A156,Y$1))</f>
        <v/>
      </c>
      <c r="Z156" s="17" t="str">
        <f ca="1">IF($D156="","",OFFSET('(2)出場選手'!$B$2,$A156,Z$1))</f>
        <v/>
      </c>
    </row>
    <row r="157" spans="1:26" x14ac:dyDescent="0.15">
      <c r="A157" s="17">
        <f>TRUNC((ROWS($D$3:D157)-2)/Max_Entry_Count)+1</f>
        <v>52</v>
      </c>
      <c r="B157" s="17" t="str">
        <f ca="1">IF($A157&gt;=ROWS(Entries)-2,"",IF(OFFSET('(2)出場選手'!$B$2,$A157,B$1+3*(MOD(ROWS($D$3:D157)-2,Max_Entry_Count)))="","",MOD(ROWS($D$3:D157)-2,Max_Entry_Count)))</f>
        <v/>
      </c>
      <c r="D157" s="26" t="str">
        <f ca="1">IF(OR($A157&gt;=ROWS(Entries)-2,$B157=""),"",'(1)鑑'!$E$6&amp;"-"&amp;OFFSET('(2)出場選手'!$B$2,$A157,D$1))</f>
        <v/>
      </c>
      <c r="E157" s="26" t="str">
        <f ca="1">IF($D157="","",OFFSET('(2)出場選手'!$B$2,$A157,E$1))</f>
        <v/>
      </c>
      <c r="F157" s="26" t="str">
        <f ca="1">IF($D157="","",IF(OFFSET('(2)出場選手'!$B$2,$A157,F$1)="","",OFFSET('(2)出場選手'!$B$2,$A157,F$1)))</f>
        <v/>
      </c>
      <c r="G157" s="26" t="str">
        <f t="shared" ca="1" si="12"/>
        <v/>
      </c>
      <c r="H157" s="26" t="str">
        <f t="shared" ca="1" si="13"/>
        <v/>
      </c>
      <c r="I157" s="26" t="str">
        <f ca="1">IF($D157="","",IF(OFFSET('(2)出場選手'!$B$2,$A157,I$1)="","",OFFSET('(2)出場選手'!$B$2,$A157,I$1)))</f>
        <v/>
      </c>
      <c r="J157" s="26" t="str">
        <f ca="1">IF($D157="","",IF(OFFSET('(2)出場選手'!$B$2,$A157,J$1)="",'(1)鑑'!$E$6,OFFSET('(2)出場選手'!$B$2,$A157,J$1)))</f>
        <v/>
      </c>
      <c r="K157" s="26" t="str">
        <f ca="1">IF($D157="","",TRIM(ASC(IF(OFFSET('(2)出場選手'!$B$2,$A157,K$1)="",'(1)鑑'!$E$7,OFFSET('(2)出場選手'!$B$2,$A157,K$1)))))</f>
        <v/>
      </c>
      <c r="L157" s="26" t="str">
        <f ca="1">IF($D157="","",SUBSTITUTE(SUBSTITUTE(SUBSTITUTE(IF(OFFSET('(2)出場選手'!$B$2,$A157,L$1)="",'(1)鑑'!$E$8,OFFSET('(2)出場選手'!$B$2,$A157,L$1)),"県",""),"府",""),"東京都","東京"))</f>
        <v/>
      </c>
      <c r="M157" s="57" t="str">
        <f ca="1">IF($D157="","",IF(OFFSET('(2)出場選手'!$B$2,$A157,M$1)="","",OFFSET('(2)出場選手'!$B$2,$A157,M$1)))</f>
        <v/>
      </c>
      <c r="N157" s="26" t="str">
        <f ca="1">IF($D157="","",OFFSET('(2)出場選手'!$B$2,$A157,N$1+3*$B157))</f>
        <v/>
      </c>
      <c r="O157" s="26" t="str">
        <f ca="1">IF($D157="","",IF(OFFSET('(2)出場選手'!$B$2,$A157,O$1+3*$B157)="","",OFFSET('(2)出場選手'!$B$2,$A157,O$1+3*$B157)))</f>
        <v/>
      </c>
      <c r="P157" s="26" t="str">
        <f ca="1">IF($D157="","",IF(OFFSET('(2)出場選手'!$B$2,$A157,P$1+3*$B157)="","",OFFSET('(2)出場選手'!$B$2,$A157,P$1+3*$B157)))</f>
        <v/>
      </c>
      <c r="Q157" s="43" t="str">
        <f ca="1">IF(D157="","",VLOOKUP(N157,OFFSET(Competition_Events,0,1),11,FALSE)*IF($S157="リレー",IF(COUNTIF($T$3:$T157,$T157)&gt;1,0,1),1))</f>
        <v/>
      </c>
      <c r="R157" s="26" t="str">
        <f t="shared" ca="1" si="14"/>
        <v/>
      </c>
      <c r="S157" s="26" t="str">
        <f t="shared" ca="1" si="15"/>
        <v/>
      </c>
      <c r="T157" s="26" t="str">
        <f t="shared" ca="1" si="16"/>
        <v/>
      </c>
      <c r="U157" s="26" t="str">
        <f t="shared" ca="1" si="17"/>
        <v/>
      </c>
      <c r="W157" s="17" t="str">
        <f ca="1">IF($D157="","",OFFSET('(2)出場選手'!$B$2,$A157,W$1))</f>
        <v/>
      </c>
      <c r="X157" s="17" t="str">
        <f ca="1">IF($D157="","",OFFSET('(2)出場選手'!$B$2,$A157,X$1))</f>
        <v/>
      </c>
      <c r="Y157" s="17" t="str">
        <f ca="1">IF($D157="","",OFFSET('(2)出場選手'!$B$2,$A157,Y$1))</f>
        <v/>
      </c>
      <c r="Z157" s="17" t="str">
        <f ca="1">IF($D157="","",OFFSET('(2)出場選手'!$B$2,$A157,Z$1))</f>
        <v/>
      </c>
    </row>
    <row r="158" spans="1:26" x14ac:dyDescent="0.15">
      <c r="A158" s="17">
        <f>TRUNC((ROWS($D$3:D158)-2)/Max_Entry_Count)+1</f>
        <v>52</v>
      </c>
      <c r="B158" s="17" t="str">
        <f ca="1">IF($A158&gt;=ROWS(Entries)-2,"",IF(OFFSET('(2)出場選手'!$B$2,$A158,B$1+3*(MOD(ROWS($D$3:D158)-2,Max_Entry_Count)))="","",MOD(ROWS($D$3:D158)-2,Max_Entry_Count)))</f>
        <v/>
      </c>
      <c r="D158" s="26" t="str">
        <f ca="1">IF(OR($A158&gt;=ROWS(Entries)-2,$B158=""),"",'(1)鑑'!$E$6&amp;"-"&amp;OFFSET('(2)出場選手'!$B$2,$A158,D$1))</f>
        <v/>
      </c>
      <c r="E158" s="26" t="str">
        <f ca="1">IF($D158="","",OFFSET('(2)出場選手'!$B$2,$A158,E$1))</f>
        <v/>
      </c>
      <c r="F158" s="26" t="str">
        <f ca="1">IF($D158="","",IF(OFFSET('(2)出場選手'!$B$2,$A158,F$1)="","",OFFSET('(2)出場選手'!$B$2,$A158,F$1)))</f>
        <v/>
      </c>
      <c r="G158" s="26" t="str">
        <f t="shared" ca="1" si="12"/>
        <v/>
      </c>
      <c r="H158" s="26" t="str">
        <f t="shared" ca="1" si="13"/>
        <v/>
      </c>
      <c r="I158" s="26" t="str">
        <f ca="1">IF($D158="","",IF(OFFSET('(2)出場選手'!$B$2,$A158,I$1)="","",OFFSET('(2)出場選手'!$B$2,$A158,I$1)))</f>
        <v/>
      </c>
      <c r="J158" s="26" t="str">
        <f ca="1">IF($D158="","",IF(OFFSET('(2)出場選手'!$B$2,$A158,J$1)="",'(1)鑑'!$E$6,OFFSET('(2)出場選手'!$B$2,$A158,J$1)))</f>
        <v/>
      </c>
      <c r="K158" s="26" t="str">
        <f ca="1">IF($D158="","",TRIM(ASC(IF(OFFSET('(2)出場選手'!$B$2,$A158,K$1)="",'(1)鑑'!$E$7,OFFSET('(2)出場選手'!$B$2,$A158,K$1)))))</f>
        <v/>
      </c>
      <c r="L158" s="26" t="str">
        <f ca="1">IF($D158="","",SUBSTITUTE(SUBSTITUTE(SUBSTITUTE(IF(OFFSET('(2)出場選手'!$B$2,$A158,L$1)="",'(1)鑑'!$E$8,OFFSET('(2)出場選手'!$B$2,$A158,L$1)),"県",""),"府",""),"東京都","東京"))</f>
        <v/>
      </c>
      <c r="M158" s="57" t="str">
        <f ca="1">IF($D158="","",IF(OFFSET('(2)出場選手'!$B$2,$A158,M$1)="","",OFFSET('(2)出場選手'!$B$2,$A158,M$1)))</f>
        <v/>
      </c>
      <c r="N158" s="26" t="str">
        <f ca="1">IF($D158="","",OFFSET('(2)出場選手'!$B$2,$A158,N$1+3*$B158))</f>
        <v/>
      </c>
      <c r="O158" s="26" t="str">
        <f ca="1">IF($D158="","",IF(OFFSET('(2)出場選手'!$B$2,$A158,O$1+3*$B158)="","",OFFSET('(2)出場選手'!$B$2,$A158,O$1+3*$B158)))</f>
        <v/>
      </c>
      <c r="P158" s="26" t="str">
        <f ca="1">IF($D158="","",IF(OFFSET('(2)出場選手'!$B$2,$A158,P$1+3*$B158)="","",OFFSET('(2)出場選手'!$B$2,$A158,P$1+3*$B158)))</f>
        <v/>
      </c>
      <c r="Q158" s="43" t="str">
        <f ca="1">IF(D158="","",VLOOKUP(N158,OFFSET(Competition_Events,0,1),11,FALSE)*IF($S158="リレー",IF(COUNTIF($T$3:$T158,$T158)&gt;1,0,1),1))</f>
        <v/>
      </c>
      <c r="R158" s="26" t="str">
        <f t="shared" ca="1" si="14"/>
        <v/>
      </c>
      <c r="S158" s="26" t="str">
        <f t="shared" ca="1" si="15"/>
        <v/>
      </c>
      <c r="T158" s="26" t="str">
        <f t="shared" ca="1" si="16"/>
        <v/>
      </c>
      <c r="U158" s="26" t="str">
        <f t="shared" ca="1" si="17"/>
        <v/>
      </c>
      <c r="W158" s="17" t="str">
        <f ca="1">IF($D158="","",OFFSET('(2)出場選手'!$B$2,$A158,W$1))</f>
        <v/>
      </c>
      <c r="X158" s="17" t="str">
        <f ca="1">IF($D158="","",OFFSET('(2)出場選手'!$B$2,$A158,X$1))</f>
        <v/>
      </c>
      <c r="Y158" s="17" t="str">
        <f ca="1">IF($D158="","",OFFSET('(2)出場選手'!$B$2,$A158,Y$1))</f>
        <v/>
      </c>
      <c r="Z158" s="17" t="str">
        <f ca="1">IF($D158="","",OFFSET('(2)出場選手'!$B$2,$A158,Z$1))</f>
        <v/>
      </c>
    </row>
    <row r="159" spans="1:26" x14ac:dyDescent="0.15">
      <c r="A159" s="17">
        <f>TRUNC((ROWS($D$3:D159)-2)/Max_Entry_Count)+1</f>
        <v>52</v>
      </c>
      <c r="B159" s="17" t="str">
        <f ca="1">IF($A159&gt;=ROWS(Entries)-2,"",IF(OFFSET('(2)出場選手'!$B$2,$A159,B$1+3*(MOD(ROWS($D$3:D159)-2,Max_Entry_Count)))="","",MOD(ROWS($D$3:D159)-2,Max_Entry_Count)))</f>
        <v/>
      </c>
      <c r="D159" s="26" t="str">
        <f ca="1">IF(OR($A159&gt;=ROWS(Entries)-2,$B159=""),"",'(1)鑑'!$E$6&amp;"-"&amp;OFFSET('(2)出場選手'!$B$2,$A159,D$1))</f>
        <v/>
      </c>
      <c r="E159" s="26" t="str">
        <f ca="1">IF($D159="","",OFFSET('(2)出場選手'!$B$2,$A159,E$1))</f>
        <v/>
      </c>
      <c r="F159" s="26" t="str">
        <f ca="1">IF($D159="","",IF(OFFSET('(2)出場選手'!$B$2,$A159,F$1)="","",OFFSET('(2)出場選手'!$B$2,$A159,F$1)))</f>
        <v/>
      </c>
      <c r="G159" s="26" t="str">
        <f t="shared" ca="1" si="12"/>
        <v/>
      </c>
      <c r="H159" s="26" t="str">
        <f t="shared" ca="1" si="13"/>
        <v/>
      </c>
      <c r="I159" s="26" t="str">
        <f ca="1">IF($D159="","",IF(OFFSET('(2)出場選手'!$B$2,$A159,I$1)="","",OFFSET('(2)出場選手'!$B$2,$A159,I$1)))</f>
        <v/>
      </c>
      <c r="J159" s="26" t="str">
        <f ca="1">IF($D159="","",IF(OFFSET('(2)出場選手'!$B$2,$A159,J$1)="",'(1)鑑'!$E$6,OFFSET('(2)出場選手'!$B$2,$A159,J$1)))</f>
        <v/>
      </c>
      <c r="K159" s="26" t="str">
        <f ca="1">IF($D159="","",TRIM(ASC(IF(OFFSET('(2)出場選手'!$B$2,$A159,K$1)="",'(1)鑑'!$E$7,OFFSET('(2)出場選手'!$B$2,$A159,K$1)))))</f>
        <v/>
      </c>
      <c r="L159" s="26" t="str">
        <f ca="1">IF($D159="","",SUBSTITUTE(SUBSTITUTE(SUBSTITUTE(IF(OFFSET('(2)出場選手'!$B$2,$A159,L$1)="",'(1)鑑'!$E$8,OFFSET('(2)出場選手'!$B$2,$A159,L$1)),"県",""),"府",""),"東京都","東京"))</f>
        <v/>
      </c>
      <c r="M159" s="57" t="str">
        <f ca="1">IF($D159="","",IF(OFFSET('(2)出場選手'!$B$2,$A159,M$1)="","",OFFSET('(2)出場選手'!$B$2,$A159,M$1)))</f>
        <v/>
      </c>
      <c r="N159" s="26" t="str">
        <f ca="1">IF($D159="","",OFFSET('(2)出場選手'!$B$2,$A159,N$1+3*$B159))</f>
        <v/>
      </c>
      <c r="O159" s="26" t="str">
        <f ca="1">IF($D159="","",IF(OFFSET('(2)出場選手'!$B$2,$A159,O$1+3*$B159)="","",OFFSET('(2)出場選手'!$B$2,$A159,O$1+3*$B159)))</f>
        <v/>
      </c>
      <c r="P159" s="26" t="str">
        <f ca="1">IF($D159="","",IF(OFFSET('(2)出場選手'!$B$2,$A159,P$1+3*$B159)="","",OFFSET('(2)出場選手'!$B$2,$A159,P$1+3*$B159)))</f>
        <v/>
      </c>
      <c r="Q159" s="43" t="str">
        <f ca="1">IF(D159="","",VLOOKUP(N159,OFFSET(Competition_Events,0,1),11,FALSE)*IF($S159="リレー",IF(COUNTIF($T$3:$T159,$T159)&gt;1,0,1),1))</f>
        <v/>
      </c>
      <c r="R159" s="26" t="str">
        <f t="shared" ca="1" si="14"/>
        <v/>
      </c>
      <c r="S159" s="26" t="str">
        <f t="shared" ca="1" si="15"/>
        <v/>
      </c>
      <c r="T159" s="26" t="str">
        <f t="shared" ca="1" si="16"/>
        <v/>
      </c>
      <c r="U159" s="26" t="str">
        <f t="shared" ca="1" si="17"/>
        <v/>
      </c>
      <c r="W159" s="17" t="str">
        <f ca="1">IF($D159="","",OFFSET('(2)出場選手'!$B$2,$A159,W$1))</f>
        <v/>
      </c>
      <c r="X159" s="17" t="str">
        <f ca="1">IF($D159="","",OFFSET('(2)出場選手'!$B$2,$A159,X$1))</f>
        <v/>
      </c>
      <c r="Y159" s="17" t="str">
        <f ca="1">IF($D159="","",OFFSET('(2)出場選手'!$B$2,$A159,Y$1))</f>
        <v/>
      </c>
      <c r="Z159" s="17" t="str">
        <f ca="1">IF($D159="","",OFFSET('(2)出場選手'!$B$2,$A159,Z$1))</f>
        <v/>
      </c>
    </row>
    <row r="160" spans="1:26" x14ac:dyDescent="0.15">
      <c r="A160" s="17">
        <f>TRUNC((ROWS($D$3:D160)-2)/Max_Entry_Count)+1</f>
        <v>53</v>
      </c>
      <c r="B160" s="17" t="str">
        <f ca="1">IF($A160&gt;=ROWS(Entries)-2,"",IF(OFFSET('(2)出場選手'!$B$2,$A160,B$1+3*(MOD(ROWS($D$3:D160)-2,Max_Entry_Count)))="","",MOD(ROWS($D$3:D160)-2,Max_Entry_Count)))</f>
        <v/>
      </c>
      <c r="D160" s="26" t="str">
        <f ca="1">IF(OR($A160&gt;=ROWS(Entries)-2,$B160=""),"",'(1)鑑'!$E$6&amp;"-"&amp;OFFSET('(2)出場選手'!$B$2,$A160,D$1))</f>
        <v/>
      </c>
      <c r="E160" s="26" t="str">
        <f ca="1">IF($D160="","",OFFSET('(2)出場選手'!$B$2,$A160,E$1))</f>
        <v/>
      </c>
      <c r="F160" s="26" t="str">
        <f ca="1">IF($D160="","",IF(OFFSET('(2)出場選手'!$B$2,$A160,F$1)="","",OFFSET('(2)出場選手'!$B$2,$A160,F$1)))</f>
        <v/>
      </c>
      <c r="G160" s="26" t="str">
        <f t="shared" ca="1" si="12"/>
        <v/>
      </c>
      <c r="H160" s="26" t="str">
        <f t="shared" ca="1" si="13"/>
        <v/>
      </c>
      <c r="I160" s="26" t="str">
        <f ca="1">IF($D160="","",IF(OFFSET('(2)出場選手'!$B$2,$A160,I$1)="","",OFFSET('(2)出場選手'!$B$2,$A160,I$1)))</f>
        <v/>
      </c>
      <c r="J160" s="26" t="str">
        <f ca="1">IF($D160="","",IF(OFFSET('(2)出場選手'!$B$2,$A160,J$1)="",'(1)鑑'!$E$6,OFFSET('(2)出場選手'!$B$2,$A160,J$1)))</f>
        <v/>
      </c>
      <c r="K160" s="26" t="str">
        <f ca="1">IF($D160="","",TRIM(ASC(IF(OFFSET('(2)出場選手'!$B$2,$A160,K$1)="",'(1)鑑'!$E$7,OFFSET('(2)出場選手'!$B$2,$A160,K$1)))))</f>
        <v/>
      </c>
      <c r="L160" s="26" t="str">
        <f ca="1">IF($D160="","",SUBSTITUTE(SUBSTITUTE(SUBSTITUTE(IF(OFFSET('(2)出場選手'!$B$2,$A160,L$1)="",'(1)鑑'!$E$8,OFFSET('(2)出場選手'!$B$2,$A160,L$1)),"県",""),"府",""),"東京都","東京"))</f>
        <v/>
      </c>
      <c r="M160" s="57" t="str">
        <f ca="1">IF($D160="","",IF(OFFSET('(2)出場選手'!$B$2,$A160,M$1)="","",OFFSET('(2)出場選手'!$B$2,$A160,M$1)))</f>
        <v/>
      </c>
      <c r="N160" s="26" t="str">
        <f ca="1">IF($D160="","",OFFSET('(2)出場選手'!$B$2,$A160,N$1+3*$B160))</f>
        <v/>
      </c>
      <c r="O160" s="26" t="str">
        <f ca="1">IF($D160="","",IF(OFFSET('(2)出場選手'!$B$2,$A160,O$1+3*$B160)="","",OFFSET('(2)出場選手'!$B$2,$A160,O$1+3*$B160)))</f>
        <v/>
      </c>
      <c r="P160" s="26" t="str">
        <f ca="1">IF($D160="","",IF(OFFSET('(2)出場選手'!$B$2,$A160,P$1+3*$B160)="","",OFFSET('(2)出場選手'!$B$2,$A160,P$1+3*$B160)))</f>
        <v/>
      </c>
      <c r="Q160" s="43" t="str">
        <f ca="1">IF(D160="","",VLOOKUP(N160,OFFSET(Competition_Events,0,1),11,FALSE)*IF($S160="リレー",IF(COUNTIF($T$3:$T160,$T160)&gt;1,0,1),1))</f>
        <v/>
      </c>
      <c r="R160" s="26" t="str">
        <f t="shared" ca="1" si="14"/>
        <v/>
      </c>
      <c r="S160" s="26" t="str">
        <f t="shared" ca="1" si="15"/>
        <v/>
      </c>
      <c r="T160" s="26" t="str">
        <f t="shared" ca="1" si="16"/>
        <v/>
      </c>
      <c r="U160" s="26" t="str">
        <f t="shared" ca="1" si="17"/>
        <v/>
      </c>
      <c r="W160" s="17" t="str">
        <f ca="1">IF($D160="","",OFFSET('(2)出場選手'!$B$2,$A160,W$1))</f>
        <v/>
      </c>
      <c r="X160" s="17" t="str">
        <f ca="1">IF($D160="","",OFFSET('(2)出場選手'!$B$2,$A160,X$1))</f>
        <v/>
      </c>
      <c r="Y160" s="17" t="str">
        <f ca="1">IF($D160="","",OFFSET('(2)出場選手'!$B$2,$A160,Y$1))</f>
        <v/>
      </c>
      <c r="Z160" s="17" t="str">
        <f ca="1">IF($D160="","",OFFSET('(2)出場選手'!$B$2,$A160,Z$1))</f>
        <v/>
      </c>
    </row>
    <row r="161" spans="1:26" x14ac:dyDescent="0.15">
      <c r="A161" s="17">
        <f>TRUNC((ROWS($D$3:D161)-2)/Max_Entry_Count)+1</f>
        <v>53</v>
      </c>
      <c r="B161" s="17" t="str">
        <f ca="1">IF($A161&gt;=ROWS(Entries)-2,"",IF(OFFSET('(2)出場選手'!$B$2,$A161,B$1+3*(MOD(ROWS($D$3:D161)-2,Max_Entry_Count)))="","",MOD(ROWS($D$3:D161)-2,Max_Entry_Count)))</f>
        <v/>
      </c>
      <c r="D161" s="26" t="str">
        <f ca="1">IF(OR($A161&gt;=ROWS(Entries)-2,$B161=""),"",'(1)鑑'!$E$6&amp;"-"&amp;OFFSET('(2)出場選手'!$B$2,$A161,D$1))</f>
        <v/>
      </c>
      <c r="E161" s="26" t="str">
        <f ca="1">IF($D161="","",OFFSET('(2)出場選手'!$B$2,$A161,E$1))</f>
        <v/>
      </c>
      <c r="F161" s="26" t="str">
        <f ca="1">IF($D161="","",IF(OFFSET('(2)出場選手'!$B$2,$A161,F$1)="","",OFFSET('(2)出場選手'!$B$2,$A161,F$1)))</f>
        <v/>
      </c>
      <c r="G161" s="26" t="str">
        <f t="shared" ca="1" si="12"/>
        <v/>
      </c>
      <c r="H161" s="26" t="str">
        <f t="shared" ca="1" si="13"/>
        <v/>
      </c>
      <c r="I161" s="26" t="str">
        <f ca="1">IF($D161="","",IF(OFFSET('(2)出場選手'!$B$2,$A161,I$1)="","",OFFSET('(2)出場選手'!$B$2,$A161,I$1)))</f>
        <v/>
      </c>
      <c r="J161" s="26" t="str">
        <f ca="1">IF($D161="","",IF(OFFSET('(2)出場選手'!$B$2,$A161,J$1)="",'(1)鑑'!$E$6,OFFSET('(2)出場選手'!$B$2,$A161,J$1)))</f>
        <v/>
      </c>
      <c r="K161" s="26" t="str">
        <f ca="1">IF($D161="","",TRIM(ASC(IF(OFFSET('(2)出場選手'!$B$2,$A161,K$1)="",'(1)鑑'!$E$7,OFFSET('(2)出場選手'!$B$2,$A161,K$1)))))</f>
        <v/>
      </c>
      <c r="L161" s="26" t="str">
        <f ca="1">IF($D161="","",SUBSTITUTE(SUBSTITUTE(SUBSTITUTE(IF(OFFSET('(2)出場選手'!$B$2,$A161,L$1)="",'(1)鑑'!$E$8,OFFSET('(2)出場選手'!$B$2,$A161,L$1)),"県",""),"府",""),"東京都","東京"))</f>
        <v/>
      </c>
      <c r="M161" s="57" t="str">
        <f ca="1">IF($D161="","",IF(OFFSET('(2)出場選手'!$B$2,$A161,M$1)="","",OFFSET('(2)出場選手'!$B$2,$A161,M$1)))</f>
        <v/>
      </c>
      <c r="N161" s="26" t="str">
        <f ca="1">IF($D161="","",OFFSET('(2)出場選手'!$B$2,$A161,N$1+3*$B161))</f>
        <v/>
      </c>
      <c r="O161" s="26" t="str">
        <f ca="1">IF($D161="","",IF(OFFSET('(2)出場選手'!$B$2,$A161,O$1+3*$B161)="","",OFFSET('(2)出場選手'!$B$2,$A161,O$1+3*$B161)))</f>
        <v/>
      </c>
      <c r="P161" s="26" t="str">
        <f ca="1">IF($D161="","",IF(OFFSET('(2)出場選手'!$B$2,$A161,P$1+3*$B161)="","",OFFSET('(2)出場選手'!$B$2,$A161,P$1+3*$B161)))</f>
        <v/>
      </c>
      <c r="Q161" s="43" t="str">
        <f ca="1">IF(D161="","",VLOOKUP(N161,OFFSET(Competition_Events,0,1),11,FALSE)*IF($S161="リレー",IF(COUNTIF($T$3:$T161,$T161)&gt;1,0,1),1))</f>
        <v/>
      </c>
      <c r="R161" s="26" t="str">
        <f t="shared" ca="1" si="14"/>
        <v/>
      </c>
      <c r="S161" s="26" t="str">
        <f t="shared" ca="1" si="15"/>
        <v/>
      </c>
      <c r="T161" s="26" t="str">
        <f t="shared" ca="1" si="16"/>
        <v/>
      </c>
      <c r="U161" s="26" t="str">
        <f t="shared" ca="1" si="17"/>
        <v/>
      </c>
      <c r="W161" s="17" t="str">
        <f ca="1">IF($D161="","",OFFSET('(2)出場選手'!$B$2,$A161,W$1))</f>
        <v/>
      </c>
      <c r="X161" s="17" t="str">
        <f ca="1">IF($D161="","",OFFSET('(2)出場選手'!$B$2,$A161,X$1))</f>
        <v/>
      </c>
      <c r="Y161" s="17" t="str">
        <f ca="1">IF($D161="","",OFFSET('(2)出場選手'!$B$2,$A161,Y$1))</f>
        <v/>
      </c>
      <c r="Z161" s="17" t="str">
        <f ca="1">IF($D161="","",OFFSET('(2)出場選手'!$B$2,$A161,Z$1))</f>
        <v/>
      </c>
    </row>
    <row r="162" spans="1:26" x14ac:dyDescent="0.15">
      <c r="A162" s="17">
        <f>TRUNC((ROWS($D$3:D162)-2)/Max_Entry_Count)+1</f>
        <v>53</v>
      </c>
      <c r="B162" s="17" t="str">
        <f ca="1">IF($A162&gt;=ROWS(Entries)-2,"",IF(OFFSET('(2)出場選手'!$B$2,$A162,B$1+3*(MOD(ROWS($D$3:D162)-2,Max_Entry_Count)))="","",MOD(ROWS($D$3:D162)-2,Max_Entry_Count)))</f>
        <v/>
      </c>
      <c r="D162" s="26" t="str">
        <f ca="1">IF(OR($A162&gt;=ROWS(Entries)-2,$B162=""),"",'(1)鑑'!$E$6&amp;"-"&amp;OFFSET('(2)出場選手'!$B$2,$A162,D$1))</f>
        <v/>
      </c>
      <c r="E162" s="26" t="str">
        <f ca="1">IF($D162="","",OFFSET('(2)出場選手'!$B$2,$A162,E$1))</f>
        <v/>
      </c>
      <c r="F162" s="26" t="str">
        <f ca="1">IF($D162="","",IF(OFFSET('(2)出場選手'!$B$2,$A162,F$1)="","",OFFSET('(2)出場選手'!$B$2,$A162,F$1)))</f>
        <v/>
      </c>
      <c r="G162" s="26" t="str">
        <f t="shared" ca="1" si="12"/>
        <v/>
      </c>
      <c r="H162" s="26" t="str">
        <f t="shared" ca="1" si="13"/>
        <v/>
      </c>
      <c r="I162" s="26" t="str">
        <f ca="1">IF($D162="","",IF(OFFSET('(2)出場選手'!$B$2,$A162,I$1)="","",OFFSET('(2)出場選手'!$B$2,$A162,I$1)))</f>
        <v/>
      </c>
      <c r="J162" s="26" t="str">
        <f ca="1">IF($D162="","",IF(OFFSET('(2)出場選手'!$B$2,$A162,J$1)="",'(1)鑑'!$E$6,OFFSET('(2)出場選手'!$B$2,$A162,J$1)))</f>
        <v/>
      </c>
      <c r="K162" s="26" t="str">
        <f ca="1">IF($D162="","",TRIM(ASC(IF(OFFSET('(2)出場選手'!$B$2,$A162,K$1)="",'(1)鑑'!$E$7,OFFSET('(2)出場選手'!$B$2,$A162,K$1)))))</f>
        <v/>
      </c>
      <c r="L162" s="26" t="str">
        <f ca="1">IF($D162="","",SUBSTITUTE(SUBSTITUTE(SUBSTITUTE(IF(OFFSET('(2)出場選手'!$B$2,$A162,L$1)="",'(1)鑑'!$E$8,OFFSET('(2)出場選手'!$B$2,$A162,L$1)),"県",""),"府",""),"東京都","東京"))</f>
        <v/>
      </c>
      <c r="M162" s="57" t="str">
        <f ca="1">IF($D162="","",IF(OFFSET('(2)出場選手'!$B$2,$A162,M$1)="","",OFFSET('(2)出場選手'!$B$2,$A162,M$1)))</f>
        <v/>
      </c>
      <c r="N162" s="26" t="str">
        <f ca="1">IF($D162="","",OFFSET('(2)出場選手'!$B$2,$A162,N$1+3*$B162))</f>
        <v/>
      </c>
      <c r="O162" s="26" t="str">
        <f ca="1">IF($D162="","",IF(OFFSET('(2)出場選手'!$B$2,$A162,O$1+3*$B162)="","",OFFSET('(2)出場選手'!$B$2,$A162,O$1+3*$B162)))</f>
        <v/>
      </c>
      <c r="P162" s="26" t="str">
        <f ca="1">IF($D162="","",IF(OFFSET('(2)出場選手'!$B$2,$A162,P$1+3*$B162)="","",OFFSET('(2)出場選手'!$B$2,$A162,P$1+3*$B162)))</f>
        <v/>
      </c>
      <c r="Q162" s="43" t="str">
        <f ca="1">IF(D162="","",VLOOKUP(N162,OFFSET(Competition_Events,0,1),11,FALSE)*IF($S162="リレー",IF(COUNTIF($T$3:$T162,$T162)&gt;1,0,1),1))</f>
        <v/>
      </c>
      <c r="R162" s="26" t="str">
        <f t="shared" ca="1" si="14"/>
        <v/>
      </c>
      <c r="S162" s="26" t="str">
        <f t="shared" ca="1" si="15"/>
        <v/>
      </c>
      <c r="T162" s="26" t="str">
        <f t="shared" ca="1" si="16"/>
        <v/>
      </c>
      <c r="U162" s="26" t="str">
        <f t="shared" ca="1" si="17"/>
        <v/>
      </c>
      <c r="W162" s="17" t="str">
        <f ca="1">IF($D162="","",OFFSET('(2)出場選手'!$B$2,$A162,W$1))</f>
        <v/>
      </c>
      <c r="X162" s="17" t="str">
        <f ca="1">IF($D162="","",OFFSET('(2)出場選手'!$B$2,$A162,X$1))</f>
        <v/>
      </c>
      <c r="Y162" s="17" t="str">
        <f ca="1">IF($D162="","",OFFSET('(2)出場選手'!$B$2,$A162,Y$1))</f>
        <v/>
      </c>
      <c r="Z162" s="17" t="str">
        <f ca="1">IF($D162="","",OFFSET('(2)出場選手'!$B$2,$A162,Z$1))</f>
        <v/>
      </c>
    </row>
    <row r="163" spans="1:26" x14ac:dyDescent="0.15">
      <c r="A163" s="17">
        <f>TRUNC((ROWS($D$3:D163)-2)/Max_Entry_Count)+1</f>
        <v>54</v>
      </c>
      <c r="B163" s="17" t="str">
        <f ca="1">IF($A163&gt;=ROWS(Entries)-2,"",IF(OFFSET('(2)出場選手'!$B$2,$A163,B$1+3*(MOD(ROWS($D$3:D163)-2,Max_Entry_Count)))="","",MOD(ROWS($D$3:D163)-2,Max_Entry_Count)))</f>
        <v/>
      </c>
      <c r="D163" s="26" t="str">
        <f ca="1">IF(OR($A163&gt;=ROWS(Entries)-2,$B163=""),"",'(1)鑑'!$E$6&amp;"-"&amp;OFFSET('(2)出場選手'!$B$2,$A163,D$1))</f>
        <v/>
      </c>
      <c r="E163" s="26" t="str">
        <f ca="1">IF($D163="","",OFFSET('(2)出場選手'!$B$2,$A163,E$1))</f>
        <v/>
      </c>
      <c r="F163" s="26" t="str">
        <f ca="1">IF($D163="","",IF(OFFSET('(2)出場選手'!$B$2,$A163,F$1)="","",OFFSET('(2)出場選手'!$B$2,$A163,F$1)))</f>
        <v/>
      </c>
      <c r="G163" s="26" t="str">
        <f t="shared" ca="1" si="12"/>
        <v/>
      </c>
      <c r="H163" s="26" t="str">
        <f t="shared" ca="1" si="13"/>
        <v/>
      </c>
      <c r="I163" s="26" t="str">
        <f ca="1">IF($D163="","",IF(OFFSET('(2)出場選手'!$B$2,$A163,I$1)="","",OFFSET('(2)出場選手'!$B$2,$A163,I$1)))</f>
        <v/>
      </c>
      <c r="J163" s="26" t="str">
        <f ca="1">IF($D163="","",IF(OFFSET('(2)出場選手'!$B$2,$A163,J$1)="",'(1)鑑'!$E$6,OFFSET('(2)出場選手'!$B$2,$A163,J$1)))</f>
        <v/>
      </c>
      <c r="K163" s="26" t="str">
        <f ca="1">IF($D163="","",TRIM(ASC(IF(OFFSET('(2)出場選手'!$B$2,$A163,K$1)="",'(1)鑑'!$E$7,OFFSET('(2)出場選手'!$B$2,$A163,K$1)))))</f>
        <v/>
      </c>
      <c r="L163" s="26" t="str">
        <f ca="1">IF($D163="","",SUBSTITUTE(SUBSTITUTE(SUBSTITUTE(IF(OFFSET('(2)出場選手'!$B$2,$A163,L$1)="",'(1)鑑'!$E$8,OFFSET('(2)出場選手'!$B$2,$A163,L$1)),"県",""),"府",""),"東京都","東京"))</f>
        <v/>
      </c>
      <c r="M163" s="57" t="str">
        <f ca="1">IF($D163="","",IF(OFFSET('(2)出場選手'!$B$2,$A163,M$1)="","",OFFSET('(2)出場選手'!$B$2,$A163,M$1)))</f>
        <v/>
      </c>
      <c r="N163" s="26" t="str">
        <f ca="1">IF($D163="","",OFFSET('(2)出場選手'!$B$2,$A163,N$1+3*$B163))</f>
        <v/>
      </c>
      <c r="O163" s="26" t="str">
        <f ca="1">IF($D163="","",IF(OFFSET('(2)出場選手'!$B$2,$A163,O$1+3*$B163)="","",OFFSET('(2)出場選手'!$B$2,$A163,O$1+3*$B163)))</f>
        <v/>
      </c>
      <c r="P163" s="26" t="str">
        <f ca="1">IF($D163="","",IF(OFFSET('(2)出場選手'!$B$2,$A163,P$1+3*$B163)="","",OFFSET('(2)出場選手'!$B$2,$A163,P$1+3*$B163)))</f>
        <v/>
      </c>
      <c r="Q163" s="43" t="str">
        <f ca="1">IF(D163="","",VLOOKUP(N163,OFFSET(Competition_Events,0,1),11,FALSE)*IF($S163="リレー",IF(COUNTIF($T$3:$T163,$T163)&gt;1,0,1),1))</f>
        <v/>
      </c>
      <c r="R163" s="26" t="str">
        <f t="shared" ca="1" si="14"/>
        <v/>
      </c>
      <c r="S163" s="26" t="str">
        <f t="shared" ca="1" si="15"/>
        <v/>
      </c>
      <c r="T163" s="26" t="str">
        <f t="shared" ca="1" si="16"/>
        <v/>
      </c>
      <c r="U163" s="26" t="str">
        <f t="shared" ca="1" si="17"/>
        <v/>
      </c>
      <c r="W163" s="17" t="str">
        <f ca="1">IF($D163="","",OFFSET('(2)出場選手'!$B$2,$A163,W$1))</f>
        <v/>
      </c>
      <c r="X163" s="17" t="str">
        <f ca="1">IF($D163="","",OFFSET('(2)出場選手'!$B$2,$A163,X$1))</f>
        <v/>
      </c>
      <c r="Y163" s="17" t="str">
        <f ca="1">IF($D163="","",OFFSET('(2)出場選手'!$B$2,$A163,Y$1))</f>
        <v/>
      </c>
      <c r="Z163" s="17" t="str">
        <f ca="1">IF($D163="","",OFFSET('(2)出場選手'!$B$2,$A163,Z$1))</f>
        <v/>
      </c>
    </row>
    <row r="164" spans="1:26" x14ac:dyDescent="0.15">
      <c r="A164" s="17">
        <f>TRUNC((ROWS($D$3:D164)-2)/Max_Entry_Count)+1</f>
        <v>54</v>
      </c>
      <c r="B164" s="17" t="str">
        <f ca="1">IF($A164&gt;=ROWS(Entries)-2,"",IF(OFFSET('(2)出場選手'!$B$2,$A164,B$1+3*(MOD(ROWS($D$3:D164)-2,Max_Entry_Count)))="","",MOD(ROWS($D$3:D164)-2,Max_Entry_Count)))</f>
        <v/>
      </c>
      <c r="D164" s="26" t="str">
        <f ca="1">IF(OR($A164&gt;=ROWS(Entries)-2,$B164=""),"",'(1)鑑'!$E$6&amp;"-"&amp;OFFSET('(2)出場選手'!$B$2,$A164,D$1))</f>
        <v/>
      </c>
      <c r="E164" s="26" t="str">
        <f ca="1">IF($D164="","",OFFSET('(2)出場選手'!$B$2,$A164,E$1))</f>
        <v/>
      </c>
      <c r="F164" s="26" t="str">
        <f ca="1">IF($D164="","",IF(OFFSET('(2)出場選手'!$B$2,$A164,F$1)="","",OFFSET('(2)出場選手'!$B$2,$A164,F$1)))</f>
        <v/>
      </c>
      <c r="G164" s="26" t="str">
        <f t="shared" ca="1" si="12"/>
        <v/>
      </c>
      <c r="H164" s="26" t="str">
        <f t="shared" ca="1" si="13"/>
        <v/>
      </c>
      <c r="I164" s="26" t="str">
        <f ca="1">IF($D164="","",IF(OFFSET('(2)出場選手'!$B$2,$A164,I$1)="","",OFFSET('(2)出場選手'!$B$2,$A164,I$1)))</f>
        <v/>
      </c>
      <c r="J164" s="26" t="str">
        <f ca="1">IF($D164="","",IF(OFFSET('(2)出場選手'!$B$2,$A164,J$1)="",'(1)鑑'!$E$6,OFFSET('(2)出場選手'!$B$2,$A164,J$1)))</f>
        <v/>
      </c>
      <c r="K164" s="26" t="str">
        <f ca="1">IF($D164="","",TRIM(ASC(IF(OFFSET('(2)出場選手'!$B$2,$A164,K$1)="",'(1)鑑'!$E$7,OFFSET('(2)出場選手'!$B$2,$A164,K$1)))))</f>
        <v/>
      </c>
      <c r="L164" s="26" t="str">
        <f ca="1">IF($D164="","",SUBSTITUTE(SUBSTITUTE(SUBSTITUTE(IF(OFFSET('(2)出場選手'!$B$2,$A164,L$1)="",'(1)鑑'!$E$8,OFFSET('(2)出場選手'!$B$2,$A164,L$1)),"県",""),"府",""),"東京都","東京"))</f>
        <v/>
      </c>
      <c r="M164" s="57" t="str">
        <f ca="1">IF($D164="","",IF(OFFSET('(2)出場選手'!$B$2,$A164,M$1)="","",OFFSET('(2)出場選手'!$B$2,$A164,M$1)))</f>
        <v/>
      </c>
      <c r="N164" s="26" t="str">
        <f ca="1">IF($D164="","",OFFSET('(2)出場選手'!$B$2,$A164,N$1+3*$B164))</f>
        <v/>
      </c>
      <c r="O164" s="26" t="str">
        <f ca="1">IF($D164="","",IF(OFFSET('(2)出場選手'!$B$2,$A164,O$1+3*$B164)="","",OFFSET('(2)出場選手'!$B$2,$A164,O$1+3*$B164)))</f>
        <v/>
      </c>
      <c r="P164" s="26" t="str">
        <f ca="1">IF($D164="","",IF(OFFSET('(2)出場選手'!$B$2,$A164,P$1+3*$B164)="","",OFFSET('(2)出場選手'!$B$2,$A164,P$1+3*$B164)))</f>
        <v/>
      </c>
      <c r="Q164" s="43" t="str">
        <f ca="1">IF(D164="","",VLOOKUP(N164,OFFSET(Competition_Events,0,1),11,FALSE)*IF($S164="リレー",IF(COUNTIF($T$3:$T164,$T164)&gt;1,0,1),1))</f>
        <v/>
      </c>
      <c r="R164" s="26" t="str">
        <f t="shared" ca="1" si="14"/>
        <v/>
      </c>
      <c r="S164" s="26" t="str">
        <f t="shared" ca="1" si="15"/>
        <v/>
      </c>
      <c r="T164" s="26" t="str">
        <f t="shared" ca="1" si="16"/>
        <v/>
      </c>
      <c r="U164" s="26" t="str">
        <f t="shared" ca="1" si="17"/>
        <v/>
      </c>
      <c r="W164" s="17" t="str">
        <f ca="1">IF($D164="","",OFFSET('(2)出場選手'!$B$2,$A164,W$1))</f>
        <v/>
      </c>
      <c r="X164" s="17" t="str">
        <f ca="1">IF($D164="","",OFFSET('(2)出場選手'!$B$2,$A164,X$1))</f>
        <v/>
      </c>
      <c r="Y164" s="17" t="str">
        <f ca="1">IF($D164="","",OFFSET('(2)出場選手'!$B$2,$A164,Y$1))</f>
        <v/>
      </c>
      <c r="Z164" s="17" t="str">
        <f ca="1">IF($D164="","",OFFSET('(2)出場選手'!$B$2,$A164,Z$1))</f>
        <v/>
      </c>
    </row>
    <row r="165" spans="1:26" x14ac:dyDescent="0.15">
      <c r="A165" s="17">
        <f>TRUNC((ROWS($D$3:D165)-2)/Max_Entry_Count)+1</f>
        <v>54</v>
      </c>
      <c r="B165" s="17" t="str">
        <f ca="1">IF($A165&gt;=ROWS(Entries)-2,"",IF(OFFSET('(2)出場選手'!$B$2,$A165,B$1+3*(MOD(ROWS($D$3:D165)-2,Max_Entry_Count)))="","",MOD(ROWS($D$3:D165)-2,Max_Entry_Count)))</f>
        <v/>
      </c>
      <c r="D165" s="26" t="str">
        <f ca="1">IF(OR($A165&gt;=ROWS(Entries)-2,$B165=""),"",'(1)鑑'!$E$6&amp;"-"&amp;OFFSET('(2)出場選手'!$B$2,$A165,D$1))</f>
        <v/>
      </c>
      <c r="E165" s="26" t="str">
        <f ca="1">IF($D165="","",OFFSET('(2)出場選手'!$B$2,$A165,E$1))</f>
        <v/>
      </c>
      <c r="F165" s="26" t="str">
        <f ca="1">IF($D165="","",IF(OFFSET('(2)出場選手'!$B$2,$A165,F$1)="","",OFFSET('(2)出場選手'!$B$2,$A165,F$1)))</f>
        <v/>
      </c>
      <c r="G165" s="26" t="str">
        <f t="shared" ca="1" si="12"/>
        <v/>
      </c>
      <c r="H165" s="26" t="str">
        <f t="shared" ca="1" si="13"/>
        <v/>
      </c>
      <c r="I165" s="26" t="str">
        <f ca="1">IF($D165="","",IF(OFFSET('(2)出場選手'!$B$2,$A165,I$1)="","",OFFSET('(2)出場選手'!$B$2,$A165,I$1)))</f>
        <v/>
      </c>
      <c r="J165" s="26" t="str">
        <f ca="1">IF($D165="","",IF(OFFSET('(2)出場選手'!$B$2,$A165,J$1)="",'(1)鑑'!$E$6,OFFSET('(2)出場選手'!$B$2,$A165,J$1)))</f>
        <v/>
      </c>
      <c r="K165" s="26" t="str">
        <f ca="1">IF($D165="","",TRIM(ASC(IF(OFFSET('(2)出場選手'!$B$2,$A165,K$1)="",'(1)鑑'!$E$7,OFFSET('(2)出場選手'!$B$2,$A165,K$1)))))</f>
        <v/>
      </c>
      <c r="L165" s="26" t="str">
        <f ca="1">IF($D165="","",SUBSTITUTE(SUBSTITUTE(SUBSTITUTE(IF(OFFSET('(2)出場選手'!$B$2,$A165,L$1)="",'(1)鑑'!$E$8,OFFSET('(2)出場選手'!$B$2,$A165,L$1)),"県",""),"府",""),"東京都","東京"))</f>
        <v/>
      </c>
      <c r="M165" s="57" t="str">
        <f ca="1">IF($D165="","",IF(OFFSET('(2)出場選手'!$B$2,$A165,M$1)="","",OFFSET('(2)出場選手'!$B$2,$A165,M$1)))</f>
        <v/>
      </c>
      <c r="N165" s="26" t="str">
        <f ca="1">IF($D165="","",OFFSET('(2)出場選手'!$B$2,$A165,N$1+3*$B165))</f>
        <v/>
      </c>
      <c r="O165" s="26" t="str">
        <f ca="1">IF($D165="","",IF(OFFSET('(2)出場選手'!$B$2,$A165,O$1+3*$B165)="","",OFFSET('(2)出場選手'!$B$2,$A165,O$1+3*$B165)))</f>
        <v/>
      </c>
      <c r="P165" s="26" t="str">
        <f ca="1">IF($D165="","",IF(OFFSET('(2)出場選手'!$B$2,$A165,P$1+3*$B165)="","",OFFSET('(2)出場選手'!$B$2,$A165,P$1+3*$B165)))</f>
        <v/>
      </c>
      <c r="Q165" s="43" t="str">
        <f ca="1">IF(D165="","",VLOOKUP(N165,OFFSET(Competition_Events,0,1),11,FALSE)*IF($S165="リレー",IF(COUNTIF($T$3:$T165,$T165)&gt;1,0,1),1))</f>
        <v/>
      </c>
      <c r="R165" s="26" t="str">
        <f t="shared" ca="1" si="14"/>
        <v/>
      </c>
      <c r="S165" s="26" t="str">
        <f t="shared" ca="1" si="15"/>
        <v/>
      </c>
      <c r="T165" s="26" t="str">
        <f t="shared" ca="1" si="16"/>
        <v/>
      </c>
      <c r="U165" s="26" t="str">
        <f t="shared" ca="1" si="17"/>
        <v/>
      </c>
      <c r="W165" s="17" t="str">
        <f ca="1">IF($D165="","",OFFSET('(2)出場選手'!$B$2,$A165,W$1))</f>
        <v/>
      </c>
      <c r="X165" s="17" t="str">
        <f ca="1">IF($D165="","",OFFSET('(2)出場選手'!$B$2,$A165,X$1))</f>
        <v/>
      </c>
      <c r="Y165" s="17" t="str">
        <f ca="1">IF($D165="","",OFFSET('(2)出場選手'!$B$2,$A165,Y$1))</f>
        <v/>
      </c>
      <c r="Z165" s="17" t="str">
        <f ca="1">IF($D165="","",OFFSET('(2)出場選手'!$B$2,$A165,Z$1))</f>
        <v/>
      </c>
    </row>
    <row r="166" spans="1:26" x14ac:dyDescent="0.15">
      <c r="A166" s="17">
        <f>TRUNC((ROWS($D$3:D166)-2)/Max_Entry_Count)+1</f>
        <v>55</v>
      </c>
      <c r="B166" s="17" t="str">
        <f ca="1">IF($A166&gt;=ROWS(Entries)-2,"",IF(OFFSET('(2)出場選手'!$B$2,$A166,B$1+3*(MOD(ROWS($D$3:D166)-2,Max_Entry_Count)))="","",MOD(ROWS($D$3:D166)-2,Max_Entry_Count)))</f>
        <v/>
      </c>
      <c r="D166" s="26" t="str">
        <f ca="1">IF(OR($A166&gt;=ROWS(Entries)-2,$B166=""),"",'(1)鑑'!$E$6&amp;"-"&amp;OFFSET('(2)出場選手'!$B$2,$A166,D$1))</f>
        <v/>
      </c>
      <c r="E166" s="26" t="str">
        <f ca="1">IF($D166="","",OFFSET('(2)出場選手'!$B$2,$A166,E$1))</f>
        <v/>
      </c>
      <c r="F166" s="26" t="str">
        <f ca="1">IF($D166="","",IF(OFFSET('(2)出場選手'!$B$2,$A166,F$1)="","",OFFSET('(2)出場選手'!$B$2,$A166,F$1)))</f>
        <v/>
      </c>
      <c r="G166" s="26" t="str">
        <f t="shared" ca="1" si="12"/>
        <v/>
      </c>
      <c r="H166" s="26" t="str">
        <f t="shared" ca="1" si="13"/>
        <v/>
      </c>
      <c r="I166" s="26" t="str">
        <f ca="1">IF($D166="","",IF(OFFSET('(2)出場選手'!$B$2,$A166,I$1)="","",OFFSET('(2)出場選手'!$B$2,$A166,I$1)))</f>
        <v/>
      </c>
      <c r="J166" s="26" t="str">
        <f ca="1">IF($D166="","",IF(OFFSET('(2)出場選手'!$B$2,$A166,J$1)="",'(1)鑑'!$E$6,OFFSET('(2)出場選手'!$B$2,$A166,J$1)))</f>
        <v/>
      </c>
      <c r="K166" s="26" t="str">
        <f ca="1">IF($D166="","",TRIM(ASC(IF(OFFSET('(2)出場選手'!$B$2,$A166,K$1)="",'(1)鑑'!$E$7,OFFSET('(2)出場選手'!$B$2,$A166,K$1)))))</f>
        <v/>
      </c>
      <c r="L166" s="26" t="str">
        <f ca="1">IF($D166="","",SUBSTITUTE(SUBSTITUTE(SUBSTITUTE(IF(OFFSET('(2)出場選手'!$B$2,$A166,L$1)="",'(1)鑑'!$E$8,OFFSET('(2)出場選手'!$B$2,$A166,L$1)),"県",""),"府",""),"東京都","東京"))</f>
        <v/>
      </c>
      <c r="M166" s="57" t="str">
        <f ca="1">IF($D166="","",IF(OFFSET('(2)出場選手'!$B$2,$A166,M$1)="","",OFFSET('(2)出場選手'!$B$2,$A166,M$1)))</f>
        <v/>
      </c>
      <c r="N166" s="26" t="str">
        <f ca="1">IF($D166="","",OFFSET('(2)出場選手'!$B$2,$A166,N$1+3*$B166))</f>
        <v/>
      </c>
      <c r="O166" s="26" t="str">
        <f ca="1">IF($D166="","",IF(OFFSET('(2)出場選手'!$B$2,$A166,O$1+3*$B166)="","",OFFSET('(2)出場選手'!$B$2,$A166,O$1+3*$B166)))</f>
        <v/>
      </c>
      <c r="P166" s="26" t="str">
        <f ca="1">IF($D166="","",IF(OFFSET('(2)出場選手'!$B$2,$A166,P$1+3*$B166)="","",OFFSET('(2)出場選手'!$B$2,$A166,P$1+3*$B166)))</f>
        <v/>
      </c>
      <c r="Q166" s="43" t="str">
        <f ca="1">IF(D166="","",VLOOKUP(N166,OFFSET(Competition_Events,0,1),11,FALSE)*IF($S166="リレー",IF(COUNTIF($T$3:$T166,$T166)&gt;1,0,1),1))</f>
        <v/>
      </c>
      <c r="R166" s="26" t="str">
        <f t="shared" ca="1" si="14"/>
        <v/>
      </c>
      <c r="S166" s="26" t="str">
        <f t="shared" ca="1" si="15"/>
        <v/>
      </c>
      <c r="T166" s="26" t="str">
        <f t="shared" ca="1" si="16"/>
        <v/>
      </c>
      <c r="U166" s="26" t="str">
        <f t="shared" ca="1" si="17"/>
        <v/>
      </c>
      <c r="W166" s="17" t="str">
        <f ca="1">IF($D166="","",OFFSET('(2)出場選手'!$B$2,$A166,W$1))</f>
        <v/>
      </c>
      <c r="X166" s="17" t="str">
        <f ca="1">IF($D166="","",OFFSET('(2)出場選手'!$B$2,$A166,X$1))</f>
        <v/>
      </c>
      <c r="Y166" s="17" t="str">
        <f ca="1">IF($D166="","",OFFSET('(2)出場選手'!$B$2,$A166,Y$1))</f>
        <v/>
      </c>
      <c r="Z166" s="17" t="str">
        <f ca="1">IF($D166="","",OFFSET('(2)出場選手'!$B$2,$A166,Z$1))</f>
        <v/>
      </c>
    </row>
    <row r="167" spans="1:26" x14ac:dyDescent="0.15">
      <c r="A167" s="17">
        <f>TRUNC((ROWS($D$3:D167)-2)/Max_Entry_Count)+1</f>
        <v>55</v>
      </c>
      <c r="B167" s="17" t="str">
        <f ca="1">IF($A167&gt;=ROWS(Entries)-2,"",IF(OFFSET('(2)出場選手'!$B$2,$A167,B$1+3*(MOD(ROWS($D$3:D167)-2,Max_Entry_Count)))="","",MOD(ROWS($D$3:D167)-2,Max_Entry_Count)))</f>
        <v/>
      </c>
      <c r="D167" s="26" t="str">
        <f ca="1">IF(OR($A167&gt;=ROWS(Entries)-2,$B167=""),"",'(1)鑑'!$E$6&amp;"-"&amp;OFFSET('(2)出場選手'!$B$2,$A167,D$1))</f>
        <v/>
      </c>
      <c r="E167" s="26" t="str">
        <f ca="1">IF($D167="","",OFFSET('(2)出場選手'!$B$2,$A167,E$1))</f>
        <v/>
      </c>
      <c r="F167" s="26" t="str">
        <f ca="1">IF($D167="","",IF(OFFSET('(2)出場選手'!$B$2,$A167,F$1)="","",OFFSET('(2)出場選手'!$B$2,$A167,F$1)))</f>
        <v/>
      </c>
      <c r="G167" s="26" t="str">
        <f t="shared" ca="1" si="12"/>
        <v/>
      </c>
      <c r="H167" s="26" t="str">
        <f t="shared" ca="1" si="13"/>
        <v/>
      </c>
      <c r="I167" s="26" t="str">
        <f ca="1">IF($D167="","",IF(OFFSET('(2)出場選手'!$B$2,$A167,I$1)="","",OFFSET('(2)出場選手'!$B$2,$A167,I$1)))</f>
        <v/>
      </c>
      <c r="J167" s="26" t="str">
        <f ca="1">IF($D167="","",IF(OFFSET('(2)出場選手'!$B$2,$A167,J$1)="",'(1)鑑'!$E$6,OFFSET('(2)出場選手'!$B$2,$A167,J$1)))</f>
        <v/>
      </c>
      <c r="K167" s="26" t="str">
        <f ca="1">IF($D167="","",TRIM(ASC(IF(OFFSET('(2)出場選手'!$B$2,$A167,K$1)="",'(1)鑑'!$E$7,OFFSET('(2)出場選手'!$B$2,$A167,K$1)))))</f>
        <v/>
      </c>
      <c r="L167" s="26" t="str">
        <f ca="1">IF($D167="","",SUBSTITUTE(SUBSTITUTE(SUBSTITUTE(IF(OFFSET('(2)出場選手'!$B$2,$A167,L$1)="",'(1)鑑'!$E$8,OFFSET('(2)出場選手'!$B$2,$A167,L$1)),"県",""),"府",""),"東京都","東京"))</f>
        <v/>
      </c>
      <c r="M167" s="57" t="str">
        <f ca="1">IF($D167="","",IF(OFFSET('(2)出場選手'!$B$2,$A167,M$1)="","",OFFSET('(2)出場選手'!$B$2,$A167,M$1)))</f>
        <v/>
      </c>
      <c r="N167" s="26" t="str">
        <f ca="1">IF($D167="","",OFFSET('(2)出場選手'!$B$2,$A167,N$1+3*$B167))</f>
        <v/>
      </c>
      <c r="O167" s="26" t="str">
        <f ca="1">IF($D167="","",IF(OFFSET('(2)出場選手'!$B$2,$A167,O$1+3*$B167)="","",OFFSET('(2)出場選手'!$B$2,$A167,O$1+3*$B167)))</f>
        <v/>
      </c>
      <c r="P167" s="26" t="str">
        <f ca="1">IF($D167="","",IF(OFFSET('(2)出場選手'!$B$2,$A167,P$1+3*$B167)="","",OFFSET('(2)出場選手'!$B$2,$A167,P$1+3*$B167)))</f>
        <v/>
      </c>
      <c r="Q167" s="43" t="str">
        <f ca="1">IF(D167="","",VLOOKUP(N167,OFFSET(Competition_Events,0,1),11,FALSE)*IF($S167="リレー",IF(COUNTIF($T$3:$T167,$T167)&gt;1,0,1),1))</f>
        <v/>
      </c>
      <c r="R167" s="26" t="str">
        <f t="shared" ca="1" si="14"/>
        <v/>
      </c>
      <c r="S167" s="26" t="str">
        <f t="shared" ca="1" si="15"/>
        <v/>
      </c>
      <c r="T167" s="26" t="str">
        <f t="shared" ca="1" si="16"/>
        <v/>
      </c>
      <c r="U167" s="26" t="str">
        <f t="shared" ca="1" si="17"/>
        <v/>
      </c>
      <c r="W167" s="17" t="str">
        <f ca="1">IF($D167="","",OFFSET('(2)出場選手'!$B$2,$A167,W$1))</f>
        <v/>
      </c>
      <c r="X167" s="17" t="str">
        <f ca="1">IF($D167="","",OFFSET('(2)出場選手'!$B$2,$A167,X$1))</f>
        <v/>
      </c>
      <c r="Y167" s="17" t="str">
        <f ca="1">IF($D167="","",OFFSET('(2)出場選手'!$B$2,$A167,Y$1))</f>
        <v/>
      </c>
      <c r="Z167" s="17" t="str">
        <f ca="1">IF($D167="","",OFFSET('(2)出場選手'!$B$2,$A167,Z$1))</f>
        <v/>
      </c>
    </row>
    <row r="168" spans="1:26" x14ac:dyDescent="0.15">
      <c r="A168" s="17">
        <f>TRUNC((ROWS($D$3:D168)-2)/Max_Entry_Count)+1</f>
        <v>55</v>
      </c>
      <c r="B168" s="17" t="str">
        <f ca="1">IF($A168&gt;=ROWS(Entries)-2,"",IF(OFFSET('(2)出場選手'!$B$2,$A168,B$1+3*(MOD(ROWS($D$3:D168)-2,Max_Entry_Count)))="","",MOD(ROWS($D$3:D168)-2,Max_Entry_Count)))</f>
        <v/>
      </c>
      <c r="D168" s="26" t="str">
        <f ca="1">IF(OR($A168&gt;=ROWS(Entries)-2,$B168=""),"",'(1)鑑'!$E$6&amp;"-"&amp;OFFSET('(2)出場選手'!$B$2,$A168,D$1))</f>
        <v/>
      </c>
      <c r="E168" s="26" t="str">
        <f ca="1">IF($D168="","",OFFSET('(2)出場選手'!$B$2,$A168,E$1))</f>
        <v/>
      </c>
      <c r="F168" s="26" t="str">
        <f ca="1">IF($D168="","",IF(OFFSET('(2)出場選手'!$B$2,$A168,F$1)="","",OFFSET('(2)出場選手'!$B$2,$A168,F$1)))</f>
        <v/>
      </c>
      <c r="G168" s="26" t="str">
        <f t="shared" ca="1" si="12"/>
        <v/>
      </c>
      <c r="H168" s="26" t="str">
        <f t="shared" ca="1" si="13"/>
        <v/>
      </c>
      <c r="I168" s="26" t="str">
        <f ca="1">IF($D168="","",IF(OFFSET('(2)出場選手'!$B$2,$A168,I$1)="","",OFFSET('(2)出場選手'!$B$2,$A168,I$1)))</f>
        <v/>
      </c>
      <c r="J168" s="26" t="str">
        <f ca="1">IF($D168="","",IF(OFFSET('(2)出場選手'!$B$2,$A168,J$1)="",'(1)鑑'!$E$6,OFFSET('(2)出場選手'!$B$2,$A168,J$1)))</f>
        <v/>
      </c>
      <c r="K168" s="26" t="str">
        <f ca="1">IF($D168="","",TRIM(ASC(IF(OFFSET('(2)出場選手'!$B$2,$A168,K$1)="",'(1)鑑'!$E$7,OFFSET('(2)出場選手'!$B$2,$A168,K$1)))))</f>
        <v/>
      </c>
      <c r="L168" s="26" t="str">
        <f ca="1">IF($D168="","",SUBSTITUTE(SUBSTITUTE(SUBSTITUTE(IF(OFFSET('(2)出場選手'!$B$2,$A168,L$1)="",'(1)鑑'!$E$8,OFFSET('(2)出場選手'!$B$2,$A168,L$1)),"県",""),"府",""),"東京都","東京"))</f>
        <v/>
      </c>
      <c r="M168" s="57" t="str">
        <f ca="1">IF($D168="","",IF(OFFSET('(2)出場選手'!$B$2,$A168,M$1)="","",OFFSET('(2)出場選手'!$B$2,$A168,M$1)))</f>
        <v/>
      </c>
      <c r="N168" s="26" t="str">
        <f ca="1">IF($D168="","",OFFSET('(2)出場選手'!$B$2,$A168,N$1+3*$B168))</f>
        <v/>
      </c>
      <c r="O168" s="26" t="str">
        <f ca="1">IF($D168="","",IF(OFFSET('(2)出場選手'!$B$2,$A168,O$1+3*$B168)="","",OFFSET('(2)出場選手'!$B$2,$A168,O$1+3*$B168)))</f>
        <v/>
      </c>
      <c r="P168" s="26" t="str">
        <f ca="1">IF($D168="","",IF(OFFSET('(2)出場選手'!$B$2,$A168,P$1+3*$B168)="","",OFFSET('(2)出場選手'!$B$2,$A168,P$1+3*$B168)))</f>
        <v/>
      </c>
      <c r="Q168" s="43" t="str">
        <f ca="1">IF(D168="","",VLOOKUP(N168,OFFSET(Competition_Events,0,1),11,FALSE)*IF($S168="リレー",IF(COUNTIF($T$3:$T168,$T168)&gt;1,0,1),1))</f>
        <v/>
      </c>
      <c r="R168" s="26" t="str">
        <f t="shared" ca="1" si="14"/>
        <v/>
      </c>
      <c r="S168" s="26" t="str">
        <f t="shared" ca="1" si="15"/>
        <v/>
      </c>
      <c r="T168" s="26" t="str">
        <f t="shared" ca="1" si="16"/>
        <v/>
      </c>
      <c r="U168" s="26" t="str">
        <f t="shared" ca="1" si="17"/>
        <v/>
      </c>
      <c r="W168" s="17" t="str">
        <f ca="1">IF($D168="","",OFFSET('(2)出場選手'!$B$2,$A168,W$1))</f>
        <v/>
      </c>
      <c r="X168" s="17" t="str">
        <f ca="1">IF($D168="","",OFFSET('(2)出場選手'!$B$2,$A168,X$1))</f>
        <v/>
      </c>
      <c r="Y168" s="17" t="str">
        <f ca="1">IF($D168="","",OFFSET('(2)出場選手'!$B$2,$A168,Y$1))</f>
        <v/>
      </c>
      <c r="Z168" s="17" t="str">
        <f ca="1">IF($D168="","",OFFSET('(2)出場選手'!$B$2,$A168,Z$1))</f>
        <v/>
      </c>
    </row>
    <row r="169" spans="1:26" x14ac:dyDescent="0.15">
      <c r="A169" s="17">
        <f>TRUNC((ROWS($D$3:D169)-2)/Max_Entry_Count)+1</f>
        <v>56</v>
      </c>
      <c r="B169" s="17" t="str">
        <f ca="1">IF($A169&gt;=ROWS(Entries)-2,"",IF(OFFSET('(2)出場選手'!$B$2,$A169,B$1+3*(MOD(ROWS($D$3:D169)-2,Max_Entry_Count)))="","",MOD(ROWS($D$3:D169)-2,Max_Entry_Count)))</f>
        <v/>
      </c>
      <c r="D169" s="26" t="str">
        <f ca="1">IF(OR($A169&gt;=ROWS(Entries)-2,$B169=""),"",'(1)鑑'!$E$6&amp;"-"&amp;OFFSET('(2)出場選手'!$B$2,$A169,D$1))</f>
        <v/>
      </c>
      <c r="E169" s="26" t="str">
        <f ca="1">IF($D169="","",OFFSET('(2)出場選手'!$B$2,$A169,E$1))</f>
        <v/>
      </c>
      <c r="F169" s="26" t="str">
        <f ca="1">IF($D169="","",IF(OFFSET('(2)出場選手'!$B$2,$A169,F$1)="","",OFFSET('(2)出場選手'!$B$2,$A169,F$1)))</f>
        <v/>
      </c>
      <c r="G169" s="26" t="str">
        <f t="shared" ca="1" si="12"/>
        <v/>
      </c>
      <c r="H169" s="26" t="str">
        <f t="shared" ca="1" si="13"/>
        <v/>
      </c>
      <c r="I169" s="26" t="str">
        <f ca="1">IF($D169="","",IF(OFFSET('(2)出場選手'!$B$2,$A169,I$1)="","",OFFSET('(2)出場選手'!$B$2,$A169,I$1)))</f>
        <v/>
      </c>
      <c r="J169" s="26" t="str">
        <f ca="1">IF($D169="","",IF(OFFSET('(2)出場選手'!$B$2,$A169,J$1)="",'(1)鑑'!$E$6,OFFSET('(2)出場選手'!$B$2,$A169,J$1)))</f>
        <v/>
      </c>
      <c r="K169" s="26" t="str">
        <f ca="1">IF($D169="","",TRIM(ASC(IF(OFFSET('(2)出場選手'!$B$2,$A169,K$1)="",'(1)鑑'!$E$7,OFFSET('(2)出場選手'!$B$2,$A169,K$1)))))</f>
        <v/>
      </c>
      <c r="L169" s="26" t="str">
        <f ca="1">IF($D169="","",SUBSTITUTE(SUBSTITUTE(SUBSTITUTE(IF(OFFSET('(2)出場選手'!$B$2,$A169,L$1)="",'(1)鑑'!$E$8,OFFSET('(2)出場選手'!$B$2,$A169,L$1)),"県",""),"府",""),"東京都","東京"))</f>
        <v/>
      </c>
      <c r="M169" s="57" t="str">
        <f ca="1">IF($D169="","",IF(OFFSET('(2)出場選手'!$B$2,$A169,M$1)="","",OFFSET('(2)出場選手'!$B$2,$A169,M$1)))</f>
        <v/>
      </c>
      <c r="N169" s="26" t="str">
        <f ca="1">IF($D169="","",OFFSET('(2)出場選手'!$B$2,$A169,N$1+3*$B169))</f>
        <v/>
      </c>
      <c r="O169" s="26" t="str">
        <f ca="1">IF($D169="","",IF(OFFSET('(2)出場選手'!$B$2,$A169,O$1+3*$B169)="","",OFFSET('(2)出場選手'!$B$2,$A169,O$1+3*$B169)))</f>
        <v/>
      </c>
      <c r="P169" s="26" t="str">
        <f ca="1">IF($D169="","",IF(OFFSET('(2)出場選手'!$B$2,$A169,P$1+3*$B169)="","",OFFSET('(2)出場選手'!$B$2,$A169,P$1+3*$B169)))</f>
        <v/>
      </c>
      <c r="Q169" s="43" t="str">
        <f ca="1">IF(D169="","",VLOOKUP(N169,OFFSET(Competition_Events,0,1),11,FALSE)*IF($S169="リレー",IF(COUNTIF($T$3:$T169,$T169)&gt;1,0,1),1))</f>
        <v/>
      </c>
      <c r="R169" s="26" t="str">
        <f t="shared" ca="1" si="14"/>
        <v/>
      </c>
      <c r="S169" s="26" t="str">
        <f t="shared" ca="1" si="15"/>
        <v/>
      </c>
      <c r="T169" s="26" t="str">
        <f t="shared" ca="1" si="16"/>
        <v/>
      </c>
      <c r="U169" s="26" t="str">
        <f t="shared" ca="1" si="17"/>
        <v/>
      </c>
      <c r="W169" s="17" t="str">
        <f ca="1">IF($D169="","",OFFSET('(2)出場選手'!$B$2,$A169,W$1))</f>
        <v/>
      </c>
      <c r="X169" s="17" t="str">
        <f ca="1">IF($D169="","",OFFSET('(2)出場選手'!$B$2,$A169,X$1))</f>
        <v/>
      </c>
      <c r="Y169" s="17" t="str">
        <f ca="1">IF($D169="","",OFFSET('(2)出場選手'!$B$2,$A169,Y$1))</f>
        <v/>
      </c>
      <c r="Z169" s="17" t="str">
        <f ca="1">IF($D169="","",OFFSET('(2)出場選手'!$B$2,$A169,Z$1))</f>
        <v/>
      </c>
    </row>
    <row r="170" spans="1:26" x14ac:dyDescent="0.15">
      <c r="A170" s="17">
        <f>TRUNC((ROWS($D$3:D170)-2)/Max_Entry_Count)+1</f>
        <v>56</v>
      </c>
      <c r="B170" s="17" t="str">
        <f ca="1">IF($A170&gt;=ROWS(Entries)-2,"",IF(OFFSET('(2)出場選手'!$B$2,$A170,B$1+3*(MOD(ROWS($D$3:D170)-2,Max_Entry_Count)))="","",MOD(ROWS($D$3:D170)-2,Max_Entry_Count)))</f>
        <v/>
      </c>
      <c r="D170" s="26" t="str">
        <f ca="1">IF(OR($A170&gt;=ROWS(Entries)-2,$B170=""),"",'(1)鑑'!$E$6&amp;"-"&amp;OFFSET('(2)出場選手'!$B$2,$A170,D$1))</f>
        <v/>
      </c>
      <c r="E170" s="26" t="str">
        <f ca="1">IF($D170="","",OFFSET('(2)出場選手'!$B$2,$A170,E$1))</f>
        <v/>
      </c>
      <c r="F170" s="26" t="str">
        <f ca="1">IF($D170="","",IF(OFFSET('(2)出場選手'!$B$2,$A170,F$1)="","",OFFSET('(2)出場選手'!$B$2,$A170,F$1)))</f>
        <v/>
      </c>
      <c r="G170" s="26" t="str">
        <f t="shared" ca="1" si="12"/>
        <v/>
      </c>
      <c r="H170" s="26" t="str">
        <f t="shared" ca="1" si="13"/>
        <v/>
      </c>
      <c r="I170" s="26" t="str">
        <f ca="1">IF($D170="","",IF(OFFSET('(2)出場選手'!$B$2,$A170,I$1)="","",OFFSET('(2)出場選手'!$B$2,$A170,I$1)))</f>
        <v/>
      </c>
      <c r="J170" s="26" t="str">
        <f ca="1">IF($D170="","",IF(OFFSET('(2)出場選手'!$B$2,$A170,J$1)="",'(1)鑑'!$E$6,OFFSET('(2)出場選手'!$B$2,$A170,J$1)))</f>
        <v/>
      </c>
      <c r="K170" s="26" t="str">
        <f ca="1">IF($D170="","",TRIM(ASC(IF(OFFSET('(2)出場選手'!$B$2,$A170,K$1)="",'(1)鑑'!$E$7,OFFSET('(2)出場選手'!$B$2,$A170,K$1)))))</f>
        <v/>
      </c>
      <c r="L170" s="26" t="str">
        <f ca="1">IF($D170="","",SUBSTITUTE(SUBSTITUTE(SUBSTITUTE(IF(OFFSET('(2)出場選手'!$B$2,$A170,L$1)="",'(1)鑑'!$E$8,OFFSET('(2)出場選手'!$B$2,$A170,L$1)),"県",""),"府",""),"東京都","東京"))</f>
        <v/>
      </c>
      <c r="M170" s="57" t="str">
        <f ca="1">IF($D170="","",IF(OFFSET('(2)出場選手'!$B$2,$A170,M$1)="","",OFFSET('(2)出場選手'!$B$2,$A170,M$1)))</f>
        <v/>
      </c>
      <c r="N170" s="26" t="str">
        <f ca="1">IF($D170="","",OFFSET('(2)出場選手'!$B$2,$A170,N$1+3*$B170))</f>
        <v/>
      </c>
      <c r="O170" s="26" t="str">
        <f ca="1">IF($D170="","",IF(OFFSET('(2)出場選手'!$B$2,$A170,O$1+3*$B170)="","",OFFSET('(2)出場選手'!$B$2,$A170,O$1+3*$B170)))</f>
        <v/>
      </c>
      <c r="P170" s="26" t="str">
        <f ca="1">IF($D170="","",IF(OFFSET('(2)出場選手'!$B$2,$A170,P$1+3*$B170)="","",OFFSET('(2)出場選手'!$B$2,$A170,P$1+3*$B170)))</f>
        <v/>
      </c>
      <c r="Q170" s="43" t="str">
        <f ca="1">IF(D170="","",VLOOKUP(N170,OFFSET(Competition_Events,0,1),11,FALSE)*IF($S170="リレー",IF(COUNTIF($T$3:$T170,$T170)&gt;1,0,1),1))</f>
        <v/>
      </c>
      <c r="R170" s="26" t="str">
        <f t="shared" ca="1" si="14"/>
        <v/>
      </c>
      <c r="S170" s="26" t="str">
        <f t="shared" ca="1" si="15"/>
        <v/>
      </c>
      <c r="T170" s="26" t="str">
        <f t="shared" ca="1" si="16"/>
        <v/>
      </c>
      <c r="U170" s="26" t="str">
        <f t="shared" ca="1" si="17"/>
        <v/>
      </c>
      <c r="W170" s="17" t="str">
        <f ca="1">IF($D170="","",OFFSET('(2)出場選手'!$B$2,$A170,W$1))</f>
        <v/>
      </c>
      <c r="X170" s="17" t="str">
        <f ca="1">IF($D170="","",OFFSET('(2)出場選手'!$B$2,$A170,X$1))</f>
        <v/>
      </c>
      <c r="Y170" s="17" t="str">
        <f ca="1">IF($D170="","",OFFSET('(2)出場選手'!$B$2,$A170,Y$1))</f>
        <v/>
      </c>
      <c r="Z170" s="17" t="str">
        <f ca="1">IF($D170="","",OFFSET('(2)出場選手'!$B$2,$A170,Z$1))</f>
        <v/>
      </c>
    </row>
    <row r="171" spans="1:26" x14ac:dyDescent="0.15">
      <c r="A171" s="17">
        <f>TRUNC((ROWS($D$3:D171)-2)/Max_Entry_Count)+1</f>
        <v>56</v>
      </c>
      <c r="B171" s="17" t="str">
        <f ca="1">IF($A171&gt;=ROWS(Entries)-2,"",IF(OFFSET('(2)出場選手'!$B$2,$A171,B$1+3*(MOD(ROWS($D$3:D171)-2,Max_Entry_Count)))="","",MOD(ROWS($D$3:D171)-2,Max_Entry_Count)))</f>
        <v/>
      </c>
      <c r="D171" s="26" t="str">
        <f ca="1">IF(OR($A171&gt;=ROWS(Entries)-2,$B171=""),"",'(1)鑑'!$E$6&amp;"-"&amp;OFFSET('(2)出場選手'!$B$2,$A171,D$1))</f>
        <v/>
      </c>
      <c r="E171" s="26" t="str">
        <f ca="1">IF($D171="","",OFFSET('(2)出場選手'!$B$2,$A171,E$1))</f>
        <v/>
      </c>
      <c r="F171" s="26" t="str">
        <f ca="1">IF($D171="","",IF(OFFSET('(2)出場選手'!$B$2,$A171,F$1)="","",OFFSET('(2)出場選手'!$B$2,$A171,F$1)))</f>
        <v/>
      </c>
      <c r="G171" s="26" t="str">
        <f t="shared" ca="1" si="12"/>
        <v/>
      </c>
      <c r="H171" s="26" t="str">
        <f t="shared" ca="1" si="13"/>
        <v/>
      </c>
      <c r="I171" s="26" t="str">
        <f ca="1">IF($D171="","",IF(OFFSET('(2)出場選手'!$B$2,$A171,I$1)="","",OFFSET('(2)出場選手'!$B$2,$A171,I$1)))</f>
        <v/>
      </c>
      <c r="J171" s="26" t="str">
        <f ca="1">IF($D171="","",IF(OFFSET('(2)出場選手'!$B$2,$A171,J$1)="",'(1)鑑'!$E$6,OFFSET('(2)出場選手'!$B$2,$A171,J$1)))</f>
        <v/>
      </c>
      <c r="K171" s="26" t="str">
        <f ca="1">IF($D171="","",TRIM(ASC(IF(OFFSET('(2)出場選手'!$B$2,$A171,K$1)="",'(1)鑑'!$E$7,OFFSET('(2)出場選手'!$B$2,$A171,K$1)))))</f>
        <v/>
      </c>
      <c r="L171" s="26" t="str">
        <f ca="1">IF($D171="","",SUBSTITUTE(SUBSTITUTE(SUBSTITUTE(IF(OFFSET('(2)出場選手'!$B$2,$A171,L$1)="",'(1)鑑'!$E$8,OFFSET('(2)出場選手'!$B$2,$A171,L$1)),"県",""),"府",""),"東京都","東京"))</f>
        <v/>
      </c>
      <c r="M171" s="57" t="str">
        <f ca="1">IF($D171="","",IF(OFFSET('(2)出場選手'!$B$2,$A171,M$1)="","",OFFSET('(2)出場選手'!$B$2,$A171,M$1)))</f>
        <v/>
      </c>
      <c r="N171" s="26" t="str">
        <f ca="1">IF($D171="","",OFFSET('(2)出場選手'!$B$2,$A171,N$1+3*$B171))</f>
        <v/>
      </c>
      <c r="O171" s="26" t="str">
        <f ca="1">IF($D171="","",IF(OFFSET('(2)出場選手'!$B$2,$A171,O$1+3*$B171)="","",OFFSET('(2)出場選手'!$B$2,$A171,O$1+3*$B171)))</f>
        <v/>
      </c>
      <c r="P171" s="26" t="str">
        <f ca="1">IF($D171="","",IF(OFFSET('(2)出場選手'!$B$2,$A171,P$1+3*$B171)="","",OFFSET('(2)出場選手'!$B$2,$A171,P$1+3*$B171)))</f>
        <v/>
      </c>
      <c r="Q171" s="43" t="str">
        <f ca="1">IF(D171="","",VLOOKUP(N171,OFFSET(Competition_Events,0,1),11,FALSE)*IF($S171="リレー",IF(COUNTIF($T$3:$T171,$T171)&gt;1,0,1),1))</f>
        <v/>
      </c>
      <c r="R171" s="26" t="str">
        <f t="shared" ca="1" si="14"/>
        <v/>
      </c>
      <c r="S171" s="26" t="str">
        <f t="shared" ca="1" si="15"/>
        <v/>
      </c>
      <c r="T171" s="26" t="str">
        <f t="shared" ca="1" si="16"/>
        <v/>
      </c>
      <c r="U171" s="26" t="str">
        <f t="shared" ca="1" si="17"/>
        <v/>
      </c>
      <c r="W171" s="17" t="str">
        <f ca="1">IF($D171="","",OFFSET('(2)出場選手'!$B$2,$A171,W$1))</f>
        <v/>
      </c>
      <c r="X171" s="17" t="str">
        <f ca="1">IF($D171="","",OFFSET('(2)出場選手'!$B$2,$A171,X$1))</f>
        <v/>
      </c>
      <c r="Y171" s="17" t="str">
        <f ca="1">IF($D171="","",OFFSET('(2)出場選手'!$B$2,$A171,Y$1))</f>
        <v/>
      </c>
      <c r="Z171" s="17" t="str">
        <f ca="1">IF($D171="","",OFFSET('(2)出場選手'!$B$2,$A171,Z$1))</f>
        <v/>
      </c>
    </row>
    <row r="172" spans="1:26" x14ac:dyDescent="0.15">
      <c r="A172" s="17">
        <f>TRUNC((ROWS($D$3:D172)-2)/Max_Entry_Count)+1</f>
        <v>57</v>
      </c>
      <c r="B172" s="17" t="str">
        <f ca="1">IF($A172&gt;=ROWS(Entries)-2,"",IF(OFFSET('(2)出場選手'!$B$2,$A172,B$1+3*(MOD(ROWS($D$3:D172)-2,Max_Entry_Count)))="","",MOD(ROWS($D$3:D172)-2,Max_Entry_Count)))</f>
        <v/>
      </c>
      <c r="D172" s="26" t="str">
        <f ca="1">IF(OR($A172&gt;=ROWS(Entries)-2,$B172=""),"",'(1)鑑'!$E$6&amp;"-"&amp;OFFSET('(2)出場選手'!$B$2,$A172,D$1))</f>
        <v/>
      </c>
      <c r="E172" s="26" t="str">
        <f ca="1">IF($D172="","",OFFSET('(2)出場選手'!$B$2,$A172,E$1))</f>
        <v/>
      </c>
      <c r="F172" s="26" t="str">
        <f ca="1">IF($D172="","",IF(OFFSET('(2)出場選手'!$B$2,$A172,F$1)="","",OFFSET('(2)出場選手'!$B$2,$A172,F$1)))</f>
        <v/>
      </c>
      <c r="G172" s="26" t="str">
        <f t="shared" ca="1" si="12"/>
        <v/>
      </c>
      <c r="H172" s="26" t="str">
        <f t="shared" ca="1" si="13"/>
        <v/>
      </c>
      <c r="I172" s="26" t="str">
        <f ca="1">IF($D172="","",IF(OFFSET('(2)出場選手'!$B$2,$A172,I$1)="","",OFFSET('(2)出場選手'!$B$2,$A172,I$1)))</f>
        <v/>
      </c>
      <c r="J172" s="26" t="str">
        <f ca="1">IF($D172="","",IF(OFFSET('(2)出場選手'!$B$2,$A172,J$1)="",'(1)鑑'!$E$6,OFFSET('(2)出場選手'!$B$2,$A172,J$1)))</f>
        <v/>
      </c>
      <c r="K172" s="26" t="str">
        <f ca="1">IF($D172="","",TRIM(ASC(IF(OFFSET('(2)出場選手'!$B$2,$A172,K$1)="",'(1)鑑'!$E$7,OFFSET('(2)出場選手'!$B$2,$A172,K$1)))))</f>
        <v/>
      </c>
      <c r="L172" s="26" t="str">
        <f ca="1">IF($D172="","",SUBSTITUTE(SUBSTITUTE(SUBSTITUTE(IF(OFFSET('(2)出場選手'!$B$2,$A172,L$1)="",'(1)鑑'!$E$8,OFFSET('(2)出場選手'!$B$2,$A172,L$1)),"県",""),"府",""),"東京都","東京"))</f>
        <v/>
      </c>
      <c r="M172" s="57" t="str">
        <f ca="1">IF($D172="","",IF(OFFSET('(2)出場選手'!$B$2,$A172,M$1)="","",OFFSET('(2)出場選手'!$B$2,$A172,M$1)))</f>
        <v/>
      </c>
      <c r="N172" s="26" t="str">
        <f ca="1">IF($D172="","",OFFSET('(2)出場選手'!$B$2,$A172,N$1+3*$B172))</f>
        <v/>
      </c>
      <c r="O172" s="26" t="str">
        <f ca="1">IF($D172="","",IF(OFFSET('(2)出場選手'!$B$2,$A172,O$1+3*$B172)="","",OFFSET('(2)出場選手'!$B$2,$A172,O$1+3*$B172)))</f>
        <v/>
      </c>
      <c r="P172" s="26" t="str">
        <f ca="1">IF($D172="","",IF(OFFSET('(2)出場選手'!$B$2,$A172,P$1+3*$B172)="","",OFFSET('(2)出場選手'!$B$2,$A172,P$1+3*$B172)))</f>
        <v/>
      </c>
      <c r="Q172" s="43" t="str">
        <f ca="1">IF(D172="","",VLOOKUP(N172,OFFSET(Competition_Events,0,1),11,FALSE)*IF($S172="リレー",IF(COUNTIF($T$3:$T172,$T172)&gt;1,0,1),1))</f>
        <v/>
      </c>
      <c r="R172" s="26" t="str">
        <f t="shared" ca="1" si="14"/>
        <v/>
      </c>
      <c r="S172" s="26" t="str">
        <f t="shared" ca="1" si="15"/>
        <v/>
      </c>
      <c r="T172" s="26" t="str">
        <f t="shared" ca="1" si="16"/>
        <v/>
      </c>
      <c r="U172" s="26" t="str">
        <f t="shared" ca="1" si="17"/>
        <v/>
      </c>
      <c r="W172" s="17" t="str">
        <f ca="1">IF($D172="","",OFFSET('(2)出場選手'!$B$2,$A172,W$1))</f>
        <v/>
      </c>
      <c r="X172" s="17" t="str">
        <f ca="1">IF($D172="","",OFFSET('(2)出場選手'!$B$2,$A172,X$1))</f>
        <v/>
      </c>
      <c r="Y172" s="17" t="str">
        <f ca="1">IF($D172="","",OFFSET('(2)出場選手'!$B$2,$A172,Y$1))</f>
        <v/>
      </c>
      <c r="Z172" s="17" t="str">
        <f ca="1">IF($D172="","",OFFSET('(2)出場選手'!$B$2,$A172,Z$1))</f>
        <v/>
      </c>
    </row>
    <row r="173" spans="1:26" x14ac:dyDescent="0.15">
      <c r="A173" s="17">
        <f>TRUNC((ROWS($D$3:D173)-2)/Max_Entry_Count)+1</f>
        <v>57</v>
      </c>
      <c r="B173" s="17" t="str">
        <f ca="1">IF($A173&gt;=ROWS(Entries)-2,"",IF(OFFSET('(2)出場選手'!$B$2,$A173,B$1+3*(MOD(ROWS($D$3:D173)-2,Max_Entry_Count)))="","",MOD(ROWS($D$3:D173)-2,Max_Entry_Count)))</f>
        <v/>
      </c>
      <c r="D173" s="26" t="str">
        <f ca="1">IF(OR($A173&gt;=ROWS(Entries)-2,$B173=""),"",'(1)鑑'!$E$6&amp;"-"&amp;OFFSET('(2)出場選手'!$B$2,$A173,D$1))</f>
        <v/>
      </c>
      <c r="E173" s="26" t="str">
        <f ca="1">IF($D173="","",OFFSET('(2)出場選手'!$B$2,$A173,E$1))</f>
        <v/>
      </c>
      <c r="F173" s="26" t="str">
        <f ca="1">IF($D173="","",IF(OFFSET('(2)出場選手'!$B$2,$A173,F$1)="","",OFFSET('(2)出場選手'!$B$2,$A173,F$1)))</f>
        <v/>
      </c>
      <c r="G173" s="26" t="str">
        <f t="shared" ca="1" si="12"/>
        <v/>
      </c>
      <c r="H173" s="26" t="str">
        <f t="shared" ca="1" si="13"/>
        <v/>
      </c>
      <c r="I173" s="26" t="str">
        <f ca="1">IF($D173="","",IF(OFFSET('(2)出場選手'!$B$2,$A173,I$1)="","",OFFSET('(2)出場選手'!$B$2,$A173,I$1)))</f>
        <v/>
      </c>
      <c r="J173" s="26" t="str">
        <f ca="1">IF($D173="","",IF(OFFSET('(2)出場選手'!$B$2,$A173,J$1)="",'(1)鑑'!$E$6,OFFSET('(2)出場選手'!$B$2,$A173,J$1)))</f>
        <v/>
      </c>
      <c r="K173" s="26" t="str">
        <f ca="1">IF($D173="","",TRIM(ASC(IF(OFFSET('(2)出場選手'!$B$2,$A173,K$1)="",'(1)鑑'!$E$7,OFFSET('(2)出場選手'!$B$2,$A173,K$1)))))</f>
        <v/>
      </c>
      <c r="L173" s="26" t="str">
        <f ca="1">IF($D173="","",SUBSTITUTE(SUBSTITUTE(SUBSTITUTE(IF(OFFSET('(2)出場選手'!$B$2,$A173,L$1)="",'(1)鑑'!$E$8,OFFSET('(2)出場選手'!$B$2,$A173,L$1)),"県",""),"府",""),"東京都","東京"))</f>
        <v/>
      </c>
      <c r="M173" s="57" t="str">
        <f ca="1">IF($D173="","",IF(OFFSET('(2)出場選手'!$B$2,$A173,M$1)="","",OFFSET('(2)出場選手'!$B$2,$A173,M$1)))</f>
        <v/>
      </c>
      <c r="N173" s="26" t="str">
        <f ca="1">IF($D173="","",OFFSET('(2)出場選手'!$B$2,$A173,N$1+3*$B173))</f>
        <v/>
      </c>
      <c r="O173" s="26" t="str">
        <f ca="1">IF($D173="","",IF(OFFSET('(2)出場選手'!$B$2,$A173,O$1+3*$B173)="","",OFFSET('(2)出場選手'!$B$2,$A173,O$1+3*$B173)))</f>
        <v/>
      </c>
      <c r="P173" s="26" t="str">
        <f ca="1">IF($D173="","",IF(OFFSET('(2)出場選手'!$B$2,$A173,P$1+3*$B173)="","",OFFSET('(2)出場選手'!$B$2,$A173,P$1+3*$B173)))</f>
        <v/>
      </c>
      <c r="Q173" s="43" t="str">
        <f ca="1">IF(D173="","",VLOOKUP(N173,OFFSET(Competition_Events,0,1),11,FALSE)*IF($S173="リレー",IF(COUNTIF($T$3:$T173,$T173)&gt;1,0,1),1))</f>
        <v/>
      </c>
      <c r="R173" s="26" t="str">
        <f t="shared" ca="1" si="14"/>
        <v/>
      </c>
      <c r="S173" s="26" t="str">
        <f t="shared" ca="1" si="15"/>
        <v/>
      </c>
      <c r="T173" s="26" t="str">
        <f t="shared" ca="1" si="16"/>
        <v/>
      </c>
      <c r="U173" s="26" t="str">
        <f t="shared" ca="1" si="17"/>
        <v/>
      </c>
      <c r="W173" s="17" t="str">
        <f ca="1">IF($D173="","",OFFSET('(2)出場選手'!$B$2,$A173,W$1))</f>
        <v/>
      </c>
      <c r="X173" s="17" t="str">
        <f ca="1">IF($D173="","",OFFSET('(2)出場選手'!$B$2,$A173,X$1))</f>
        <v/>
      </c>
      <c r="Y173" s="17" t="str">
        <f ca="1">IF($D173="","",OFFSET('(2)出場選手'!$B$2,$A173,Y$1))</f>
        <v/>
      </c>
      <c r="Z173" s="17" t="str">
        <f ca="1">IF($D173="","",OFFSET('(2)出場選手'!$B$2,$A173,Z$1))</f>
        <v/>
      </c>
    </row>
    <row r="174" spans="1:26" x14ac:dyDescent="0.15">
      <c r="A174" s="17">
        <f>TRUNC((ROWS($D$3:D174)-2)/Max_Entry_Count)+1</f>
        <v>57</v>
      </c>
      <c r="B174" s="17" t="str">
        <f ca="1">IF($A174&gt;=ROWS(Entries)-2,"",IF(OFFSET('(2)出場選手'!$B$2,$A174,B$1+3*(MOD(ROWS($D$3:D174)-2,Max_Entry_Count)))="","",MOD(ROWS($D$3:D174)-2,Max_Entry_Count)))</f>
        <v/>
      </c>
      <c r="D174" s="26" t="str">
        <f ca="1">IF(OR($A174&gt;=ROWS(Entries)-2,$B174=""),"",'(1)鑑'!$E$6&amp;"-"&amp;OFFSET('(2)出場選手'!$B$2,$A174,D$1))</f>
        <v/>
      </c>
      <c r="E174" s="26" t="str">
        <f ca="1">IF($D174="","",OFFSET('(2)出場選手'!$B$2,$A174,E$1))</f>
        <v/>
      </c>
      <c r="F174" s="26" t="str">
        <f ca="1">IF($D174="","",IF(OFFSET('(2)出場選手'!$B$2,$A174,F$1)="","",OFFSET('(2)出場選手'!$B$2,$A174,F$1)))</f>
        <v/>
      </c>
      <c r="G174" s="26" t="str">
        <f t="shared" ca="1" si="12"/>
        <v/>
      </c>
      <c r="H174" s="26" t="str">
        <f t="shared" ca="1" si="13"/>
        <v/>
      </c>
      <c r="I174" s="26" t="str">
        <f ca="1">IF($D174="","",IF(OFFSET('(2)出場選手'!$B$2,$A174,I$1)="","",OFFSET('(2)出場選手'!$B$2,$A174,I$1)))</f>
        <v/>
      </c>
      <c r="J174" s="26" t="str">
        <f ca="1">IF($D174="","",IF(OFFSET('(2)出場選手'!$B$2,$A174,J$1)="",'(1)鑑'!$E$6,OFFSET('(2)出場選手'!$B$2,$A174,J$1)))</f>
        <v/>
      </c>
      <c r="K174" s="26" t="str">
        <f ca="1">IF($D174="","",TRIM(ASC(IF(OFFSET('(2)出場選手'!$B$2,$A174,K$1)="",'(1)鑑'!$E$7,OFFSET('(2)出場選手'!$B$2,$A174,K$1)))))</f>
        <v/>
      </c>
      <c r="L174" s="26" t="str">
        <f ca="1">IF($D174="","",SUBSTITUTE(SUBSTITUTE(SUBSTITUTE(IF(OFFSET('(2)出場選手'!$B$2,$A174,L$1)="",'(1)鑑'!$E$8,OFFSET('(2)出場選手'!$B$2,$A174,L$1)),"県",""),"府",""),"東京都","東京"))</f>
        <v/>
      </c>
      <c r="M174" s="57" t="str">
        <f ca="1">IF($D174="","",IF(OFFSET('(2)出場選手'!$B$2,$A174,M$1)="","",OFFSET('(2)出場選手'!$B$2,$A174,M$1)))</f>
        <v/>
      </c>
      <c r="N174" s="26" t="str">
        <f ca="1">IF($D174="","",OFFSET('(2)出場選手'!$B$2,$A174,N$1+3*$B174))</f>
        <v/>
      </c>
      <c r="O174" s="26" t="str">
        <f ca="1">IF($D174="","",IF(OFFSET('(2)出場選手'!$B$2,$A174,O$1+3*$B174)="","",OFFSET('(2)出場選手'!$B$2,$A174,O$1+3*$B174)))</f>
        <v/>
      </c>
      <c r="P174" s="26" t="str">
        <f ca="1">IF($D174="","",IF(OFFSET('(2)出場選手'!$B$2,$A174,P$1+3*$B174)="","",OFFSET('(2)出場選手'!$B$2,$A174,P$1+3*$B174)))</f>
        <v/>
      </c>
      <c r="Q174" s="43" t="str">
        <f ca="1">IF(D174="","",VLOOKUP(N174,OFFSET(Competition_Events,0,1),11,FALSE)*IF($S174="リレー",IF(COUNTIF($T$3:$T174,$T174)&gt;1,0,1),1))</f>
        <v/>
      </c>
      <c r="R174" s="26" t="str">
        <f t="shared" ca="1" si="14"/>
        <v/>
      </c>
      <c r="S174" s="26" t="str">
        <f t="shared" ca="1" si="15"/>
        <v/>
      </c>
      <c r="T174" s="26" t="str">
        <f t="shared" ca="1" si="16"/>
        <v/>
      </c>
      <c r="U174" s="26" t="str">
        <f t="shared" ca="1" si="17"/>
        <v/>
      </c>
      <c r="W174" s="17" t="str">
        <f ca="1">IF($D174="","",OFFSET('(2)出場選手'!$B$2,$A174,W$1))</f>
        <v/>
      </c>
      <c r="X174" s="17" t="str">
        <f ca="1">IF($D174="","",OFFSET('(2)出場選手'!$B$2,$A174,X$1))</f>
        <v/>
      </c>
      <c r="Y174" s="17" t="str">
        <f ca="1">IF($D174="","",OFFSET('(2)出場選手'!$B$2,$A174,Y$1))</f>
        <v/>
      </c>
      <c r="Z174" s="17" t="str">
        <f ca="1">IF($D174="","",OFFSET('(2)出場選手'!$B$2,$A174,Z$1))</f>
        <v/>
      </c>
    </row>
    <row r="175" spans="1:26" x14ac:dyDescent="0.15">
      <c r="A175" s="17">
        <f>TRUNC((ROWS($D$3:D175)-2)/Max_Entry_Count)+1</f>
        <v>58</v>
      </c>
      <c r="B175" s="17" t="str">
        <f ca="1">IF($A175&gt;=ROWS(Entries)-2,"",IF(OFFSET('(2)出場選手'!$B$2,$A175,B$1+3*(MOD(ROWS($D$3:D175)-2,Max_Entry_Count)))="","",MOD(ROWS($D$3:D175)-2,Max_Entry_Count)))</f>
        <v/>
      </c>
      <c r="D175" s="26" t="str">
        <f ca="1">IF(OR($A175&gt;=ROWS(Entries)-2,$B175=""),"",'(1)鑑'!$E$6&amp;"-"&amp;OFFSET('(2)出場選手'!$B$2,$A175,D$1))</f>
        <v/>
      </c>
      <c r="E175" s="26" t="str">
        <f ca="1">IF($D175="","",OFFSET('(2)出場選手'!$B$2,$A175,E$1))</f>
        <v/>
      </c>
      <c r="F175" s="26" t="str">
        <f ca="1">IF($D175="","",IF(OFFSET('(2)出場選手'!$B$2,$A175,F$1)="","",OFFSET('(2)出場選手'!$B$2,$A175,F$1)))</f>
        <v/>
      </c>
      <c r="G175" s="26" t="str">
        <f t="shared" ca="1" si="12"/>
        <v/>
      </c>
      <c r="H175" s="26" t="str">
        <f t="shared" ca="1" si="13"/>
        <v/>
      </c>
      <c r="I175" s="26" t="str">
        <f ca="1">IF($D175="","",IF(OFFSET('(2)出場選手'!$B$2,$A175,I$1)="","",OFFSET('(2)出場選手'!$B$2,$A175,I$1)))</f>
        <v/>
      </c>
      <c r="J175" s="26" t="str">
        <f ca="1">IF($D175="","",IF(OFFSET('(2)出場選手'!$B$2,$A175,J$1)="",'(1)鑑'!$E$6,OFFSET('(2)出場選手'!$B$2,$A175,J$1)))</f>
        <v/>
      </c>
      <c r="K175" s="26" t="str">
        <f ca="1">IF($D175="","",TRIM(ASC(IF(OFFSET('(2)出場選手'!$B$2,$A175,K$1)="",'(1)鑑'!$E$7,OFFSET('(2)出場選手'!$B$2,$A175,K$1)))))</f>
        <v/>
      </c>
      <c r="L175" s="26" t="str">
        <f ca="1">IF($D175="","",SUBSTITUTE(SUBSTITUTE(SUBSTITUTE(IF(OFFSET('(2)出場選手'!$B$2,$A175,L$1)="",'(1)鑑'!$E$8,OFFSET('(2)出場選手'!$B$2,$A175,L$1)),"県",""),"府",""),"東京都","東京"))</f>
        <v/>
      </c>
      <c r="M175" s="57" t="str">
        <f ca="1">IF($D175="","",IF(OFFSET('(2)出場選手'!$B$2,$A175,M$1)="","",OFFSET('(2)出場選手'!$B$2,$A175,M$1)))</f>
        <v/>
      </c>
      <c r="N175" s="26" t="str">
        <f ca="1">IF($D175="","",OFFSET('(2)出場選手'!$B$2,$A175,N$1+3*$B175))</f>
        <v/>
      </c>
      <c r="O175" s="26" t="str">
        <f ca="1">IF($D175="","",IF(OFFSET('(2)出場選手'!$B$2,$A175,O$1+3*$B175)="","",OFFSET('(2)出場選手'!$B$2,$A175,O$1+3*$B175)))</f>
        <v/>
      </c>
      <c r="P175" s="26" t="str">
        <f ca="1">IF($D175="","",IF(OFFSET('(2)出場選手'!$B$2,$A175,P$1+3*$B175)="","",OFFSET('(2)出場選手'!$B$2,$A175,P$1+3*$B175)))</f>
        <v/>
      </c>
      <c r="Q175" s="43" t="str">
        <f ca="1">IF(D175="","",VLOOKUP(N175,OFFSET(Competition_Events,0,1),11,FALSE)*IF($S175="リレー",IF(COUNTIF($T$3:$T175,$T175)&gt;1,0,1),1))</f>
        <v/>
      </c>
      <c r="R175" s="26" t="str">
        <f t="shared" ca="1" si="14"/>
        <v/>
      </c>
      <c r="S175" s="26" t="str">
        <f t="shared" ca="1" si="15"/>
        <v/>
      </c>
      <c r="T175" s="26" t="str">
        <f t="shared" ca="1" si="16"/>
        <v/>
      </c>
      <c r="U175" s="26" t="str">
        <f t="shared" ca="1" si="17"/>
        <v/>
      </c>
      <c r="W175" s="17" t="str">
        <f ca="1">IF($D175="","",OFFSET('(2)出場選手'!$B$2,$A175,W$1))</f>
        <v/>
      </c>
      <c r="X175" s="17" t="str">
        <f ca="1">IF($D175="","",OFFSET('(2)出場選手'!$B$2,$A175,X$1))</f>
        <v/>
      </c>
      <c r="Y175" s="17" t="str">
        <f ca="1">IF($D175="","",OFFSET('(2)出場選手'!$B$2,$A175,Y$1))</f>
        <v/>
      </c>
      <c r="Z175" s="17" t="str">
        <f ca="1">IF($D175="","",OFFSET('(2)出場選手'!$B$2,$A175,Z$1))</f>
        <v/>
      </c>
    </row>
    <row r="176" spans="1:26" x14ac:dyDescent="0.15">
      <c r="A176" s="17">
        <f>TRUNC((ROWS($D$3:D176)-2)/Max_Entry_Count)+1</f>
        <v>58</v>
      </c>
      <c r="B176" s="17" t="str">
        <f ca="1">IF($A176&gt;=ROWS(Entries)-2,"",IF(OFFSET('(2)出場選手'!$B$2,$A176,B$1+3*(MOD(ROWS($D$3:D176)-2,Max_Entry_Count)))="","",MOD(ROWS($D$3:D176)-2,Max_Entry_Count)))</f>
        <v/>
      </c>
      <c r="D176" s="26" t="str">
        <f ca="1">IF(OR($A176&gt;=ROWS(Entries)-2,$B176=""),"",'(1)鑑'!$E$6&amp;"-"&amp;OFFSET('(2)出場選手'!$B$2,$A176,D$1))</f>
        <v/>
      </c>
      <c r="E176" s="26" t="str">
        <f ca="1">IF($D176="","",OFFSET('(2)出場選手'!$B$2,$A176,E$1))</f>
        <v/>
      </c>
      <c r="F176" s="26" t="str">
        <f ca="1">IF($D176="","",IF(OFFSET('(2)出場選手'!$B$2,$A176,F$1)="","",OFFSET('(2)出場選手'!$B$2,$A176,F$1)))</f>
        <v/>
      </c>
      <c r="G176" s="26" t="str">
        <f t="shared" ca="1" si="12"/>
        <v/>
      </c>
      <c r="H176" s="26" t="str">
        <f t="shared" ca="1" si="13"/>
        <v/>
      </c>
      <c r="I176" s="26" t="str">
        <f ca="1">IF($D176="","",IF(OFFSET('(2)出場選手'!$B$2,$A176,I$1)="","",OFFSET('(2)出場選手'!$B$2,$A176,I$1)))</f>
        <v/>
      </c>
      <c r="J176" s="26" t="str">
        <f ca="1">IF($D176="","",IF(OFFSET('(2)出場選手'!$B$2,$A176,J$1)="",'(1)鑑'!$E$6,OFFSET('(2)出場選手'!$B$2,$A176,J$1)))</f>
        <v/>
      </c>
      <c r="K176" s="26" t="str">
        <f ca="1">IF($D176="","",TRIM(ASC(IF(OFFSET('(2)出場選手'!$B$2,$A176,K$1)="",'(1)鑑'!$E$7,OFFSET('(2)出場選手'!$B$2,$A176,K$1)))))</f>
        <v/>
      </c>
      <c r="L176" s="26" t="str">
        <f ca="1">IF($D176="","",SUBSTITUTE(SUBSTITUTE(SUBSTITUTE(IF(OFFSET('(2)出場選手'!$B$2,$A176,L$1)="",'(1)鑑'!$E$8,OFFSET('(2)出場選手'!$B$2,$A176,L$1)),"県",""),"府",""),"東京都","東京"))</f>
        <v/>
      </c>
      <c r="M176" s="57" t="str">
        <f ca="1">IF($D176="","",IF(OFFSET('(2)出場選手'!$B$2,$A176,M$1)="","",OFFSET('(2)出場選手'!$B$2,$A176,M$1)))</f>
        <v/>
      </c>
      <c r="N176" s="26" t="str">
        <f ca="1">IF($D176="","",OFFSET('(2)出場選手'!$B$2,$A176,N$1+3*$B176))</f>
        <v/>
      </c>
      <c r="O176" s="26" t="str">
        <f ca="1">IF($D176="","",IF(OFFSET('(2)出場選手'!$B$2,$A176,O$1+3*$B176)="","",OFFSET('(2)出場選手'!$B$2,$A176,O$1+3*$B176)))</f>
        <v/>
      </c>
      <c r="P176" s="26" t="str">
        <f ca="1">IF($D176="","",IF(OFFSET('(2)出場選手'!$B$2,$A176,P$1+3*$B176)="","",OFFSET('(2)出場選手'!$B$2,$A176,P$1+3*$B176)))</f>
        <v/>
      </c>
      <c r="Q176" s="43" t="str">
        <f ca="1">IF(D176="","",VLOOKUP(N176,OFFSET(Competition_Events,0,1),11,FALSE)*IF($S176="リレー",IF(COUNTIF($T$3:$T176,$T176)&gt;1,0,1),1))</f>
        <v/>
      </c>
      <c r="R176" s="26" t="str">
        <f t="shared" ca="1" si="14"/>
        <v/>
      </c>
      <c r="S176" s="26" t="str">
        <f t="shared" ca="1" si="15"/>
        <v/>
      </c>
      <c r="T176" s="26" t="str">
        <f t="shared" ca="1" si="16"/>
        <v/>
      </c>
      <c r="U176" s="26" t="str">
        <f t="shared" ca="1" si="17"/>
        <v/>
      </c>
      <c r="W176" s="17" t="str">
        <f ca="1">IF($D176="","",OFFSET('(2)出場選手'!$B$2,$A176,W$1))</f>
        <v/>
      </c>
      <c r="X176" s="17" t="str">
        <f ca="1">IF($D176="","",OFFSET('(2)出場選手'!$B$2,$A176,X$1))</f>
        <v/>
      </c>
      <c r="Y176" s="17" t="str">
        <f ca="1">IF($D176="","",OFFSET('(2)出場選手'!$B$2,$A176,Y$1))</f>
        <v/>
      </c>
      <c r="Z176" s="17" t="str">
        <f ca="1">IF($D176="","",OFFSET('(2)出場選手'!$B$2,$A176,Z$1))</f>
        <v/>
      </c>
    </row>
    <row r="177" spans="1:26" x14ac:dyDescent="0.15">
      <c r="A177" s="17">
        <f>TRUNC((ROWS($D$3:D177)-2)/Max_Entry_Count)+1</f>
        <v>58</v>
      </c>
      <c r="B177" s="17" t="str">
        <f ca="1">IF($A177&gt;=ROWS(Entries)-2,"",IF(OFFSET('(2)出場選手'!$B$2,$A177,B$1+3*(MOD(ROWS($D$3:D177)-2,Max_Entry_Count)))="","",MOD(ROWS($D$3:D177)-2,Max_Entry_Count)))</f>
        <v/>
      </c>
      <c r="D177" s="26" t="str">
        <f ca="1">IF(OR($A177&gt;=ROWS(Entries)-2,$B177=""),"",'(1)鑑'!$E$6&amp;"-"&amp;OFFSET('(2)出場選手'!$B$2,$A177,D$1))</f>
        <v/>
      </c>
      <c r="E177" s="26" t="str">
        <f ca="1">IF($D177="","",OFFSET('(2)出場選手'!$B$2,$A177,E$1))</f>
        <v/>
      </c>
      <c r="F177" s="26" t="str">
        <f ca="1">IF($D177="","",IF(OFFSET('(2)出場選手'!$B$2,$A177,F$1)="","",OFFSET('(2)出場選手'!$B$2,$A177,F$1)))</f>
        <v/>
      </c>
      <c r="G177" s="26" t="str">
        <f t="shared" ca="1" si="12"/>
        <v/>
      </c>
      <c r="H177" s="26" t="str">
        <f t="shared" ca="1" si="13"/>
        <v/>
      </c>
      <c r="I177" s="26" t="str">
        <f ca="1">IF($D177="","",IF(OFFSET('(2)出場選手'!$B$2,$A177,I$1)="","",OFFSET('(2)出場選手'!$B$2,$A177,I$1)))</f>
        <v/>
      </c>
      <c r="J177" s="26" t="str">
        <f ca="1">IF($D177="","",IF(OFFSET('(2)出場選手'!$B$2,$A177,J$1)="",'(1)鑑'!$E$6,OFFSET('(2)出場選手'!$B$2,$A177,J$1)))</f>
        <v/>
      </c>
      <c r="K177" s="26" t="str">
        <f ca="1">IF($D177="","",TRIM(ASC(IF(OFFSET('(2)出場選手'!$B$2,$A177,K$1)="",'(1)鑑'!$E$7,OFFSET('(2)出場選手'!$B$2,$A177,K$1)))))</f>
        <v/>
      </c>
      <c r="L177" s="26" t="str">
        <f ca="1">IF($D177="","",SUBSTITUTE(SUBSTITUTE(SUBSTITUTE(IF(OFFSET('(2)出場選手'!$B$2,$A177,L$1)="",'(1)鑑'!$E$8,OFFSET('(2)出場選手'!$B$2,$A177,L$1)),"県",""),"府",""),"東京都","東京"))</f>
        <v/>
      </c>
      <c r="M177" s="57" t="str">
        <f ca="1">IF($D177="","",IF(OFFSET('(2)出場選手'!$B$2,$A177,M$1)="","",OFFSET('(2)出場選手'!$B$2,$A177,M$1)))</f>
        <v/>
      </c>
      <c r="N177" s="26" t="str">
        <f ca="1">IF($D177="","",OFFSET('(2)出場選手'!$B$2,$A177,N$1+3*$B177))</f>
        <v/>
      </c>
      <c r="O177" s="26" t="str">
        <f ca="1">IF($D177="","",IF(OFFSET('(2)出場選手'!$B$2,$A177,O$1+3*$B177)="","",OFFSET('(2)出場選手'!$B$2,$A177,O$1+3*$B177)))</f>
        <v/>
      </c>
      <c r="P177" s="26" t="str">
        <f ca="1">IF($D177="","",IF(OFFSET('(2)出場選手'!$B$2,$A177,P$1+3*$B177)="","",OFFSET('(2)出場選手'!$B$2,$A177,P$1+3*$B177)))</f>
        <v/>
      </c>
      <c r="Q177" s="43" t="str">
        <f ca="1">IF(D177="","",VLOOKUP(N177,OFFSET(Competition_Events,0,1),11,FALSE)*IF($S177="リレー",IF(COUNTIF($T$3:$T177,$T177)&gt;1,0,1),1))</f>
        <v/>
      </c>
      <c r="R177" s="26" t="str">
        <f t="shared" ca="1" si="14"/>
        <v/>
      </c>
      <c r="S177" s="26" t="str">
        <f t="shared" ca="1" si="15"/>
        <v/>
      </c>
      <c r="T177" s="26" t="str">
        <f t="shared" ca="1" si="16"/>
        <v/>
      </c>
      <c r="U177" s="26" t="str">
        <f t="shared" ca="1" si="17"/>
        <v/>
      </c>
      <c r="W177" s="17" t="str">
        <f ca="1">IF($D177="","",OFFSET('(2)出場選手'!$B$2,$A177,W$1))</f>
        <v/>
      </c>
      <c r="X177" s="17" t="str">
        <f ca="1">IF($D177="","",OFFSET('(2)出場選手'!$B$2,$A177,X$1))</f>
        <v/>
      </c>
      <c r="Y177" s="17" t="str">
        <f ca="1">IF($D177="","",OFFSET('(2)出場選手'!$B$2,$A177,Y$1))</f>
        <v/>
      </c>
      <c r="Z177" s="17" t="str">
        <f ca="1">IF($D177="","",OFFSET('(2)出場選手'!$B$2,$A177,Z$1))</f>
        <v/>
      </c>
    </row>
    <row r="178" spans="1:26" x14ac:dyDescent="0.15">
      <c r="A178" s="17">
        <f>TRUNC((ROWS($D$3:D178)-2)/Max_Entry_Count)+1</f>
        <v>59</v>
      </c>
      <c r="B178" s="17" t="str">
        <f ca="1">IF($A178&gt;=ROWS(Entries)-2,"",IF(OFFSET('(2)出場選手'!$B$2,$A178,B$1+3*(MOD(ROWS($D$3:D178)-2,Max_Entry_Count)))="","",MOD(ROWS($D$3:D178)-2,Max_Entry_Count)))</f>
        <v/>
      </c>
      <c r="D178" s="26" t="str">
        <f ca="1">IF(OR($A178&gt;=ROWS(Entries)-2,$B178=""),"",'(1)鑑'!$E$6&amp;"-"&amp;OFFSET('(2)出場選手'!$B$2,$A178,D$1))</f>
        <v/>
      </c>
      <c r="E178" s="26" t="str">
        <f ca="1">IF($D178="","",OFFSET('(2)出場選手'!$B$2,$A178,E$1))</f>
        <v/>
      </c>
      <c r="F178" s="26" t="str">
        <f ca="1">IF($D178="","",IF(OFFSET('(2)出場選手'!$B$2,$A178,F$1)="","",OFFSET('(2)出場選手'!$B$2,$A178,F$1)))</f>
        <v/>
      </c>
      <c r="G178" s="26" t="str">
        <f t="shared" ca="1" si="12"/>
        <v/>
      </c>
      <c r="H178" s="26" t="str">
        <f t="shared" ca="1" si="13"/>
        <v/>
      </c>
      <c r="I178" s="26" t="str">
        <f ca="1">IF($D178="","",IF(OFFSET('(2)出場選手'!$B$2,$A178,I$1)="","",OFFSET('(2)出場選手'!$B$2,$A178,I$1)))</f>
        <v/>
      </c>
      <c r="J178" s="26" t="str">
        <f ca="1">IF($D178="","",IF(OFFSET('(2)出場選手'!$B$2,$A178,J$1)="",'(1)鑑'!$E$6,OFFSET('(2)出場選手'!$B$2,$A178,J$1)))</f>
        <v/>
      </c>
      <c r="K178" s="26" t="str">
        <f ca="1">IF($D178="","",TRIM(ASC(IF(OFFSET('(2)出場選手'!$B$2,$A178,K$1)="",'(1)鑑'!$E$7,OFFSET('(2)出場選手'!$B$2,$A178,K$1)))))</f>
        <v/>
      </c>
      <c r="L178" s="26" t="str">
        <f ca="1">IF($D178="","",SUBSTITUTE(SUBSTITUTE(SUBSTITUTE(IF(OFFSET('(2)出場選手'!$B$2,$A178,L$1)="",'(1)鑑'!$E$8,OFFSET('(2)出場選手'!$B$2,$A178,L$1)),"県",""),"府",""),"東京都","東京"))</f>
        <v/>
      </c>
      <c r="M178" s="57" t="str">
        <f ca="1">IF($D178="","",IF(OFFSET('(2)出場選手'!$B$2,$A178,M$1)="","",OFFSET('(2)出場選手'!$B$2,$A178,M$1)))</f>
        <v/>
      </c>
      <c r="N178" s="26" t="str">
        <f ca="1">IF($D178="","",OFFSET('(2)出場選手'!$B$2,$A178,N$1+3*$B178))</f>
        <v/>
      </c>
      <c r="O178" s="26" t="str">
        <f ca="1">IF($D178="","",IF(OFFSET('(2)出場選手'!$B$2,$A178,O$1+3*$B178)="","",OFFSET('(2)出場選手'!$B$2,$A178,O$1+3*$B178)))</f>
        <v/>
      </c>
      <c r="P178" s="26" t="str">
        <f ca="1">IF($D178="","",IF(OFFSET('(2)出場選手'!$B$2,$A178,P$1+3*$B178)="","",OFFSET('(2)出場選手'!$B$2,$A178,P$1+3*$B178)))</f>
        <v/>
      </c>
      <c r="Q178" s="43" t="str">
        <f ca="1">IF(D178="","",VLOOKUP(N178,OFFSET(Competition_Events,0,1),11,FALSE)*IF($S178="リレー",IF(COUNTIF($T$3:$T178,$T178)&gt;1,0,1),1))</f>
        <v/>
      </c>
      <c r="R178" s="26" t="str">
        <f t="shared" ca="1" si="14"/>
        <v/>
      </c>
      <c r="S178" s="26" t="str">
        <f t="shared" ca="1" si="15"/>
        <v/>
      </c>
      <c r="T178" s="26" t="str">
        <f t="shared" ca="1" si="16"/>
        <v/>
      </c>
      <c r="U178" s="26" t="str">
        <f t="shared" ca="1" si="17"/>
        <v/>
      </c>
      <c r="W178" s="17" t="str">
        <f ca="1">IF($D178="","",OFFSET('(2)出場選手'!$B$2,$A178,W$1))</f>
        <v/>
      </c>
      <c r="X178" s="17" t="str">
        <f ca="1">IF($D178="","",OFFSET('(2)出場選手'!$B$2,$A178,X$1))</f>
        <v/>
      </c>
      <c r="Y178" s="17" t="str">
        <f ca="1">IF($D178="","",OFFSET('(2)出場選手'!$B$2,$A178,Y$1))</f>
        <v/>
      </c>
      <c r="Z178" s="17" t="str">
        <f ca="1">IF($D178="","",OFFSET('(2)出場選手'!$B$2,$A178,Z$1))</f>
        <v/>
      </c>
    </row>
    <row r="179" spans="1:26" x14ac:dyDescent="0.15">
      <c r="A179" s="17">
        <f>TRUNC((ROWS($D$3:D179)-2)/Max_Entry_Count)+1</f>
        <v>59</v>
      </c>
      <c r="B179" s="17" t="str">
        <f ca="1">IF($A179&gt;=ROWS(Entries)-2,"",IF(OFFSET('(2)出場選手'!$B$2,$A179,B$1+3*(MOD(ROWS($D$3:D179)-2,Max_Entry_Count)))="","",MOD(ROWS($D$3:D179)-2,Max_Entry_Count)))</f>
        <v/>
      </c>
      <c r="D179" s="26" t="str">
        <f ca="1">IF(OR($A179&gt;=ROWS(Entries)-2,$B179=""),"",'(1)鑑'!$E$6&amp;"-"&amp;OFFSET('(2)出場選手'!$B$2,$A179,D$1))</f>
        <v/>
      </c>
      <c r="E179" s="26" t="str">
        <f ca="1">IF($D179="","",OFFSET('(2)出場選手'!$B$2,$A179,E$1))</f>
        <v/>
      </c>
      <c r="F179" s="26" t="str">
        <f ca="1">IF($D179="","",IF(OFFSET('(2)出場選手'!$B$2,$A179,F$1)="","",OFFSET('(2)出場選手'!$B$2,$A179,F$1)))</f>
        <v/>
      </c>
      <c r="G179" s="26" t="str">
        <f t="shared" ca="1" si="12"/>
        <v/>
      </c>
      <c r="H179" s="26" t="str">
        <f t="shared" ca="1" si="13"/>
        <v/>
      </c>
      <c r="I179" s="26" t="str">
        <f ca="1">IF($D179="","",IF(OFFSET('(2)出場選手'!$B$2,$A179,I$1)="","",OFFSET('(2)出場選手'!$B$2,$A179,I$1)))</f>
        <v/>
      </c>
      <c r="J179" s="26" t="str">
        <f ca="1">IF($D179="","",IF(OFFSET('(2)出場選手'!$B$2,$A179,J$1)="",'(1)鑑'!$E$6,OFFSET('(2)出場選手'!$B$2,$A179,J$1)))</f>
        <v/>
      </c>
      <c r="K179" s="26" t="str">
        <f ca="1">IF($D179="","",TRIM(ASC(IF(OFFSET('(2)出場選手'!$B$2,$A179,K$1)="",'(1)鑑'!$E$7,OFFSET('(2)出場選手'!$B$2,$A179,K$1)))))</f>
        <v/>
      </c>
      <c r="L179" s="26" t="str">
        <f ca="1">IF($D179="","",SUBSTITUTE(SUBSTITUTE(SUBSTITUTE(IF(OFFSET('(2)出場選手'!$B$2,$A179,L$1)="",'(1)鑑'!$E$8,OFFSET('(2)出場選手'!$B$2,$A179,L$1)),"県",""),"府",""),"東京都","東京"))</f>
        <v/>
      </c>
      <c r="M179" s="57" t="str">
        <f ca="1">IF($D179="","",IF(OFFSET('(2)出場選手'!$B$2,$A179,M$1)="","",OFFSET('(2)出場選手'!$B$2,$A179,M$1)))</f>
        <v/>
      </c>
      <c r="N179" s="26" t="str">
        <f ca="1">IF($D179="","",OFFSET('(2)出場選手'!$B$2,$A179,N$1+3*$B179))</f>
        <v/>
      </c>
      <c r="O179" s="26" t="str">
        <f ca="1">IF($D179="","",IF(OFFSET('(2)出場選手'!$B$2,$A179,O$1+3*$B179)="","",OFFSET('(2)出場選手'!$B$2,$A179,O$1+3*$B179)))</f>
        <v/>
      </c>
      <c r="P179" s="26" t="str">
        <f ca="1">IF($D179="","",IF(OFFSET('(2)出場選手'!$B$2,$A179,P$1+3*$B179)="","",OFFSET('(2)出場選手'!$B$2,$A179,P$1+3*$B179)))</f>
        <v/>
      </c>
      <c r="Q179" s="43" t="str">
        <f ca="1">IF(D179="","",VLOOKUP(N179,OFFSET(Competition_Events,0,1),11,FALSE)*IF($S179="リレー",IF(COUNTIF($T$3:$T179,$T179)&gt;1,0,1),1))</f>
        <v/>
      </c>
      <c r="R179" s="26" t="str">
        <f t="shared" ca="1" si="14"/>
        <v/>
      </c>
      <c r="S179" s="26" t="str">
        <f t="shared" ca="1" si="15"/>
        <v/>
      </c>
      <c r="T179" s="26" t="str">
        <f t="shared" ca="1" si="16"/>
        <v/>
      </c>
      <c r="U179" s="26" t="str">
        <f t="shared" ca="1" si="17"/>
        <v/>
      </c>
      <c r="W179" s="17" t="str">
        <f ca="1">IF($D179="","",OFFSET('(2)出場選手'!$B$2,$A179,W$1))</f>
        <v/>
      </c>
      <c r="X179" s="17" t="str">
        <f ca="1">IF($D179="","",OFFSET('(2)出場選手'!$B$2,$A179,X$1))</f>
        <v/>
      </c>
      <c r="Y179" s="17" t="str">
        <f ca="1">IF($D179="","",OFFSET('(2)出場選手'!$B$2,$A179,Y$1))</f>
        <v/>
      </c>
      <c r="Z179" s="17" t="str">
        <f ca="1">IF($D179="","",OFFSET('(2)出場選手'!$B$2,$A179,Z$1))</f>
        <v/>
      </c>
    </row>
    <row r="180" spans="1:26" x14ac:dyDescent="0.15">
      <c r="A180" s="17">
        <f>TRUNC((ROWS($D$3:D180)-2)/Max_Entry_Count)+1</f>
        <v>59</v>
      </c>
      <c r="B180" s="17" t="str">
        <f ca="1">IF($A180&gt;=ROWS(Entries)-2,"",IF(OFFSET('(2)出場選手'!$B$2,$A180,B$1+3*(MOD(ROWS($D$3:D180)-2,Max_Entry_Count)))="","",MOD(ROWS($D$3:D180)-2,Max_Entry_Count)))</f>
        <v/>
      </c>
      <c r="D180" s="26" t="str">
        <f ca="1">IF(OR($A180&gt;=ROWS(Entries)-2,$B180=""),"",'(1)鑑'!$E$6&amp;"-"&amp;OFFSET('(2)出場選手'!$B$2,$A180,D$1))</f>
        <v/>
      </c>
      <c r="E180" s="26" t="str">
        <f ca="1">IF($D180="","",OFFSET('(2)出場選手'!$B$2,$A180,E$1))</f>
        <v/>
      </c>
      <c r="F180" s="26" t="str">
        <f ca="1">IF($D180="","",IF(OFFSET('(2)出場選手'!$B$2,$A180,F$1)="","",OFFSET('(2)出場選手'!$B$2,$A180,F$1)))</f>
        <v/>
      </c>
      <c r="G180" s="26" t="str">
        <f t="shared" ca="1" si="12"/>
        <v/>
      </c>
      <c r="H180" s="26" t="str">
        <f t="shared" ca="1" si="13"/>
        <v/>
      </c>
      <c r="I180" s="26" t="str">
        <f ca="1">IF($D180="","",IF(OFFSET('(2)出場選手'!$B$2,$A180,I$1)="","",OFFSET('(2)出場選手'!$B$2,$A180,I$1)))</f>
        <v/>
      </c>
      <c r="J180" s="26" t="str">
        <f ca="1">IF($D180="","",IF(OFFSET('(2)出場選手'!$B$2,$A180,J$1)="",'(1)鑑'!$E$6,OFFSET('(2)出場選手'!$B$2,$A180,J$1)))</f>
        <v/>
      </c>
      <c r="K180" s="26" t="str">
        <f ca="1">IF($D180="","",TRIM(ASC(IF(OFFSET('(2)出場選手'!$B$2,$A180,K$1)="",'(1)鑑'!$E$7,OFFSET('(2)出場選手'!$B$2,$A180,K$1)))))</f>
        <v/>
      </c>
      <c r="L180" s="26" t="str">
        <f ca="1">IF($D180="","",SUBSTITUTE(SUBSTITUTE(SUBSTITUTE(IF(OFFSET('(2)出場選手'!$B$2,$A180,L$1)="",'(1)鑑'!$E$8,OFFSET('(2)出場選手'!$B$2,$A180,L$1)),"県",""),"府",""),"東京都","東京"))</f>
        <v/>
      </c>
      <c r="M180" s="57" t="str">
        <f ca="1">IF($D180="","",IF(OFFSET('(2)出場選手'!$B$2,$A180,M$1)="","",OFFSET('(2)出場選手'!$B$2,$A180,M$1)))</f>
        <v/>
      </c>
      <c r="N180" s="26" t="str">
        <f ca="1">IF($D180="","",OFFSET('(2)出場選手'!$B$2,$A180,N$1+3*$B180))</f>
        <v/>
      </c>
      <c r="O180" s="26" t="str">
        <f ca="1">IF($D180="","",IF(OFFSET('(2)出場選手'!$B$2,$A180,O$1+3*$B180)="","",OFFSET('(2)出場選手'!$B$2,$A180,O$1+3*$B180)))</f>
        <v/>
      </c>
      <c r="P180" s="26" t="str">
        <f ca="1">IF($D180="","",IF(OFFSET('(2)出場選手'!$B$2,$A180,P$1+3*$B180)="","",OFFSET('(2)出場選手'!$B$2,$A180,P$1+3*$B180)))</f>
        <v/>
      </c>
      <c r="Q180" s="43" t="str">
        <f ca="1">IF(D180="","",VLOOKUP(N180,OFFSET(Competition_Events,0,1),11,FALSE)*IF($S180="リレー",IF(COUNTIF($T$3:$T180,$T180)&gt;1,0,1),1))</f>
        <v/>
      </c>
      <c r="R180" s="26" t="str">
        <f t="shared" ca="1" si="14"/>
        <v/>
      </c>
      <c r="S180" s="26" t="str">
        <f t="shared" ca="1" si="15"/>
        <v/>
      </c>
      <c r="T180" s="26" t="str">
        <f t="shared" ca="1" si="16"/>
        <v/>
      </c>
      <c r="U180" s="26" t="str">
        <f t="shared" ca="1" si="17"/>
        <v/>
      </c>
      <c r="W180" s="17" t="str">
        <f ca="1">IF($D180="","",OFFSET('(2)出場選手'!$B$2,$A180,W$1))</f>
        <v/>
      </c>
      <c r="X180" s="17" t="str">
        <f ca="1">IF($D180="","",OFFSET('(2)出場選手'!$B$2,$A180,X$1))</f>
        <v/>
      </c>
      <c r="Y180" s="17" t="str">
        <f ca="1">IF($D180="","",OFFSET('(2)出場選手'!$B$2,$A180,Y$1))</f>
        <v/>
      </c>
      <c r="Z180" s="17" t="str">
        <f ca="1">IF($D180="","",OFFSET('(2)出場選手'!$B$2,$A180,Z$1))</f>
        <v/>
      </c>
    </row>
    <row r="181" spans="1:26" x14ac:dyDescent="0.15">
      <c r="A181" s="17">
        <f>TRUNC((ROWS($D$3:D181)-2)/Max_Entry_Count)+1</f>
        <v>60</v>
      </c>
      <c r="B181" s="17" t="str">
        <f ca="1">IF($A181&gt;=ROWS(Entries)-2,"",IF(OFFSET('(2)出場選手'!$B$2,$A181,B$1+3*(MOD(ROWS($D$3:D181)-2,Max_Entry_Count)))="","",MOD(ROWS($D$3:D181)-2,Max_Entry_Count)))</f>
        <v/>
      </c>
      <c r="D181" s="26" t="str">
        <f ca="1">IF(OR($A181&gt;=ROWS(Entries)-2,$B181=""),"",'(1)鑑'!$E$6&amp;"-"&amp;OFFSET('(2)出場選手'!$B$2,$A181,D$1))</f>
        <v/>
      </c>
      <c r="E181" s="26" t="str">
        <f ca="1">IF($D181="","",OFFSET('(2)出場選手'!$B$2,$A181,E$1))</f>
        <v/>
      </c>
      <c r="F181" s="26" t="str">
        <f ca="1">IF($D181="","",IF(OFFSET('(2)出場選手'!$B$2,$A181,F$1)="","",OFFSET('(2)出場選手'!$B$2,$A181,F$1)))</f>
        <v/>
      </c>
      <c r="G181" s="26" t="str">
        <f t="shared" ca="1" si="12"/>
        <v/>
      </c>
      <c r="H181" s="26" t="str">
        <f t="shared" ca="1" si="13"/>
        <v/>
      </c>
      <c r="I181" s="26" t="str">
        <f ca="1">IF($D181="","",IF(OFFSET('(2)出場選手'!$B$2,$A181,I$1)="","",OFFSET('(2)出場選手'!$B$2,$A181,I$1)))</f>
        <v/>
      </c>
      <c r="J181" s="26" t="str">
        <f ca="1">IF($D181="","",IF(OFFSET('(2)出場選手'!$B$2,$A181,J$1)="",'(1)鑑'!$E$6,OFFSET('(2)出場選手'!$B$2,$A181,J$1)))</f>
        <v/>
      </c>
      <c r="K181" s="26" t="str">
        <f ca="1">IF($D181="","",TRIM(ASC(IF(OFFSET('(2)出場選手'!$B$2,$A181,K$1)="",'(1)鑑'!$E$7,OFFSET('(2)出場選手'!$B$2,$A181,K$1)))))</f>
        <v/>
      </c>
      <c r="L181" s="26" t="str">
        <f ca="1">IF($D181="","",SUBSTITUTE(SUBSTITUTE(SUBSTITUTE(IF(OFFSET('(2)出場選手'!$B$2,$A181,L$1)="",'(1)鑑'!$E$8,OFFSET('(2)出場選手'!$B$2,$A181,L$1)),"県",""),"府",""),"東京都","東京"))</f>
        <v/>
      </c>
      <c r="M181" s="57" t="str">
        <f ca="1">IF($D181="","",IF(OFFSET('(2)出場選手'!$B$2,$A181,M$1)="","",OFFSET('(2)出場選手'!$B$2,$A181,M$1)))</f>
        <v/>
      </c>
      <c r="N181" s="26" t="str">
        <f ca="1">IF($D181="","",OFFSET('(2)出場選手'!$B$2,$A181,N$1+3*$B181))</f>
        <v/>
      </c>
      <c r="O181" s="26" t="str">
        <f ca="1">IF($D181="","",IF(OFFSET('(2)出場選手'!$B$2,$A181,O$1+3*$B181)="","",OFFSET('(2)出場選手'!$B$2,$A181,O$1+3*$B181)))</f>
        <v/>
      </c>
      <c r="P181" s="26" t="str">
        <f ca="1">IF($D181="","",IF(OFFSET('(2)出場選手'!$B$2,$A181,P$1+3*$B181)="","",OFFSET('(2)出場選手'!$B$2,$A181,P$1+3*$B181)))</f>
        <v/>
      </c>
      <c r="Q181" s="43" t="str">
        <f ca="1">IF(D181="","",VLOOKUP(N181,OFFSET(Competition_Events,0,1),11,FALSE)*IF($S181="リレー",IF(COUNTIF($T$3:$T181,$T181)&gt;1,0,1),1))</f>
        <v/>
      </c>
      <c r="R181" s="26" t="str">
        <f t="shared" ca="1" si="14"/>
        <v/>
      </c>
      <c r="S181" s="26" t="str">
        <f t="shared" ca="1" si="15"/>
        <v/>
      </c>
      <c r="T181" s="26" t="str">
        <f t="shared" ca="1" si="16"/>
        <v/>
      </c>
      <c r="U181" s="26" t="str">
        <f t="shared" ca="1" si="17"/>
        <v/>
      </c>
      <c r="W181" s="17" t="str">
        <f ca="1">IF($D181="","",OFFSET('(2)出場選手'!$B$2,$A181,W$1))</f>
        <v/>
      </c>
      <c r="X181" s="17" t="str">
        <f ca="1">IF($D181="","",OFFSET('(2)出場選手'!$B$2,$A181,X$1))</f>
        <v/>
      </c>
      <c r="Y181" s="17" t="str">
        <f ca="1">IF($D181="","",OFFSET('(2)出場選手'!$B$2,$A181,Y$1))</f>
        <v/>
      </c>
      <c r="Z181" s="17" t="str">
        <f ca="1">IF($D181="","",OFFSET('(2)出場選手'!$B$2,$A181,Z$1))</f>
        <v/>
      </c>
    </row>
    <row r="182" spans="1:26" x14ac:dyDescent="0.15">
      <c r="A182" s="17">
        <f>TRUNC((ROWS($D$3:D182)-2)/Max_Entry_Count)+1</f>
        <v>60</v>
      </c>
      <c r="B182" s="17" t="str">
        <f ca="1">IF($A182&gt;=ROWS(Entries)-2,"",IF(OFFSET('(2)出場選手'!$B$2,$A182,B$1+3*(MOD(ROWS($D$3:D182)-2,Max_Entry_Count)))="","",MOD(ROWS($D$3:D182)-2,Max_Entry_Count)))</f>
        <v/>
      </c>
      <c r="D182" s="26" t="str">
        <f ca="1">IF(OR($A182&gt;=ROWS(Entries)-2,$B182=""),"",'(1)鑑'!$E$6&amp;"-"&amp;OFFSET('(2)出場選手'!$B$2,$A182,D$1))</f>
        <v/>
      </c>
      <c r="E182" s="26" t="str">
        <f ca="1">IF($D182="","",OFFSET('(2)出場選手'!$B$2,$A182,E$1))</f>
        <v/>
      </c>
      <c r="F182" s="26" t="str">
        <f ca="1">IF($D182="","",IF(OFFSET('(2)出場選手'!$B$2,$A182,F$1)="","",OFFSET('(2)出場選手'!$B$2,$A182,F$1)))</f>
        <v/>
      </c>
      <c r="G182" s="26" t="str">
        <f t="shared" ca="1" si="12"/>
        <v/>
      </c>
      <c r="H182" s="26" t="str">
        <f t="shared" ca="1" si="13"/>
        <v/>
      </c>
      <c r="I182" s="26" t="str">
        <f ca="1">IF($D182="","",IF(OFFSET('(2)出場選手'!$B$2,$A182,I$1)="","",OFFSET('(2)出場選手'!$B$2,$A182,I$1)))</f>
        <v/>
      </c>
      <c r="J182" s="26" t="str">
        <f ca="1">IF($D182="","",IF(OFFSET('(2)出場選手'!$B$2,$A182,J$1)="",'(1)鑑'!$E$6,OFFSET('(2)出場選手'!$B$2,$A182,J$1)))</f>
        <v/>
      </c>
      <c r="K182" s="26" t="str">
        <f ca="1">IF($D182="","",TRIM(ASC(IF(OFFSET('(2)出場選手'!$B$2,$A182,K$1)="",'(1)鑑'!$E$7,OFFSET('(2)出場選手'!$B$2,$A182,K$1)))))</f>
        <v/>
      </c>
      <c r="L182" s="26" t="str">
        <f ca="1">IF($D182="","",SUBSTITUTE(SUBSTITUTE(SUBSTITUTE(IF(OFFSET('(2)出場選手'!$B$2,$A182,L$1)="",'(1)鑑'!$E$8,OFFSET('(2)出場選手'!$B$2,$A182,L$1)),"県",""),"府",""),"東京都","東京"))</f>
        <v/>
      </c>
      <c r="M182" s="57" t="str">
        <f ca="1">IF($D182="","",IF(OFFSET('(2)出場選手'!$B$2,$A182,M$1)="","",OFFSET('(2)出場選手'!$B$2,$A182,M$1)))</f>
        <v/>
      </c>
      <c r="N182" s="26" t="str">
        <f ca="1">IF($D182="","",OFFSET('(2)出場選手'!$B$2,$A182,N$1+3*$B182))</f>
        <v/>
      </c>
      <c r="O182" s="26" t="str">
        <f ca="1">IF($D182="","",IF(OFFSET('(2)出場選手'!$B$2,$A182,O$1+3*$B182)="","",OFFSET('(2)出場選手'!$B$2,$A182,O$1+3*$B182)))</f>
        <v/>
      </c>
      <c r="P182" s="26" t="str">
        <f ca="1">IF($D182="","",IF(OFFSET('(2)出場選手'!$B$2,$A182,P$1+3*$B182)="","",OFFSET('(2)出場選手'!$B$2,$A182,P$1+3*$B182)))</f>
        <v/>
      </c>
      <c r="Q182" s="43" t="str">
        <f ca="1">IF(D182="","",VLOOKUP(N182,OFFSET(Competition_Events,0,1),11,FALSE)*IF($S182="リレー",IF(COUNTIF($T$3:$T182,$T182)&gt;1,0,1),1))</f>
        <v/>
      </c>
      <c r="R182" s="26" t="str">
        <f t="shared" ca="1" si="14"/>
        <v/>
      </c>
      <c r="S182" s="26" t="str">
        <f t="shared" ca="1" si="15"/>
        <v/>
      </c>
      <c r="T182" s="26" t="str">
        <f t="shared" ca="1" si="16"/>
        <v/>
      </c>
      <c r="U182" s="26" t="str">
        <f t="shared" ca="1" si="17"/>
        <v/>
      </c>
      <c r="W182" s="17" t="str">
        <f ca="1">IF($D182="","",OFFSET('(2)出場選手'!$B$2,$A182,W$1))</f>
        <v/>
      </c>
      <c r="X182" s="17" t="str">
        <f ca="1">IF($D182="","",OFFSET('(2)出場選手'!$B$2,$A182,X$1))</f>
        <v/>
      </c>
      <c r="Y182" s="17" t="str">
        <f ca="1">IF($D182="","",OFFSET('(2)出場選手'!$B$2,$A182,Y$1))</f>
        <v/>
      </c>
      <c r="Z182" s="17" t="str">
        <f ca="1">IF($D182="","",OFFSET('(2)出場選手'!$B$2,$A182,Z$1))</f>
        <v/>
      </c>
    </row>
    <row r="183" spans="1:26" x14ac:dyDescent="0.15">
      <c r="A183" s="17">
        <f>TRUNC((ROWS($D$3:D183)-2)/Max_Entry_Count)+1</f>
        <v>60</v>
      </c>
      <c r="B183" s="17" t="str">
        <f ca="1">IF($A183&gt;=ROWS(Entries)-2,"",IF(OFFSET('(2)出場選手'!$B$2,$A183,B$1+3*(MOD(ROWS($D$3:D183)-2,Max_Entry_Count)))="","",MOD(ROWS($D$3:D183)-2,Max_Entry_Count)))</f>
        <v/>
      </c>
      <c r="D183" s="26" t="str">
        <f ca="1">IF(OR($A183&gt;=ROWS(Entries)-2,$B183=""),"",'(1)鑑'!$E$6&amp;"-"&amp;OFFSET('(2)出場選手'!$B$2,$A183,D$1))</f>
        <v/>
      </c>
      <c r="E183" s="26" t="str">
        <f ca="1">IF($D183="","",OFFSET('(2)出場選手'!$B$2,$A183,E$1))</f>
        <v/>
      </c>
      <c r="F183" s="26" t="str">
        <f ca="1">IF($D183="","",IF(OFFSET('(2)出場選手'!$B$2,$A183,F$1)="","",OFFSET('(2)出場選手'!$B$2,$A183,F$1)))</f>
        <v/>
      </c>
      <c r="G183" s="26" t="str">
        <f t="shared" ca="1" si="12"/>
        <v/>
      </c>
      <c r="H183" s="26" t="str">
        <f t="shared" ca="1" si="13"/>
        <v/>
      </c>
      <c r="I183" s="26" t="str">
        <f ca="1">IF($D183="","",IF(OFFSET('(2)出場選手'!$B$2,$A183,I$1)="","",OFFSET('(2)出場選手'!$B$2,$A183,I$1)))</f>
        <v/>
      </c>
      <c r="J183" s="26" t="str">
        <f ca="1">IF($D183="","",IF(OFFSET('(2)出場選手'!$B$2,$A183,J$1)="",'(1)鑑'!$E$6,OFFSET('(2)出場選手'!$B$2,$A183,J$1)))</f>
        <v/>
      </c>
      <c r="K183" s="26" t="str">
        <f ca="1">IF($D183="","",TRIM(ASC(IF(OFFSET('(2)出場選手'!$B$2,$A183,K$1)="",'(1)鑑'!$E$7,OFFSET('(2)出場選手'!$B$2,$A183,K$1)))))</f>
        <v/>
      </c>
      <c r="L183" s="26" t="str">
        <f ca="1">IF($D183="","",SUBSTITUTE(SUBSTITUTE(SUBSTITUTE(IF(OFFSET('(2)出場選手'!$B$2,$A183,L$1)="",'(1)鑑'!$E$8,OFFSET('(2)出場選手'!$B$2,$A183,L$1)),"県",""),"府",""),"東京都","東京"))</f>
        <v/>
      </c>
      <c r="M183" s="57" t="str">
        <f ca="1">IF($D183="","",IF(OFFSET('(2)出場選手'!$B$2,$A183,M$1)="","",OFFSET('(2)出場選手'!$B$2,$A183,M$1)))</f>
        <v/>
      </c>
      <c r="N183" s="26" t="str">
        <f ca="1">IF($D183="","",OFFSET('(2)出場選手'!$B$2,$A183,N$1+3*$B183))</f>
        <v/>
      </c>
      <c r="O183" s="26" t="str">
        <f ca="1">IF($D183="","",IF(OFFSET('(2)出場選手'!$B$2,$A183,O$1+3*$B183)="","",OFFSET('(2)出場選手'!$B$2,$A183,O$1+3*$B183)))</f>
        <v/>
      </c>
      <c r="P183" s="26" t="str">
        <f ca="1">IF($D183="","",IF(OFFSET('(2)出場選手'!$B$2,$A183,P$1+3*$B183)="","",OFFSET('(2)出場選手'!$B$2,$A183,P$1+3*$B183)))</f>
        <v/>
      </c>
      <c r="Q183" s="43" t="str">
        <f ca="1">IF(D183="","",VLOOKUP(N183,OFFSET(Competition_Events,0,1),11,FALSE)*IF($S183="リレー",IF(COUNTIF($T$3:$T183,$T183)&gt;1,0,1),1))</f>
        <v/>
      </c>
      <c r="R183" s="26" t="str">
        <f t="shared" ca="1" si="14"/>
        <v/>
      </c>
      <c r="S183" s="26" t="str">
        <f t="shared" ca="1" si="15"/>
        <v/>
      </c>
      <c r="T183" s="26" t="str">
        <f t="shared" ca="1" si="16"/>
        <v/>
      </c>
      <c r="U183" s="26" t="str">
        <f t="shared" ca="1" si="17"/>
        <v/>
      </c>
      <c r="W183" s="17" t="str">
        <f ca="1">IF($D183="","",OFFSET('(2)出場選手'!$B$2,$A183,W$1))</f>
        <v/>
      </c>
      <c r="X183" s="17" t="str">
        <f ca="1">IF($D183="","",OFFSET('(2)出場選手'!$B$2,$A183,X$1))</f>
        <v/>
      </c>
      <c r="Y183" s="17" t="str">
        <f ca="1">IF($D183="","",OFFSET('(2)出場選手'!$B$2,$A183,Y$1))</f>
        <v/>
      </c>
      <c r="Z183" s="17" t="str">
        <f ca="1">IF($D183="","",OFFSET('(2)出場選手'!$B$2,$A183,Z$1))</f>
        <v/>
      </c>
    </row>
    <row r="184" spans="1:26" x14ac:dyDescent="0.15">
      <c r="A184" s="17">
        <f>TRUNC((ROWS($D$3:D184)-2)/Max_Entry_Count)+1</f>
        <v>61</v>
      </c>
      <c r="B184" s="17" t="str">
        <f ca="1">IF($A184&gt;=ROWS(Entries)-2,"",IF(OFFSET('(2)出場選手'!$B$2,$A184,B$1+3*(MOD(ROWS($D$3:D184)-2,Max_Entry_Count)))="","",MOD(ROWS($D$3:D184)-2,Max_Entry_Count)))</f>
        <v/>
      </c>
      <c r="D184" s="26" t="str">
        <f ca="1">IF(OR($A184&gt;=ROWS(Entries)-2,$B184=""),"",'(1)鑑'!$E$6&amp;"-"&amp;OFFSET('(2)出場選手'!$B$2,$A184,D$1))</f>
        <v/>
      </c>
      <c r="E184" s="26" t="str">
        <f ca="1">IF($D184="","",OFFSET('(2)出場選手'!$B$2,$A184,E$1))</f>
        <v/>
      </c>
      <c r="F184" s="26" t="str">
        <f ca="1">IF($D184="","",IF(OFFSET('(2)出場選手'!$B$2,$A184,F$1)="","",OFFSET('(2)出場選手'!$B$2,$A184,F$1)))</f>
        <v/>
      </c>
      <c r="G184" s="26" t="str">
        <f t="shared" ca="1" si="12"/>
        <v/>
      </c>
      <c r="H184" s="26" t="str">
        <f t="shared" ca="1" si="13"/>
        <v/>
      </c>
      <c r="I184" s="26" t="str">
        <f ca="1">IF($D184="","",IF(OFFSET('(2)出場選手'!$B$2,$A184,I$1)="","",OFFSET('(2)出場選手'!$B$2,$A184,I$1)))</f>
        <v/>
      </c>
      <c r="J184" s="26" t="str">
        <f ca="1">IF($D184="","",IF(OFFSET('(2)出場選手'!$B$2,$A184,J$1)="",'(1)鑑'!$E$6,OFFSET('(2)出場選手'!$B$2,$A184,J$1)))</f>
        <v/>
      </c>
      <c r="K184" s="26" t="str">
        <f ca="1">IF($D184="","",TRIM(ASC(IF(OFFSET('(2)出場選手'!$B$2,$A184,K$1)="",'(1)鑑'!$E$7,OFFSET('(2)出場選手'!$B$2,$A184,K$1)))))</f>
        <v/>
      </c>
      <c r="L184" s="26" t="str">
        <f ca="1">IF($D184="","",SUBSTITUTE(SUBSTITUTE(SUBSTITUTE(IF(OFFSET('(2)出場選手'!$B$2,$A184,L$1)="",'(1)鑑'!$E$8,OFFSET('(2)出場選手'!$B$2,$A184,L$1)),"県",""),"府",""),"東京都","東京"))</f>
        <v/>
      </c>
      <c r="M184" s="57" t="str">
        <f ca="1">IF($D184="","",IF(OFFSET('(2)出場選手'!$B$2,$A184,M$1)="","",OFFSET('(2)出場選手'!$B$2,$A184,M$1)))</f>
        <v/>
      </c>
      <c r="N184" s="26" t="str">
        <f ca="1">IF($D184="","",OFFSET('(2)出場選手'!$B$2,$A184,N$1+3*$B184))</f>
        <v/>
      </c>
      <c r="O184" s="26" t="str">
        <f ca="1">IF($D184="","",IF(OFFSET('(2)出場選手'!$B$2,$A184,O$1+3*$B184)="","",OFFSET('(2)出場選手'!$B$2,$A184,O$1+3*$B184)))</f>
        <v/>
      </c>
      <c r="P184" s="26" t="str">
        <f ca="1">IF($D184="","",IF(OFFSET('(2)出場選手'!$B$2,$A184,P$1+3*$B184)="","",OFFSET('(2)出場選手'!$B$2,$A184,P$1+3*$B184)))</f>
        <v/>
      </c>
      <c r="Q184" s="43" t="str">
        <f ca="1">IF(D184="","",VLOOKUP(N184,OFFSET(Competition_Events,0,1),11,FALSE)*IF($S184="リレー",IF(COUNTIF($T$3:$T184,$T184)&gt;1,0,1),1))</f>
        <v/>
      </c>
      <c r="R184" s="26" t="str">
        <f t="shared" ca="1" si="14"/>
        <v/>
      </c>
      <c r="S184" s="26" t="str">
        <f t="shared" ca="1" si="15"/>
        <v/>
      </c>
      <c r="T184" s="26" t="str">
        <f t="shared" ca="1" si="16"/>
        <v/>
      </c>
      <c r="U184" s="26" t="str">
        <f t="shared" ca="1" si="17"/>
        <v/>
      </c>
      <c r="W184" s="17" t="str">
        <f ca="1">IF($D184="","",OFFSET('(2)出場選手'!$B$2,$A184,W$1))</f>
        <v/>
      </c>
      <c r="X184" s="17" t="str">
        <f ca="1">IF($D184="","",OFFSET('(2)出場選手'!$B$2,$A184,X$1))</f>
        <v/>
      </c>
      <c r="Y184" s="17" t="str">
        <f ca="1">IF($D184="","",OFFSET('(2)出場選手'!$B$2,$A184,Y$1))</f>
        <v/>
      </c>
      <c r="Z184" s="17" t="str">
        <f ca="1">IF($D184="","",OFFSET('(2)出場選手'!$B$2,$A184,Z$1))</f>
        <v/>
      </c>
    </row>
    <row r="185" spans="1:26" x14ac:dyDescent="0.15">
      <c r="A185" s="17">
        <f>TRUNC((ROWS($D$3:D185)-2)/Max_Entry_Count)+1</f>
        <v>61</v>
      </c>
      <c r="B185" s="17" t="str">
        <f ca="1">IF($A185&gt;=ROWS(Entries)-2,"",IF(OFFSET('(2)出場選手'!$B$2,$A185,B$1+3*(MOD(ROWS($D$3:D185)-2,Max_Entry_Count)))="","",MOD(ROWS($D$3:D185)-2,Max_Entry_Count)))</f>
        <v/>
      </c>
      <c r="D185" s="26" t="str">
        <f ca="1">IF(OR($A185&gt;=ROWS(Entries)-2,$B185=""),"",'(1)鑑'!$E$6&amp;"-"&amp;OFFSET('(2)出場選手'!$B$2,$A185,D$1))</f>
        <v/>
      </c>
      <c r="E185" s="26" t="str">
        <f ca="1">IF($D185="","",OFFSET('(2)出場選手'!$B$2,$A185,E$1))</f>
        <v/>
      </c>
      <c r="F185" s="26" t="str">
        <f ca="1">IF($D185="","",IF(OFFSET('(2)出場選手'!$B$2,$A185,F$1)="","",OFFSET('(2)出場選手'!$B$2,$A185,F$1)))</f>
        <v/>
      </c>
      <c r="G185" s="26" t="str">
        <f t="shared" ca="1" si="12"/>
        <v/>
      </c>
      <c r="H185" s="26" t="str">
        <f t="shared" ca="1" si="13"/>
        <v/>
      </c>
      <c r="I185" s="26" t="str">
        <f ca="1">IF($D185="","",IF(OFFSET('(2)出場選手'!$B$2,$A185,I$1)="","",OFFSET('(2)出場選手'!$B$2,$A185,I$1)))</f>
        <v/>
      </c>
      <c r="J185" s="26" t="str">
        <f ca="1">IF($D185="","",IF(OFFSET('(2)出場選手'!$B$2,$A185,J$1)="",'(1)鑑'!$E$6,OFFSET('(2)出場選手'!$B$2,$A185,J$1)))</f>
        <v/>
      </c>
      <c r="K185" s="26" t="str">
        <f ca="1">IF($D185="","",TRIM(ASC(IF(OFFSET('(2)出場選手'!$B$2,$A185,K$1)="",'(1)鑑'!$E$7,OFFSET('(2)出場選手'!$B$2,$A185,K$1)))))</f>
        <v/>
      </c>
      <c r="L185" s="26" t="str">
        <f ca="1">IF($D185="","",SUBSTITUTE(SUBSTITUTE(SUBSTITUTE(IF(OFFSET('(2)出場選手'!$B$2,$A185,L$1)="",'(1)鑑'!$E$8,OFFSET('(2)出場選手'!$B$2,$A185,L$1)),"県",""),"府",""),"東京都","東京"))</f>
        <v/>
      </c>
      <c r="M185" s="57" t="str">
        <f ca="1">IF($D185="","",IF(OFFSET('(2)出場選手'!$B$2,$A185,M$1)="","",OFFSET('(2)出場選手'!$B$2,$A185,M$1)))</f>
        <v/>
      </c>
      <c r="N185" s="26" t="str">
        <f ca="1">IF($D185="","",OFFSET('(2)出場選手'!$B$2,$A185,N$1+3*$B185))</f>
        <v/>
      </c>
      <c r="O185" s="26" t="str">
        <f ca="1">IF($D185="","",IF(OFFSET('(2)出場選手'!$B$2,$A185,O$1+3*$B185)="","",OFFSET('(2)出場選手'!$B$2,$A185,O$1+3*$B185)))</f>
        <v/>
      </c>
      <c r="P185" s="26" t="str">
        <f ca="1">IF($D185="","",IF(OFFSET('(2)出場選手'!$B$2,$A185,P$1+3*$B185)="","",OFFSET('(2)出場選手'!$B$2,$A185,P$1+3*$B185)))</f>
        <v/>
      </c>
      <c r="Q185" s="43" t="str">
        <f ca="1">IF(D185="","",VLOOKUP(N185,OFFSET(Competition_Events,0,1),11,FALSE)*IF($S185="リレー",IF(COUNTIF($T$3:$T185,$T185)&gt;1,0,1),1))</f>
        <v/>
      </c>
      <c r="R185" s="26" t="str">
        <f t="shared" ca="1" si="14"/>
        <v/>
      </c>
      <c r="S185" s="26" t="str">
        <f t="shared" ca="1" si="15"/>
        <v/>
      </c>
      <c r="T185" s="26" t="str">
        <f t="shared" ca="1" si="16"/>
        <v/>
      </c>
      <c r="U185" s="26" t="str">
        <f t="shared" ca="1" si="17"/>
        <v/>
      </c>
      <c r="W185" s="17" t="str">
        <f ca="1">IF($D185="","",OFFSET('(2)出場選手'!$B$2,$A185,W$1))</f>
        <v/>
      </c>
      <c r="X185" s="17" t="str">
        <f ca="1">IF($D185="","",OFFSET('(2)出場選手'!$B$2,$A185,X$1))</f>
        <v/>
      </c>
      <c r="Y185" s="17" t="str">
        <f ca="1">IF($D185="","",OFFSET('(2)出場選手'!$B$2,$A185,Y$1))</f>
        <v/>
      </c>
      <c r="Z185" s="17" t="str">
        <f ca="1">IF($D185="","",OFFSET('(2)出場選手'!$B$2,$A185,Z$1))</f>
        <v/>
      </c>
    </row>
    <row r="186" spans="1:26" x14ac:dyDescent="0.15">
      <c r="A186" s="17">
        <f>TRUNC((ROWS($D$3:D186)-2)/Max_Entry_Count)+1</f>
        <v>61</v>
      </c>
      <c r="B186" s="17" t="str">
        <f ca="1">IF($A186&gt;=ROWS(Entries)-2,"",IF(OFFSET('(2)出場選手'!$B$2,$A186,B$1+3*(MOD(ROWS($D$3:D186)-2,Max_Entry_Count)))="","",MOD(ROWS($D$3:D186)-2,Max_Entry_Count)))</f>
        <v/>
      </c>
      <c r="D186" s="26" t="str">
        <f ca="1">IF(OR($A186&gt;=ROWS(Entries)-2,$B186=""),"",'(1)鑑'!$E$6&amp;"-"&amp;OFFSET('(2)出場選手'!$B$2,$A186,D$1))</f>
        <v/>
      </c>
      <c r="E186" s="26" t="str">
        <f ca="1">IF($D186="","",OFFSET('(2)出場選手'!$B$2,$A186,E$1))</f>
        <v/>
      </c>
      <c r="F186" s="26" t="str">
        <f ca="1">IF($D186="","",IF(OFFSET('(2)出場選手'!$B$2,$A186,F$1)="","",OFFSET('(2)出場選手'!$B$2,$A186,F$1)))</f>
        <v/>
      </c>
      <c r="G186" s="26" t="str">
        <f t="shared" ca="1" si="12"/>
        <v/>
      </c>
      <c r="H186" s="26" t="str">
        <f t="shared" ca="1" si="13"/>
        <v/>
      </c>
      <c r="I186" s="26" t="str">
        <f ca="1">IF($D186="","",IF(OFFSET('(2)出場選手'!$B$2,$A186,I$1)="","",OFFSET('(2)出場選手'!$B$2,$A186,I$1)))</f>
        <v/>
      </c>
      <c r="J186" s="26" t="str">
        <f ca="1">IF($D186="","",IF(OFFSET('(2)出場選手'!$B$2,$A186,J$1)="",'(1)鑑'!$E$6,OFFSET('(2)出場選手'!$B$2,$A186,J$1)))</f>
        <v/>
      </c>
      <c r="K186" s="26" t="str">
        <f ca="1">IF($D186="","",TRIM(ASC(IF(OFFSET('(2)出場選手'!$B$2,$A186,K$1)="",'(1)鑑'!$E$7,OFFSET('(2)出場選手'!$B$2,$A186,K$1)))))</f>
        <v/>
      </c>
      <c r="L186" s="26" t="str">
        <f ca="1">IF($D186="","",SUBSTITUTE(SUBSTITUTE(SUBSTITUTE(IF(OFFSET('(2)出場選手'!$B$2,$A186,L$1)="",'(1)鑑'!$E$8,OFFSET('(2)出場選手'!$B$2,$A186,L$1)),"県",""),"府",""),"東京都","東京"))</f>
        <v/>
      </c>
      <c r="M186" s="57" t="str">
        <f ca="1">IF($D186="","",IF(OFFSET('(2)出場選手'!$B$2,$A186,M$1)="","",OFFSET('(2)出場選手'!$B$2,$A186,M$1)))</f>
        <v/>
      </c>
      <c r="N186" s="26" t="str">
        <f ca="1">IF($D186="","",OFFSET('(2)出場選手'!$B$2,$A186,N$1+3*$B186))</f>
        <v/>
      </c>
      <c r="O186" s="26" t="str">
        <f ca="1">IF($D186="","",IF(OFFSET('(2)出場選手'!$B$2,$A186,O$1+3*$B186)="","",OFFSET('(2)出場選手'!$B$2,$A186,O$1+3*$B186)))</f>
        <v/>
      </c>
      <c r="P186" s="26" t="str">
        <f ca="1">IF($D186="","",IF(OFFSET('(2)出場選手'!$B$2,$A186,P$1+3*$B186)="","",OFFSET('(2)出場選手'!$B$2,$A186,P$1+3*$B186)))</f>
        <v/>
      </c>
      <c r="Q186" s="43" t="str">
        <f ca="1">IF(D186="","",VLOOKUP(N186,OFFSET(Competition_Events,0,1),11,FALSE)*IF($S186="リレー",IF(COUNTIF($T$3:$T186,$T186)&gt;1,0,1),1))</f>
        <v/>
      </c>
      <c r="R186" s="26" t="str">
        <f t="shared" ca="1" si="14"/>
        <v/>
      </c>
      <c r="S186" s="26" t="str">
        <f t="shared" ca="1" si="15"/>
        <v/>
      </c>
      <c r="T186" s="26" t="str">
        <f t="shared" ca="1" si="16"/>
        <v/>
      </c>
      <c r="U186" s="26" t="str">
        <f t="shared" ca="1" si="17"/>
        <v/>
      </c>
      <c r="W186" s="17" t="str">
        <f ca="1">IF($D186="","",OFFSET('(2)出場選手'!$B$2,$A186,W$1))</f>
        <v/>
      </c>
      <c r="X186" s="17" t="str">
        <f ca="1">IF($D186="","",OFFSET('(2)出場選手'!$B$2,$A186,X$1))</f>
        <v/>
      </c>
      <c r="Y186" s="17" t="str">
        <f ca="1">IF($D186="","",OFFSET('(2)出場選手'!$B$2,$A186,Y$1))</f>
        <v/>
      </c>
      <c r="Z186" s="17" t="str">
        <f ca="1">IF($D186="","",OFFSET('(2)出場選手'!$B$2,$A186,Z$1))</f>
        <v/>
      </c>
    </row>
    <row r="187" spans="1:26" x14ac:dyDescent="0.15">
      <c r="A187" s="17">
        <f>TRUNC((ROWS($D$3:D187)-2)/Max_Entry_Count)+1</f>
        <v>62</v>
      </c>
      <c r="B187" s="17" t="str">
        <f ca="1">IF($A187&gt;=ROWS(Entries)-2,"",IF(OFFSET('(2)出場選手'!$B$2,$A187,B$1+3*(MOD(ROWS($D$3:D187)-2,Max_Entry_Count)))="","",MOD(ROWS($D$3:D187)-2,Max_Entry_Count)))</f>
        <v/>
      </c>
      <c r="D187" s="26" t="str">
        <f ca="1">IF(OR($A187&gt;=ROWS(Entries)-2,$B187=""),"",'(1)鑑'!$E$6&amp;"-"&amp;OFFSET('(2)出場選手'!$B$2,$A187,D$1))</f>
        <v/>
      </c>
      <c r="E187" s="26" t="str">
        <f ca="1">IF($D187="","",OFFSET('(2)出場選手'!$B$2,$A187,E$1))</f>
        <v/>
      </c>
      <c r="F187" s="26" t="str">
        <f ca="1">IF($D187="","",IF(OFFSET('(2)出場選手'!$B$2,$A187,F$1)="","",OFFSET('(2)出場選手'!$B$2,$A187,F$1)))</f>
        <v/>
      </c>
      <c r="G187" s="26" t="str">
        <f t="shared" ca="1" si="12"/>
        <v/>
      </c>
      <c r="H187" s="26" t="str">
        <f t="shared" ca="1" si="13"/>
        <v/>
      </c>
      <c r="I187" s="26" t="str">
        <f ca="1">IF($D187="","",IF(OFFSET('(2)出場選手'!$B$2,$A187,I$1)="","",OFFSET('(2)出場選手'!$B$2,$A187,I$1)))</f>
        <v/>
      </c>
      <c r="J187" s="26" t="str">
        <f ca="1">IF($D187="","",IF(OFFSET('(2)出場選手'!$B$2,$A187,J$1)="",'(1)鑑'!$E$6,OFFSET('(2)出場選手'!$B$2,$A187,J$1)))</f>
        <v/>
      </c>
      <c r="K187" s="26" t="str">
        <f ca="1">IF($D187="","",TRIM(ASC(IF(OFFSET('(2)出場選手'!$B$2,$A187,K$1)="",'(1)鑑'!$E$7,OFFSET('(2)出場選手'!$B$2,$A187,K$1)))))</f>
        <v/>
      </c>
      <c r="L187" s="26" t="str">
        <f ca="1">IF($D187="","",SUBSTITUTE(SUBSTITUTE(SUBSTITUTE(IF(OFFSET('(2)出場選手'!$B$2,$A187,L$1)="",'(1)鑑'!$E$8,OFFSET('(2)出場選手'!$B$2,$A187,L$1)),"県",""),"府",""),"東京都","東京"))</f>
        <v/>
      </c>
      <c r="M187" s="57" t="str">
        <f ca="1">IF($D187="","",IF(OFFSET('(2)出場選手'!$B$2,$A187,M$1)="","",OFFSET('(2)出場選手'!$B$2,$A187,M$1)))</f>
        <v/>
      </c>
      <c r="N187" s="26" t="str">
        <f ca="1">IF($D187="","",OFFSET('(2)出場選手'!$B$2,$A187,N$1+3*$B187))</f>
        <v/>
      </c>
      <c r="O187" s="26" t="str">
        <f ca="1">IF($D187="","",IF(OFFSET('(2)出場選手'!$B$2,$A187,O$1+3*$B187)="","",OFFSET('(2)出場選手'!$B$2,$A187,O$1+3*$B187)))</f>
        <v/>
      </c>
      <c r="P187" s="26" t="str">
        <f ca="1">IF($D187="","",IF(OFFSET('(2)出場選手'!$B$2,$A187,P$1+3*$B187)="","",OFFSET('(2)出場選手'!$B$2,$A187,P$1+3*$B187)))</f>
        <v/>
      </c>
      <c r="Q187" s="43" t="str">
        <f ca="1">IF(D187="","",VLOOKUP(N187,OFFSET(Competition_Events,0,1),11,FALSE)*IF($S187="リレー",IF(COUNTIF($T$3:$T187,$T187)&gt;1,0,1),1))</f>
        <v/>
      </c>
      <c r="R187" s="26" t="str">
        <f t="shared" ca="1" si="14"/>
        <v/>
      </c>
      <c r="S187" s="26" t="str">
        <f t="shared" ca="1" si="15"/>
        <v/>
      </c>
      <c r="T187" s="26" t="str">
        <f t="shared" ca="1" si="16"/>
        <v/>
      </c>
      <c r="U187" s="26" t="str">
        <f t="shared" ca="1" si="17"/>
        <v/>
      </c>
      <c r="W187" s="17" t="str">
        <f ca="1">IF($D187="","",OFFSET('(2)出場選手'!$B$2,$A187,W$1))</f>
        <v/>
      </c>
      <c r="X187" s="17" t="str">
        <f ca="1">IF($D187="","",OFFSET('(2)出場選手'!$B$2,$A187,X$1))</f>
        <v/>
      </c>
      <c r="Y187" s="17" t="str">
        <f ca="1">IF($D187="","",OFFSET('(2)出場選手'!$B$2,$A187,Y$1))</f>
        <v/>
      </c>
      <c r="Z187" s="17" t="str">
        <f ca="1">IF($D187="","",OFFSET('(2)出場選手'!$B$2,$A187,Z$1))</f>
        <v/>
      </c>
    </row>
    <row r="188" spans="1:26" x14ac:dyDescent="0.15">
      <c r="A188" s="17">
        <f>TRUNC((ROWS($D$3:D188)-2)/Max_Entry_Count)+1</f>
        <v>62</v>
      </c>
      <c r="B188" s="17" t="str">
        <f ca="1">IF($A188&gt;=ROWS(Entries)-2,"",IF(OFFSET('(2)出場選手'!$B$2,$A188,B$1+3*(MOD(ROWS($D$3:D188)-2,Max_Entry_Count)))="","",MOD(ROWS($D$3:D188)-2,Max_Entry_Count)))</f>
        <v/>
      </c>
      <c r="D188" s="26" t="str">
        <f ca="1">IF(OR($A188&gt;=ROWS(Entries)-2,$B188=""),"",'(1)鑑'!$E$6&amp;"-"&amp;OFFSET('(2)出場選手'!$B$2,$A188,D$1))</f>
        <v/>
      </c>
      <c r="E188" s="26" t="str">
        <f ca="1">IF($D188="","",OFFSET('(2)出場選手'!$B$2,$A188,E$1))</f>
        <v/>
      </c>
      <c r="F188" s="26" t="str">
        <f ca="1">IF($D188="","",IF(OFFSET('(2)出場選手'!$B$2,$A188,F$1)="","",OFFSET('(2)出場選手'!$B$2,$A188,F$1)))</f>
        <v/>
      </c>
      <c r="G188" s="26" t="str">
        <f t="shared" ca="1" si="12"/>
        <v/>
      </c>
      <c r="H188" s="26" t="str">
        <f t="shared" ca="1" si="13"/>
        <v/>
      </c>
      <c r="I188" s="26" t="str">
        <f ca="1">IF($D188="","",IF(OFFSET('(2)出場選手'!$B$2,$A188,I$1)="","",OFFSET('(2)出場選手'!$B$2,$A188,I$1)))</f>
        <v/>
      </c>
      <c r="J188" s="26" t="str">
        <f ca="1">IF($D188="","",IF(OFFSET('(2)出場選手'!$B$2,$A188,J$1)="",'(1)鑑'!$E$6,OFFSET('(2)出場選手'!$B$2,$A188,J$1)))</f>
        <v/>
      </c>
      <c r="K188" s="26" t="str">
        <f ca="1">IF($D188="","",TRIM(ASC(IF(OFFSET('(2)出場選手'!$B$2,$A188,K$1)="",'(1)鑑'!$E$7,OFFSET('(2)出場選手'!$B$2,$A188,K$1)))))</f>
        <v/>
      </c>
      <c r="L188" s="26" t="str">
        <f ca="1">IF($D188="","",SUBSTITUTE(SUBSTITUTE(SUBSTITUTE(IF(OFFSET('(2)出場選手'!$B$2,$A188,L$1)="",'(1)鑑'!$E$8,OFFSET('(2)出場選手'!$B$2,$A188,L$1)),"県",""),"府",""),"東京都","東京"))</f>
        <v/>
      </c>
      <c r="M188" s="57" t="str">
        <f ca="1">IF($D188="","",IF(OFFSET('(2)出場選手'!$B$2,$A188,M$1)="","",OFFSET('(2)出場選手'!$B$2,$A188,M$1)))</f>
        <v/>
      </c>
      <c r="N188" s="26" t="str">
        <f ca="1">IF($D188="","",OFFSET('(2)出場選手'!$B$2,$A188,N$1+3*$B188))</f>
        <v/>
      </c>
      <c r="O188" s="26" t="str">
        <f ca="1">IF($D188="","",IF(OFFSET('(2)出場選手'!$B$2,$A188,O$1+3*$B188)="","",OFFSET('(2)出場選手'!$B$2,$A188,O$1+3*$B188)))</f>
        <v/>
      </c>
      <c r="P188" s="26" t="str">
        <f ca="1">IF($D188="","",IF(OFFSET('(2)出場選手'!$B$2,$A188,P$1+3*$B188)="","",OFFSET('(2)出場選手'!$B$2,$A188,P$1+3*$B188)))</f>
        <v/>
      </c>
      <c r="Q188" s="43" t="str">
        <f ca="1">IF(D188="","",VLOOKUP(N188,OFFSET(Competition_Events,0,1),11,FALSE)*IF($S188="リレー",IF(COUNTIF($T$3:$T188,$T188)&gt;1,0,1),1))</f>
        <v/>
      </c>
      <c r="R188" s="26" t="str">
        <f t="shared" ca="1" si="14"/>
        <v/>
      </c>
      <c r="S188" s="26" t="str">
        <f t="shared" ca="1" si="15"/>
        <v/>
      </c>
      <c r="T188" s="26" t="str">
        <f t="shared" ca="1" si="16"/>
        <v/>
      </c>
      <c r="U188" s="26" t="str">
        <f t="shared" ca="1" si="17"/>
        <v/>
      </c>
      <c r="W188" s="17" t="str">
        <f ca="1">IF($D188="","",OFFSET('(2)出場選手'!$B$2,$A188,W$1))</f>
        <v/>
      </c>
      <c r="X188" s="17" t="str">
        <f ca="1">IF($D188="","",OFFSET('(2)出場選手'!$B$2,$A188,X$1))</f>
        <v/>
      </c>
      <c r="Y188" s="17" t="str">
        <f ca="1">IF($D188="","",OFFSET('(2)出場選手'!$B$2,$A188,Y$1))</f>
        <v/>
      </c>
      <c r="Z188" s="17" t="str">
        <f ca="1">IF($D188="","",OFFSET('(2)出場選手'!$B$2,$A188,Z$1))</f>
        <v/>
      </c>
    </row>
    <row r="189" spans="1:26" x14ac:dyDescent="0.15">
      <c r="A189" s="17">
        <f>TRUNC((ROWS($D$3:D189)-2)/Max_Entry_Count)+1</f>
        <v>62</v>
      </c>
      <c r="B189" s="17" t="str">
        <f ca="1">IF($A189&gt;=ROWS(Entries)-2,"",IF(OFFSET('(2)出場選手'!$B$2,$A189,B$1+3*(MOD(ROWS($D$3:D189)-2,Max_Entry_Count)))="","",MOD(ROWS($D$3:D189)-2,Max_Entry_Count)))</f>
        <v/>
      </c>
      <c r="D189" s="26" t="str">
        <f ca="1">IF(OR($A189&gt;=ROWS(Entries)-2,$B189=""),"",'(1)鑑'!$E$6&amp;"-"&amp;OFFSET('(2)出場選手'!$B$2,$A189,D$1))</f>
        <v/>
      </c>
      <c r="E189" s="26" t="str">
        <f ca="1">IF($D189="","",OFFSET('(2)出場選手'!$B$2,$A189,E$1))</f>
        <v/>
      </c>
      <c r="F189" s="26" t="str">
        <f ca="1">IF($D189="","",IF(OFFSET('(2)出場選手'!$B$2,$A189,F$1)="","",OFFSET('(2)出場選手'!$B$2,$A189,F$1)))</f>
        <v/>
      </c>
      <c r="G189" s="26" t="str">
        <f t="shared" ca="1" si="12"/>
        <v/>
      </c>
      <c r="H189" s="26" t="str">
        <f t="shared" ca="1" si="13"/>
        <v/>
      </c>
      <c r="I189" s="26" t="str">
        <f ca="1">IF($D189="","",IF(OFFSET('(2)出場選手'!$B$2,$A189,I$1)="","",OFFSET('(2)出場選手'!$B$2,$A189,I$1)))</f>
        <v/>
      </c>
      <c r="J189" s="26" t="str">
        <f ca="1">IF($D189="","",IF(OFFSET('(2)出場選手'!$B$2,$A189,J$1)="",'(1)鑑'!$E$6,OFFSET('(2)出場選手'!$B$2,$A189,J$1)))</f>
        <v/>
      </c>
      <c r="K189" s="26" t="str">
        <f ca="1">IF($D189="","",TRIM(ASC(IF(OFFSET('(2)出場選手'!$B$2,$A189,K$1)="",'(1)鑑'!$E$7,OFFSET('(2)出場選手'!$B$2,$A189,K$1)))))</f>
        <v/>
      </c>
      <c r="L189" s="26" t="str">
        <f ca="1">IF($D189="","",SUBSTITUTE(SUBSTITUTE(SUBSTITUTE(IF(OFFSET('(2)出場選手'!$B$2,$A189,L$1)="",'(1)鑑'!$E$8,OFFSET('(2)出場選手'!$B$2,$A189,L$1)),"県",""),"府",""),"東京都","東京"))</f>
        <v/>
      </c>
      <c r="M189" s="57" t="str">
        <f ca="1">IF($D189="","",IF(OFFSET('(2)出場選手'!$B$2,$A189,M$1)="","",OFFSET('(2)出場選手'!$B$2,$A189,M$1)))</f>
        <v/>
      </c>
      <c r="N189" s="26" t="str">
        <f ca="1">IF($D189="","",OFFSET('(2)出場選手'!$B$2,$A189,N$1+3*$B189))</f>
        <v/>
      </c>
      <c r="O189" s="26" t="str">
        <f ca="1">IF($D189="","",IF(OFFSET('(2)出場選手'!$B$2,$A189,O$1+3*$B189)="","",OFFSET('(2)出場選手'!$B$2,$A189,O$1+3*$B189)))</f>
        <v/>
      </c>
      <c r="P189" s="26" t="str">
        <f ca="1">IF($D189="","",IF(OFFSET('(2)出場選手'!$B$2,$A189,P$1+3*$B189)="","",OFFSET('(2)出場選手'!$B$2,$A189,P$1+3*$B189)))</f>
        <v/>
      </c>
      <c r="Q189" s="43" t="str">
        <f ca="1">IF(D189="","",VLOOKUP(N189,OFFSET(Competition_Events,0,1),11,FALSE)*IF($S189="リレー",IF(COUNTIF($T$3:$T189,$T189)&gt;1,0,1),1))</f>
        <v/>
      </c>
      <c r="R189" s="26" t="str">
        <f t="shared" ca="1" si="14"/>
        <v/>
      </c>
      <c r="S189" s="26" t="str">
        <f t="shared" ca="1" si="15"/>
        <v/>
      </c>
      <c r="T189" s="26" t="str">
        <f t="shared" ca="1" si="16"/>
        <v/>
      </c>
      <c r="U189" s="26" t="str">
        <f t="shared" ca="1" si="17"/>
        <v/>
      </c>
      <c r="W189" s="17" t="str">
        <f ca="1">IF($D189="","",OFFSET('(2)出場選手'!$B$2,$A189,W$1))</f>
        <v/>
      </c>
      <c r="X189" s="17" t="str">
        <f ca="1">IF($D189="","",OFFSET('(2)出場選手'!$B$2,$A189,X$1))</f>
        <v/>
      </c>
      <c r="Y189" s="17" t="str">
        <f ca="1">IF($D189="","",OFFSET('(2)出場選手'!$B$2,$A189,Y$1))</f>
        <v/>
      </c>
      <c r="Z189" s="17" t="str">
        <f ca="1">IF($D189="","",OFFSET('(2)出場選手'!$B$2,$A189,Z$1))</f>
        <v/>
      </c>
    </row>
    <row r="190" spans="1:26" x14ac:dyDescent="0.15">
      <c r="A190" s="17">
        <f>TRUNC((ROWS($D$3:D190)-2)/Max_Entry_Count)+1</f>
        <v>63</v>
      </c>
      <c r="B190" s="17" t="str">
        <f ca="1">IF($A190&gt;=ROWS(Entries)-2,"",IF(OFFSET('(2)出場選手'!$B$2,$A190,B$1+3*(MOD(ROWS($D$3:D190)-2,Max_Entry_Count)))="","",MOD(ROWS($D$3:D190)-2,Max_Entry_Count)))</f>
        <v/>
      </c>
      <c r="D190" s="26" t="str">
        <f ca="1">IF(OR($A190&gt;=ROWS(Entries)-2,$B190=""),"",'(1)鑑'!$E$6&amp;"-"&amp;OFFSET('(2)出場選手'!$B$2,$A190,D$1))</f>
        <v/>
      </c>
      <c r="E190" s="26" t="str">
        <f ca="1">IF($D190="","",OFFSET('(2)出場選手'!$B$2,$A190,E$1))</f>
        <v/>
      </c>
      <c r="F190" s="26" t="str">
        <f ca="1">IF($D190="","",IF(OFFSET('(2)出場選手'!$B$2,$A190,F$1)="","",OFFSET('(2)出場選手'!$B$2,$A190,F$1)))</f>
        <v/>
      </c>
      <c r="G190" s="26" t="str">
        <f t="shared" ca="1" si="12"/>
        <v/>
      </c>
      <c r="H190" s="26" t="str">
        <f t="shared" ca="1" si="13"/>
        <v/>
      </c>
      <c r="I190" s="26" t="str">
        <f ca="1">IF($D190="","",IF(OFFSET('(2)出場選手'!$B$2,$A190,I$1)="","",OFFSET('(2)出場選手'!$B$2,$A190,I$1)))</f>
        <v/>
      </c>
      <c r="J190" s="26" t="str">
        <f ca="1">IF($D190="","",IF(OFFSET('(2)出場選手'!$B$2,$A190,J$1)="",'(1)鑑'!$E$6,OFFSET('(2)出場選手'!$B$2,$A190,J$1)))</f>
        <v/>
      </c>
      <c r="K190" s="26" t="str">
        <f ca="1">IF($D190="","",TRIM(ASC(IF(OFFSET('(2)出場選手'!$B$2,$A190,K$1)="",'(1)鑑'!$E$7,OFFSET('(2)出場選手'!$B$2,$A190,K$1)))))</f>
        <v/>
      </c>
      <c r="L190" s="26" t="str">
        <f ca="1">IF($D190="","",SUBSTITUTE(SUBSTITUTE(SUBSTITUTE(IF(OFFSET('(2)出場選手'!$B$2,$A190,L$1)="",'(1)鑑'!$E$8,OFFSET('(2)出場選手'!$B$2,$A190,L$1)),"県",""),"府",""),"東京都","東京"))</f>
        <v/>
      </c>
      <c r="M190" s="57" t="str">
        <f ca="1">IF($D190="","",IF(OFFSET('(2)出場選手'!$B$2,$A190,M$1)="","",OFFSET('(2)出場選手'!$B$2,$A190,M$1)))</f>
        <v/>
      </c>
      <c r="N190" s="26" t="str">
        <f ca="1">IF($D190="","",OFFSET('(2)出場選手'!$B$2,$A190,N$1+3*$B190))</f>
        <v/>
      </c>
      <c r="O190" s="26" t="str">
        <f ca="1">IF($D190="","",IF(OFFSET('(2)出場選手'!$B$2,$A190,O$1+3*$B190)="","",OFFSET('(2)出場選手'!$B$2,$A190,O$1+3*$B190)))</f>
        <v/>
      </c>
      <c r="P190" s="26" t="str">
        <f ca="1">IF($D190="","",IF(OFFSET('(2)出場選手'!$B$2,$A190,P$1+3*$B190)="","",OFFSET('(2)出場選手'!$B$2,$A190,P$1+3*$B190)))</f>
        <v/>
      </c>
      <c r="Q190" s="43" t="str">
        <f ca="1">IF(D190="","",VLOOKUP(N190,OFFSET(Competition_Events,0,1),11,FALSE)*IF($S190="リレー",IF(COUNTIF($T$3:$T190,$T190)&gt;1,0,1),1))</f>
        <v/>
      </c>
      <c r="R190" s="26" t="str">
        <f t="shared" ca="1" si="14"/>
        <v/>
      </c>
      <c r="S190" s="26" t="str">
        <f t="shared" ca="1" si="15"/>
        <v/>
      </c>
      <c r="T190" s="26" t="str">
        <f t="shared" ca="1" si="16"/>
        <v/>
      </c>
      <c r="U190" s="26" t="str">
        <f t="shared" ca="1" si="17"/>
        <v/>
      </c>
      <c r="W190" s="17" t="str">
        <f ca="1">IF($D190="","",OFFSET('(2)出場選手'!$B$2,$A190,W$1))</f>
        <v/>
      </c>
      <c r="X190" s="17" t="str">
        <f ca="1">IF($D190="","",OFFSET('(2)出場選手'!$B$2,$A190,X$1))</f>
        <v/>
      </c>
      <c r="Y190" s="17" t="str">
        <f ca="1">IF($D190="","",OFFSET('(2)出場選手'!$B$2,$A190,Y$1))</f>
        <v/>
      </c>
      <c r="Z190" s="17" t="str">
        <f ca="1">IF($D190="","",OFFSET('(2)出場選手'!$B$2,$A190,Z$1))</f>
        <v/>
      </c>
    </row>
    <row r="191" spans="1:26" x14ac:dyDescent="0.15">
      <c r="A191" s="17">
        <f>TRUNC((ROWS($D$3:D191)-2)/Max_Entry_Count)+1</f>
        <v>63</v>
      </c>
      <c r="B191" s="17" t="str">
        <f ca="1">IF($A191&gt;=ROWS(Entries)-2,"",IF(OFFSET('(2)出場選手'!$B$2,$A191,B$1+3*(MOD(ROWS($D$3:D191)-2,Max_Entry_Count)))="","",MOD(ROWS($D$3:D191)-2,Max_Entry_Count)))</f>
        <v/>
      </c>
      <c r="D191" s="26" t="str">
        <f ca="1">IF(OR($A191&gt;=ROWS(Entries)-2,$B191=""),"",'(1)鑑'!$E$6&amp;"-"&amp;OFFSET('(2)出場選手'!$B$2,$A191,D$1))</f>
        <v/>
      </c>
      <c r="E191" s="26" t="str">
        <f ca="1">IF($D191="","",OFFSET('(2)出場選手'!$B$2,$A191,E$1))</f>
        <v/>
      </c>
      <c r="F191" s="26" t="str">
        <f ca="1">IF($D191="","",IF(OFFSET('(2)出場選手'!$B$2,$A191,F$1)="","",OFFSET('(2)出場選手'!$B$2,$A191,F$1)))</f>
        <v/>
      </c>
      <c r="G191" s="26" t="str">
        <f t="shared" ca="1" si="12"/>
        <v/>
      </c>
      <c r="H191" s="26" t="str">
        <f t="shared" ca="1" si="13"/>
        <v/>
      </c>
      <c r="I191" s="26" t="str">
        <f ca="1">IF($D191="","",IF(OFFSET('(2)出場選手'!$B$2,$A191,I$1)="","",OFFSET('(2)出場選手'!$B$2,$A191,I$1)))</f>
        <v/>
      </c>
      <c r="J191" s="26" t="str">
        <f ca="1">IF($D191="","",IF(OFFSET('(2)出場選手'!$B$2,$A191,J$1)="",'(1)鑑'!$E$6,OFFSET('(2)出場選手'!$B$2,$A191,J$1)))</f>
        <v/>
      </c>
      <c r="K191" s="26" t="str">
        <f ca="1">IF($D191="","",TRIM(ASC(IF(OFFSET('(2)出場選手'!$B$2,$A191,K$1)="",'(1)鑑'!$E$7,OFFSET('(2)出場選手'!$B$2,$A191,K$1)))))</f>
        <v/>
      </c>
      <c r="L191" s="26" t="str">
        <f ca="1">IF($D191="","",SUBSTITUTE(SUBSTITUTE(SUBSTITUTE(IF(OFFSET('(2)出場選手'!$B$2,$A191,L$1)="",'(1)鑑'!$E$8,OFFSET('(2)出場選手'!$B$2,$A191,L$1)),"県",""),"府",""),"東京都","東京"))</f>
        <v/>
      </c>
      <c r="M191" s="57" t="str">
        <f ca="1">IF($D191="","",IF(OFFSET('(2)出場選手'!$B$2,$A191,M$1)="","",OFFSET('(2)出場選手'!$B$2,$A191,M$1)))</f>
        <v/>
      </c>
      <c r="N191" s="26" t="str">
        <f ca="1">IF($D191="","",OFFSET('(2)出場選手'!$B$2,$A191,N$1+3*$B191))</f>
        <v/>
      </c>
      <c r="O191" s="26" t="str">
        <f ca="1">IF($D191="","",IF(OFFSET('(2)出場選手'!$B$2,$A191,O$1+3*$B191)="","",OFFSET('(2)出場選手'!$B$2,$A191,O$1+3*$B191)))</f>
        <v/>
      </c>
      <c r="P191" s="26" t="str">
        <f ca="1">IF($D191="","",IF(OFFSET('(2)出場選手'!$B$2,$A191,P$1+3*$B191)="","",OFFSET('(2)出場選手'!$B$2,$A191,P$1+3*$B191)))</f>
        <v/>
      </c>
      <c r="Q191" s="43" t="str">
        <f ca="1">IF(D191="","",VLOOKUP(N191,OFFSET(Competition_Events,0,1),11,FALSE)*IF($S191="リレー",IF(COUNTIF($T$3:$T191,$T191)&gt;1,0,1),1))</f>
        <v/>
      </c>
      <c r="R191" s="26" t="str">
        <f t="shared" ca="1" si="14"/>
        <v/>
      </c>
      <c r="S191" s="26" t="str">
        <f t="shared" ca="1" si="15"/>
        <v/>
      </c>
      <c r="T191" s="26" t="str">
        <f t="shared" ca="1" si="16"/>
        <v/>
      </c>
      <c r="U191" s="26" t="str">
        <f t="shared" ca="1" si="17"/>
        <v/>
      </c>
      <c r="W191" s="17" t="str">
        <f ca="1">IF($D191="","",OFFSET('(2)出場選手'!$B$2,$A191,W$1))</f>
        <v/>
      </c>
      <c r="X191" s="17" t="str">
        <f ca="1">IF($D191="","",OFFSET('(2)出場選手'!$B$2,$A191,X$1))</f>
        <v/>
      </c>
      <c r="Y191" s="17" t="str">
        <f ca="1">IF($D191="","",OFFSET('(2)出場選手'!$B$2,$A191,Y$1))</f>
        <v/>
      </c>
      <c r="Z191" s="17" t="str">
        <f ca="1">IF($D191="","",OFFSET('(2)出場選手'!$B$2,$A191,Z$1))</f>
        <v/>
      </c>
    </row>
    <row r="192" spans="1:26" x14ac:dyDescent="0.15">
      <c r="A192" s="17">
        <f>TRUNC((ROWS($D$3:D192)-2)/Max_Entry_Count)+1</f>
        <v>63</v>
      </c>
      <c r="B192" s="17" t="str">
        <f ca="1">IF($A192&gt;=ROWS(Entries)-2,"",IF(OFFSET('(2)出場選手'!$B$2,$A192,B$1+3*(MOD(ROWS($D$3:D192)-2,Max_Entry_Count)))="","",MOD(ROWS($D$3:D192)-2,Max_Entry_Count)))</f>
        <v/>
      </c>
      <c r="D192" s="26" t="str">
        <f ca="1">IF(OR($A192&gt;=ROWS(Entries)-2,$B192=""),"",'(1)鑑'!$E$6&amp;"-"&amp;OFFSET('(2)出場選手'!$B$2,$A192,D$1))</f>
        <v/>
      </c>
      <c r="E192" s="26" t="str">
        <f ca="1">IF($D192="","",OFFSET('(2)出場選手'!$B$2,$A192,E$1))</f>
        <v/>
      </c>
      <c r="F192" s="26" t="str">
        <f ca="1">IF($D192="","",IF(OFFSET('(2)出場選手'!$B$2,$A192,F$1)="","",OFFSET('(2)出場選手'!$B$2,$A192,F$1)))</f>
        <v/>
      </c>
      <c r="G192" s="26" t="str">
        <f t="shared" ca="1" si="12"/>
        <v/>
      </c>
      <c r="H192" s="26" t="str">
        <f t="shared" ca="1" si="13"/>
        <v/>
      </c>
      <c r="I192" s="26" t="str">
        <f ca="1">IF($D192="","",IF(OFFSET('(2)出場選手'!$B$2,$A192,I$1)="","",OFFSET('(2)出場選手'!$B$2,$A192,I$1)))</f>
        <v/>
      </c>
      <c r="J192" s="26" t="str">
        <f ca="1">IF($D192="","",IF(OFFSET('(2)出場選手'!$B$2,$A192,J$1)="",'(1)鑑'!$E$6,OFFSET('(2)出場選手'!$B$2,$A192,J$1)))</f>
        <v/>
      </c>
      <c r="K192" s="26" t="str">
        <f ca="1">IF($D192="","",TRIM(ASC(IF(OFFSET('(2)出場選手'!$B$2,$A192,K$1)="",'(1)鑑'!$E$7,OFFSET('(2)出場選手'!$B$2,$A192,K$1)))))</f>
        <v/>
      </c>
      <c r="L192" s="26" t="str">
        <f ca="1">IF($D192="","",SUBSTITUTE(SUBSTITUTE(SUBSTITUTE(IF(OFFSET('(2)出場選手'!$B$2,$A192,L$1)="",'(1)鑑'!$E$8,OFFSET('(2)出場選手'!$B$2,$A192,L$1)),"県",""),"府",""),"東京都","東京"))</f>
        <v/>
      </c>
      <c r="M192" s="57" t="str">
        <f ca="1">IF($D192="","",IF(OFFSET('(2)出場選手'!$B$2,$A192,M$1)="","",OFFSET('(2)出場選手'!$B$2,$A192,M$1)))</f>
        <v/>
      </c>
      <c r="N192" s="26" t="str">
        <f ca="1">IF($D192="","",OFFSET('(2)出場選手'!$B$2,$A192,N$1+3*$B192))</f>
        <v/>
      </c>
      <c r="O192" s="26" t="str">
        <f ca="1">IF($D192="","",IF(OFFSET('(2)出場選手'!$B$2,$A192,O$1+3*$B192)="","",OFFSET('(2)出場選手'!$B$2,$A192,O$1+3*$B192)))</f>
        <v/>
      </c>
      <c r="P192" s="26" t="str">
        <f ca="1">IF($D192="","",IF(OFFSET('(2)出場選手'!$B$2,$A192,P$1+3*$B192)="","",OFFSET('(2)出場選手'!$B$2,$A192,P$1+3*$B192)))</f>
        <v/>
      </c>
      <c r="Q192" s="43" t="str">
        <f ca="1">IF(D192="","",VLOOKUP(N192,OFFSET(Competition_Events,0,1),11,FALSE)*IF($S192="リレー",IF(COUNTIF($T$3:$T192,$T192)&gt;1,0,1),1))</f>
        <v/>
      </c>
      <c r="R192" s="26" t="str">
        <f t="shared" ca="1" si="14"/>
        <v/>
      </c>
      <c r="S192" s="26" t="str">
        <f t="shared" ca="1" si="15"/>
        <v/>
      </c>
      <c r="T192" s="26" t="str">
        <f t="shared" ca="1" si="16"/>
        <v/>
      </c>
      <c r="U192" s="26" t="str">
        <f t="shared" ca="1" si="17"/>
        <v/>
      </c>
      <c r="W192" s="17" t="str">
        <f ca="1">IF($D192="","",OFFSET('(2)出場選手'!$B$2,$A192,W$1))</f>
        <v/>
      </c>
      <c r="X192" s="17" t="str">
        <f ca="1">IF($D192="","",OFFSET('(2)出場選手'!$B$2,$A192,X$1))</f>
        <v/>
      </c>
      <c r="Y192" s="17" t="str">
        <f ca="1">IF($D192="","",OFFSET('(2)出場選手'!$B$2,$A192,Y$1))</f>
        <v/>
      </c>
      <c r="Z192" s="17" t="str">
        <f ca="1">IF($D192="","",OFFSET('(2)出場選手'!$B$2,$A192,Z$1))</f>
        <v/>
      </c>
    </row>
    <row r="193" spans="1:26" x14ac:dyDescent="0.15">
      <c r="A193" s="17">
        <f>TRUNC((ROWS($D$3:D193)-2)/Max_Entry_Count)+1</f>
        <v>64</v>
      </c>
      <c r="B193" s="17" t="str">
        <f ca="1">IF($A193&gt;=ROWS(Entries)-2,"",IF(OFFSET('(2)出場選手'!$B$2,$A193,B$1+3*(MOD(ROWS($D$3:D193)-2,Max_Entry_Count)))="","",MOD(ROWS($D$3:D193)-2,Max_Entry_Count)))</f>
        <v/>
      </c>
      <c r="D193" s="26" t="str">
        <f ca="1">IF(OR($A193&gt;=ROWS(Entries)-2,$B193=""),"",'(1)鑑'!$E$6&amp;"-"&amp;OFFSET('(2)出場選手'!$B$2,$A193,D$1))</f>
        <v/>
      </c>
      <c r="E193" s="26" t="str">
        <f ca="1">IF($D193="","",OFFSET('(2)出場選手'!$B$2,$A193,E$1))</f>
        <v/>
      </c>
      <c r="F193" s="26" t="str">
        <f ca="1">IF($D193="","",IF(OFFSET('(2)出場選手'!$B$2,$A193,F$1)="","",OFFSET('(2)出場選手'!$B$2,$A193,F$1)))</f>
        <v/>
      </c>
      <c r="G193" s="26" t="str">
        <f t="shared" ca="1" si="12"/>
        <v/>
      </c>
      <c r="H193" s="26" t="str">
        <f t="shared" ca="1" si="13"/>
        <v/>
      </c>
      <c r="I193" s="26" t="str">
        <f ca="1">IF($D193="","",IF(OFFSET('(2)出場選手'!$B$2,$A193,I$1)="","",OFFSET('(2)出場選手'!$B$2,$A193,I$1)))</f>
        <v/>
      </c>
      <c r="J193" s="26" t="str">
        <f ca="1">IF($D193="","",IF(OFFSET('(2)出場選手'!$B$2,$A193,J$1)="",'(1)鑑'!$E$6,OFFSET('(2)出場選手'!$B$2,$A193,J$1)))</f>
        <v/>
      </c>
      <c r="K193" s="26" t="str">
        <f ca="1">IF($D193="","",TRIM(ASC(IF(OFFSET('(2)出場選手'!$B$2,$A193,K$1)="",'(1)鑑'!$E$7,OFFSET('(2)出場選手'!$B$2,$A193,K$1)))))</f>
        <v/>
      </c>
      <c r="L193" s="26" t="str">
        <f ca="1">IF($D193="","",SUBSTITUTE(SUBSTITUTE(SUBSTITUTE(IF(OFFSET('(2)出場選手'!$B$2,$A193,L$1)="",'(1)鑑'!$E$8,OFFSET('(2)出場選手'!$B$2,$A193,L$1)),"県",""),"府",""),"東京都","東京"))</f>
        <v/>
      </c>
      <c r="M193" s="57" t="str">
        <f ca="1">IF($D193="","",IF(OFFSET('(2)出場選手'!$B$2,$A193,M$1)="","",OFFSET('(2)出場選手'!$B$2,$A193,M$1)))</f>
        <v/>
      </c>
      <c r="N193" s="26" t="str">
        <f ca="1">IF($D193="","",OFFSET('(2)出場選手'!$B$2,$A193,N$1+3*$B193))</f>
        <v/>
      </c>
      <c r="O193" s="26" t="str">
        <f ca="1">IF($D193="","",IF(OFFSET('(2)出場選手'!$B$2,$A193,O$1+3*$B193)="","",OFFSET('(2)出場選手'!$B$2,$A193,O$1+3*$B193)))</f>
        <v/>
      </c>
      <c r="P193" s="26" t="str">
        <f ca="1">IF($D193="","",IF(OFFSET('(2)出場選手'!$B$2,$A193,P$1+3*$B193)="","",OFFSET('(2)出場選手'!$B$2,$A193,P$1+3*$B193)))</f>
        <v/>
      </c>
      <c r="Q193" s="43" t="str">
        <f ca="1">IF(D193="","",VLOOKUP(N193,OFFSET(Competition_Events,0,1),11,FALSE)*IF($S193="リレー",IF(COUNTIF($T$3:$T193,$T193)&gt;1,0,1),1))</f>
        <v/>
      </c>
      <c r="R193" s="26" t="str">
        <f t="shared" ca="1" si="14"/>
        <v/>
      </c>
      <c r="S193" s="26" t="str">
        <f t="shared" ca="1" si="15"/>
        <v/>
      </c>
      <c r="T193" s="26" t="str">
        <f t="shared" ca="1" si="16"/>
        <v/>
      </c>
      <c r="U193" s="26" t="str">
        <f t="shared" ca="1" si="17"/>
        <v/>
      </c>
      <c r="W193" s="17" t="str">
        <f ca="1">IF($D193="","",OFFSET('(2)出場選手'!$B$2,$A193,W$1))</f>
        <v/>
      </c>
      <c r="X193" s="17" t="str">
        <f ca="1">IF($D193="","",OFFSET('(2)出場選手'!$B$2,$A193,X$1))</f>
        <v/>
      </c>
      <c r="Y193" s="17" t="str">
        <f ca="1">IF($D193="","",OFFSET('(2)出場選手'!$B$2,$A193,Y$1))</f>
        <v/>
      </c>
      <c r="Z193" s="17" t="str">
        <f ca="1">IF($D193="","",OFFSET('(2)出場選手'!$B$2,$A193,Z$1))</f>
        <v/>
      </c>
    </row>
    <row r="194" spans="1:26" x14ac:dyDescent="0.15">
      <c r="A194" s="17">
        <f>TRUNC((ROWS($D$3:D194)-2)/Max_Entry_Count)+1</f>
        <v>64</v>
      </c>
      <c r="B194" s="17" t="str">
        <f ca="1">IF($A194&gt;=ROWS(Entries)-2,"",IF(OFFSET('(2)出場選手'!$B$2,$A194,B$1+3*(MOD(ROWS($D$3:D194)-2,Max_Entry_Count)))="","",MOD(ROWS($D$3:D194)-2,Max_Entry_Count)))</f>
        <v/>
      </c>
      <c r="D194" s="26" t="str">
        <f ca="1">IF(OR($A194&gt;=ROWS(Entries)-2,$B194=""),"",'(1)鑑'!$E$6&amp;"-"&amp;OFFSET('(2)出場選手'!$B$2,$A194,D$1))</f>
        <v/>
      </c>
      <c r="E194" s="26" t="str">
        <f ca="1">IF($D194="","",OFFSET('(2)出場選手'!$B$2,$A194,E$1))</f>
        <v/>
      </c>
      <c r="F194" s="26" t="str">
        <f ca="1">IF($D194="","",IF(OFFSET('(2)出場選手'!$B$2,$A194,F$1)="","",OFFSET('(2)出場選手'!$B$2,$A194,F$1)))</f>
        <v/>
      </c>
      <c r="G194" s="26" t="str">
        <f t="shared" ca="1" si="12"/>
        <v/>
      </c>
      <c r="H194" s="26" t="str">
        <f t="shared" ca="1" si="13"/>
        <v/>
      </c>
      <c r="I194" s="26" t="str">
        <f ca="1">IF($D194="","",IF(OFFSET('(2)出場選手'!$B$2,$A194,I$1)="","",OFFSET('(2)出場選手'!$B$2,$A194,I$1)))</f>
        <v/>
      </c>
      <c r="J194" s="26" t="str">
        <f ca="1">IF($D194="","",IF(OFFSET('(2)出場選手'!$B$2,$A194,J$1)="",'(1)鑑'!$E$6,OFFSET('(2)出場選手'!$B$2,$A194,J$1)))</f>
        <v/>
      </c>
      <c r="K194" s="26" t="str">
        <f ca="1">IF($D194="","",TRIM(ASC(IF(OFFSET('(2)出場選手'!$B$2,$A194,K$1)="",'(1)鑑'!$E$7,OFFSET('(2)出場選手'!$B$2,$A194,K$1)))))</f>
        <v/>
      </c>
      <c r="L194" s="26" t="str">
        <f ca="1">IF($D194="","",SUBSTITUTE(SUBSTITUTE(SUBSTITUTE(IF(OFFSET('(2)出場選手'!$B$2,$A194,L$1)="",'(1)鑑'!$E$8,OFFSET('(2)出場選手'!$B$2,$A194,L$1)),"県",""),"府",""),"東京都","東京"))</f>
        <v/>
      </c>
      <c r="M194" s="57" t="str">
        <f ca="1">IF($D194="","",IF(OFFSET('(2)出場選手'!$B$2,$A194,M$1)="","",OFFSET('(2)出場選手'!$B$2,$A194,M$1)))</f>
        <v/>
      </c>
      <c r="N194" s="26" t="str">
        <f ca="1">IF($D194="","",OFFSET('(2)出場選手'!$B$2,$A194,N$1+3*$B194))</f>
        <v/>
      </c>
      <c r="O194" s="26" t="str">
        <f ca="1">IF($D194="","",IF(OFFSET('(2)出場選手'!$B$2,$A194,O$1+3*$B194)="","",OFFSET('(2)出場選手'!$B$2,$A194,O$1+3*$B194)))</f>
        <v/>
      </c>
      <c r="P194" s="26" t="str">
        <f ca="1">IF($D194="","",IF(OFFSET('(2)出場選手'!$B$2,$A194,P$1+3*$B194)="","",OFFSET('(2)出場選手'!$B$2,$A194,P$1+3*$B194)))</f>
        <v/>
      </c>
      <c r="Q194" s="43" t="str">
        <f ca="1">IF(D194="","",VLOOKUP(N194,OFFSET(Competition_Events,0,1),11,FALSE)*IF($S194="リレー",IF(COUNTIF($T$3:$T194,$T194)&gt;1,0,1),1))</f>
        <v/>
      </c>
      <c r="R194" s="26" t="str">
        <f t="shared" ca="1" si="14"/>
        <v/>
      </c>
      <c r="S194" s="26" t="str">
        <f t="shared" ca="1" si="15"/>
        <v/>
      </c>
      <c r="T194" s="26" t="str">
        <f t="shared" ca="1" si="16"/>
        <v/>
      </c>
      <c r="U194" s="26" t="str">
        <f t="shared" ca="1" si="17"/>
        <v/>
      </c>
      <c r="W194" s="17" t="str">
        <f ca="1">IF($D194="","",OFFSET('(2)出場選手'!$B$2,$A194,W$1))</f>
        <v/>
      </c>
      <c r="X194" s="17" t="str">
        <f ca="1">IF($D194="","",OFFSET('(2)出場選手'!$B$2,$A194,X$1))</f>
        <v/>
      </c>
      <c r="Y194" s="17" t="str">
        <f ca="1">IF($D194="","",OFFSET('(2)出場選手'!$B$2,$A194,Y$1))</f>
        <v/>
      </c>
      <c r="Z194" s="17" t="str">
        <f ca="1">IF($D194="","",OFFSET('(2)出場選手'!$B$2,$A194,Z$1))</f>
        <v/>
      </c>
    </row>
    <row r="195" spans="1:26" x14ac:dyDescent="0.15">
      <c r="A195" s="17">
        <f>TRUNC((ROWS($D$3:D195)-2)/Max_Entry_Count)+1</f>
        <v>64</v>
      </c>
      <c r="B195" s="17" t="str">
        <f ca="1">IF($A195&gt;=ROWS(Entries)-2,"",IF(OFFSET('(2)出場選手'!$B$2,$A195,B$1+3*(MOD(ROWS($D$3:D195)-2,Max_Entry_Count)))="","",MOD(ROWS($D$3:D195)-2,Max_Entry_Count)))</f>
        <v/>
      </c>
      <c r="D195" s="26" t="str">
        <f ca="1">IF(OR($A195&gt;=ROWS(Entries)-2,$B195=""),"",'(1)鑑'!$E$6&amp;"-"&amp;OFFSET('(2)出場選手'!$B$2,$A195,D$1))</f>
        <v/>
      </c>
      <c r="E195" s="26" t="str">
        <f ca="1">IF($D195="","",OFFSET('(2)出場選手'!$B$2,$A195,E$1))</f>
        <v/>
      </c>
      <c r="F195" s="26" t="str">
        <f ca="1">IF($D195="","",IF(OFFSET('(2)出場選手'!$B$2,$A195,F$1)="","",OFFSET('(2)出場選手'!$B$2,$A195,F$1)))</f>
        <v/>
      </c>
      <c r="G195" s="26" t="str">
        <f t="shared" ca="1" si="12"/>
        <v/>
      </c>
      <c r="H195" s="26" t="str">
        <f t="shared" ca="1" si="13"/>
        <v/>
      </c>
      <c r="I195" s="26" t="str">
        <f ca="1">IF($D195="","",IF(OFFSET('(2)出場選手'!$B$2,$A195,I$1)="","",OFFSET('(2)出場選手'!$B$2,$A195,I$1)))</f>
        <v/>
      </c>
      <c r="J195" s="26" t="str">
        <f ca="1">IF($D195="","",IF(OFFSET('(2)出場選手'!$B$2,$A195,J$1)="",'(1)鑑'!$E$6,OFFSET('(2)出場選手'!$B$2,$A195,J$1)))</f>
        <v/>
      </c>
      <c r="K195" s="26" t="str">
        <f ca="1">IF($D195="","",TRIM(ASC(IF(OFFSET('(2)出場選手'!$B$2,$A195,K$1)="",'(1)鑑'!$E$7,OFFSET('(2)出場選手'!$B$2,$A195,K$1)))))</f>
        <v/>
      </c>
      <c r="L195" s="26" t="str">
        <f ca="1">IF($D195="","",SUBSTITUTE(SUBSTITUTE(SUBSTITUTE(IF(OFFSET('(2)出場選手'!$B$2,$A195,L$1)="",'(1)鑑'!$E$8,OFFSET('(2)出場選手'!$B$2,$A195,L$1)),"県",""),"府",""),"東京都","東京"))</f>
        <v/>
      </c>
      <c r="M195" s="57" t="str">
        <f ca="1">IF($D195="","",IF(OFFSET('(2)出場選手'!$B$2,$A195,M$1)="","",OFFSET('(2)出場選手'!$B$2,$A195,M$1)))</f>
        <v/>
      </c>
      <c r="N195" s="26" t="str">
        <f ca="1">IF($D195="","",OFFSET('(2)出場選手'!$B$2,$A195,N$1+3*$B195))</f>
        <v/>
      </c>
      <c r="O195" s="26" t="str">
        <f ca="1">IF($D195="","",IF(OFFSET('(2)出場選手'!$B$2,$A195,O$1+3*$B195)="","",OFFSET('(2)出場選手'!$B$2,$A195,O$1+3*$B195)))</f>
        <v/>
      </c>
      <c r="P195" s="26" t="str">
        <f ca="1">IF($D195="","",IF(OFFSET('(2)出場選手'!$B$2,$A195,P$1+3*$B195)="","",OFFSET('(2)出場選手'!$B$2,$A195,P$1+3*$B195)))</f>
        <v/>
      </c>
      <c r="Q195" s="43" t="str">
        <f ca="1">IF(D195="","",VLOOKUP(N195,OFFSET(Competition_Events,0,1),11,FALSE)*IF($S195="リレー",IF(COUNTIF($T$3:$T195,$T195)&gt;1,0,1),1))</f>
        <v/>
      </c>
      <c r="R195" s="26" t="str">
        <f t="shared" ca="1" si="14"/>
        <v/>
      </c>
      <c r="S195" s="26" t="str">
        <f t="shared" ca="1" si="15"/>
        <v/>
      </c>
      <c r="T195" s="26" t="str">
        <f t="shared" ca="1" si="16"/>
        <v/>
      </c>
      <c r="U195" s="26" t="str">
        <f t="shared" ca="1" si="17"/>
        <v/>
      </c>
      <c r="W195" s="17" t="str">
        <f ca="1">IF($D195="","",OFFSET('(2)出場選手'!$B$2,$A195,W$1))</f>
        <v/>
      </c>
      <c r="X195" s="17" t="str">
        <f ca="1">IF($D195="","",OFFSET('(2)出場選手'!$B$2,$A195,X$1))</f>
        <v/>
      </c>
      <c r="Y195" s="17" t="str">
        <f ca="1">IF($D195="","",OFFSET('(2)出場選手'!$B$2,$A195,Y$1))</f>
        <v/>
      </c>
      <c r="Z195" s="17" t="str">
        <f ca="1">IF($D195="","",OFFSET('(2)出場選手'!$B$2,$A195,Z$1))</f>
        <v/>
      </c>
    </row>
    <row r="196" spans="1:26" x14ac:dyDescent="0.15">
      <c r="A196" s="17">
        <f>TRUNC((ROWS($D$3:D196)-2)/Max_Entry_Count)+1</f>
        <v>65</v>
      </c>
      <c r="B196" s="17" t="str">
        <f ca="1">IF($A196&gt;=ROWS(Entries)-2,"",IF(OFFSET('(2)出場選手'!$B$2,$A196,B$1+3*(MOD(ROWS($D$3:D196)-2,Max_Entry_Count)))="","",MOD(ROWS($D$3:D196)-2,Max_Entry_Count)))</f>
        <v/>
      </c>
      <c r="D196" s="26" t="str">
        <f ca="1">IF(OR($A196&gt;=ROWS(Entries)-2,$B196=""),"",'(1)鑑'!$E$6&amp;"-"&amp;OFFSET('(2)出場選手'!$B$2,$A196,D$1))</f>
        <v/>
      </c>
      <c r="E196" s="26" t="str">
        <f ca="1">IF($D196="","",OFFSET('(2)出場選手'!$B$2,$A196,E$1))</f>
        <v/>
      </c>
      <c r="F196" s="26" t="str">
        <f ca="1">IF($D196="","",IF(OFFSET('(2)出場選手'!$B$2,$A196,F$1)="","",OFFSET('(2)出場選手'!$B$2,$A196,F$1)))</f>
        <v/>
      </c>
      <c r="G196" s="26" t="str">
        <f t="shared" ref="G196:G503" ca="1" si="18">IF($D196="","",$W196&amp;"　"&amp;$X196)</f>
        <v/>
      </c>
      <c r="H196" s="26" t="str">
        <f t="shared" ref="H196:H259" ca="1" si="19">IF($D196="","",ASC(TRIM($Y196)&amp;"　"&amp;TRIM($Z196)))</f>
        <v/>
      </c>
      <c r="I196" s="26" t="str">
        <f ca="1">IF($D196="","",IF(OFFSET('(2)出場選手'!$B$2,$A196,I$1)="","",OFFSET('(2)出場選手'!$B$2,$A196,I$1)))</f>
        <v/>
      </c>
      <c r="J196" s="26" t="str">
        <f ca="1">IF($D196="","",IF(OFFSET('(2)出場選手'!$B$2,$A196,J$1)="",'(1)鑑'!$E$6,OFFSET('(2)出場選手'!$B$2,$A196,J$1)))</f>
        <v/>
      </c>
      <c r="K196" s="26" t="str">
        <f ca="1">IF($D196="","",TRIM(ASC(IF(OFFSET('(2)出場選手'!$B$2,$A196,K$1)="",'(1)鑑'!$E$7,OFFSET('(2)出場選手'!$B$2,$A196,K$1)))))</f>
        <v/>
      </c>
      <c r="L196" s="26" t="str">
        <f ca="1">IF($D196="","",SUBSTITUTE(SUBSTITUTE(SUBSTITUTE(IF(OFFSET('(2)出場選手'!$B$2,$A196,L$1)="",'(1)鑑'!$E$8,OFFSET('(2)出場選手'!$B$2,$A196,L$1)),"県",""),"府",""),"東京都","東京"))</f>
        <v/>
      </c>
      <c r="M196" s="57" t="str">
        <f ca="1">IF($D196="","",IF(OFFSET('(2)出場選手'!$B$2,$A196,M$1)="","",OFFSET('(2)出場選手'!$B$2,$A196,M$1)))</f>
        <v/>
      </c>
      <c r="N196" s="26" t="str">
        <f ca="1">IF($D196="","",OFFSET('(2)出場選手'!$B$2,$A196,N$1+3*$B196))</f>
        <v/>
      </c>
      <c r="O196" s="26" t="str">
        <f ca="1">IF($D196="","",IF(OFFSET('(2)出場選手'!$B$2,$A196,O$1+3*$B196)="","",OFFSET('(2)出場選手'!$B$2,$A196,O$1+3*$B196)))</f>
        <v/>
      </c>
      <c r="P196" s="26" t="str">
        <f ca="1">IF($D196="","",IF(OFFSET('(2)出場選手'!$B$2,$A196,P$1+3*$B196)="","",OFFSET('(2)出場選手'!$B$2,$A196,P$1+3*$B196)))</f>
        <v/>
      </c>
      <c r="Q196" s="43" t="str">
        <f ca="1">IF(D196="","",VLOOKUP(N196,OFFSET(Competition_Events,0,1),11,FALSE)*IF($S196="リレー",IF(COUNTIF($T$3:$T196,$T196)&gt;1,0,1),1))</f>
        <v/>
      </c>
      <c r="R196" s="26" t="str">
        <f t="shared" ref="R196:R503" ca="1" si="20">IF($D196="","",VLOOKUP($N196,OFFSET(Competition_Events,0,1),3,FALSE))</f>
        <v/>
      </c>
      <c r="S196" s="26" t="str">
        <f t="shared" ref="S196:S503" ca="1" si="21">IF($D196="","",VLOOKUP($R196,Competition_Events,7,FALSE))</f>
        <v/>
      </c>
      <c r="T196" s="26" t="str">
        <f t="shared" ref="T196:T503" ca="1" si="22">IF($D196="","",$N196&amp;"//"&amp;$P196)</f>
        <v/>
      </c>
      <c r="U196" s="26" t="str">
        <f t="shared" ref="U196:U227" ca="1" si="23">IF($D196="","",IFERROR(CHOOSE(VLOOKUP($R196,Competition_Events,6,FALSE),SUBSTITUTE(O196,"点","")*1,SUBSTITUTE(O196,"m",".")*100,SUBSTITUTE(SUBSTITUTE("0:"&amp;O196,"'",":"),"""",".")/"0:00:00.01"*-1,SUBSTITUTE(O196,"m",".")*100,SUBSTITUTE(SUBSTITUTE(O196,"'",":"),"""",".")/"0:00:00.01"*-1),-8640000))</f>
        <v/>
      </c>
      <c r="W196" s="17" t="str">
        <f ca="1">IF($D196="","",OFFSET('(2)出場選手'!$B$2,$A196,W$1))</f>
        <v/>
      </c>
      <c r="X196" s="17" t="str">
        <f ca="1">IF($D196="","",OFFSET('(2)出場選手'!$B$2,$A196,X$1))</f>
        <v/>
      </c>
      <c r="Y196" s="17" t="str">
        <f ca="1">IF($D196="","",OFFSET('(2)出場選手'!$B$2,$A196,Y$1))</f>
        <v/>
      </c>
      <c r="Z196" s="17" t="str">
        <f ca="1">IF($D196="","",OFFSET('(2)出場選手'!$B$2,$A196,Z$1))</f>
        <v/>
      </c>
    </row>
    <row r="197" spans="1:26" x14ac:dyDescent="0.15">
      <c r="A197" s="17">
        <f>TRUNC((ROWS($D$3:D197)-2)/Max_Entry_Count)+1</f>
        <v>65</v>
      </c>
      <c r="B197" s="17" t="str">
        <f ca="1">IF($A197&gt;=ROWS(Entries)-2,"",IF(OFFSET('(2)出場選手'!$B$2,$A197,B$1+3*(MOD(ROWS($D$3:D197)-2,Max_Entry_Count)))="","",MOD(ROWS($D$3:D197)-2,Max_Entry_Count)))</f>
        <v/>
      </c>
      <c r="D197" s="26" t="str">
        <f ca="1">IF(OR($A197&gt;=ROWS(Entries)-2,$B197=""),"",'(1)鑑'!$E$6&amp;"-"&amp;OFFSET('(2)出場選手'!$B$2,$A197,D$1))</f>
        <v/>
      </c>
      <c r="E197" s="26" t="str">
        <f ca="1">IF($D197="","",OFFSET('(2)出場選手'!$B$2,$A197,E$1))</f>
        <v/>
      </c>
      <c r="F197" s="26" t="str">
        <f ca="1">IF($D197="","",IF(OFFSET('(2)出場選手'!$B$2,$A197,F$1)="","",OFFSET('(2)出場選手'!$B$2,$A197,F$1)))</f>
        <v/>
      </c>
      <c r="G197" s="26" t="str">
        <f t="shared" ca="1" si="18"/>
        <v/>
      </c>
      <c r="H197" s="26" t="str">
        <f t="shared" ca="1" si="19"/>
        <v/>
      </c>
      <c r="I197" s="26" t="str">
        <f ca="1">IF($D197="","",IF(OFFSET('(2)出場選手'!$B$2,$A197,I$1)="","",OFFSET('(2)出場選手'!$B$2,$A197,I$1)))</f>
        <v/>
      </c>
      <c r="J197" s="26" t="str">
        <f ca="1">IF($D197="","",IF(OFFSET('(2)出場選手'!$B$2,$A197,J$1)="",'(1)鑑'!$E$6,OFFSET('(2)出場選手'!$B$2,$A197,J$1)))</f>
        <v/>
      </c>
      <c r="K197" s="26" t="str">
        <f ca="1">IF($D197="","",TRIM(ASC(IF(OFFSET('(2)出場選手'!$B$2,$A197,K$1)="",'(1)鑑'!$E$7,OFFSET('(2)出場選手'!$B$2,$A197,K$1)))))</f>
        <v/>
      </c>
      <c r="L197" s="26" t="str">
        <f ca="1">IF($D197="","",SUBSTITUTE(SUBSTITUTE(SUBSTITUTE(IF(OFFSET('(2)出場選手'!$B$2,$A197,L$1)="",'(1)鑑'!$E$8,OFFSET('(2)出場選手'!$B$2,$A197,L$1)),"県",""),"府",""),"東京都","東京"))</f>
        <v/>
      </c>
      <c r="M197" s="57" t="str">
        <f ca="1">IF($D197="","",IF(OFFSET('(2)出場選手'!$B$2,$A197,M$1)="","",OFFSET('(2)出場選手'!$B$2,$A197,M$1)))</f>
        <v/>
      </c>
      <c r="N197" s="26" t="str">
        <f ca="1">IF($D197="","",OFFSET('(2)出場選手'!$B$2,$A197,N$1+3*$B197))</f>
        <v/>
      </c>
      <c r="O197" s="26" t="str">
        <f ca="1">IF($D197="","",IF(OFFSET('(2)出場選手'!$B$2,$A197,O$1+3*$B197)="","",OFFSET('(2)出場選手'!$B$2,$A197,O$1+3*$B197)))</f>
        <v/>
      </c>
      <c r="P197" s="26" t="str">
        <f ca="1">IF($D197="","",IF(OFFSET('(2)出場選手'!$B$2,$A197,P$1+3*$B197)="","",OFFSET('(2)出場選手'!$B$2,$A197,P$1+3*$B197)))</f>
        <v/>
      </c>
      <c r="Q197" s="43" t="str">
        <f ca="1">IF(D197="","",VLOOKUP(N197,OFFSET(Competition_Events,0,1),11,FALSE)*IF($S197="リレー",IF(COUNTIF($T$3:$T197,$T197)&gt;1,0,1),1))</f>
        <v/>
      </c>
      <c r="R197" s="26" t="str">
        <f t="shared" ca="1" si="20"/>
        <v/>
      </c>
      <c r="S197" s="26" t="str">
        <f t="shared" ca="1" si="21"/>
        <v/>
      </c>
      <c r="T197" s="26" t="str">
        <f t="shared" ca="1" si="22"/>
        <v/>
      </c>
      <c r="U197" s="26" t="str">
        <f t="shared" ca="1" si="23"/>
        <v/>
      </c>
      <c r="W197" s="17" t="str">
        <f ca="1">IF($D197="","",OFFSET('(2)出場選手'!$B$2,$A197,W$1))</f>
        <v/>
      </c>
      <c r="X197" s="17" t="str">
        <f ca="1">IF($D197="","",OFFSET('(2)出場選手'!$B$2,$A197,X$1))</f>
        <v/>
      </c>
      <c r="Y197" s="17" t="str">
        <f ca="1">IF($D197="","",OFFSET('(2)出場選手'!$B$2,$A197,Y$1))</f>
        <v/>
      </c>
      <c r="Z197" s="17" t="str">
        <f ca="1">IF($D197="","",OFFSET('(2)出場選手'!$B$2,$A197,Z$1))</f>
        <v/>
      </c>
    </row>
    <row r="198" spans="1:26" x14ac:dyDescent="0.15">
      <c r="A198" s="17">
        <f>TRUNC((ROWS($D$3:D198)-2)/Max_Entry_Count)+1</f>
        <v>65</v>
      </c>
      <c r="B198" s="17" t="str">
        <f ca="1">IF($A198&gt;=ROWS(Entries)-2,"",IF(OFFSET('(2)出場選手'!$B$2,$A198,B$1+3*(MOD(ROWS($D$3:D198)-2,Max_Entry_Count)))="","",MOD(ROWS($D$3:D198)-2,Max_Entry_Count)))</f>
        <v/>
      </c>
      <c r="D198" s="26" t="str">
        <f ca="1">IF(OR($A198&gt;=ROWS(Entries)-2,$B198=""),"",'(1)鑑'!$E$6&amp;"-"&amp;OFFSET('(2)出場選手'!$B$2,$A198,D$1))</f>
        <v/>
      </c>
      <c r="E198" s="26" t="str">
        <f ca="1">IF($D198="","",OFFSET('(2)出場選手'!$B$2,$A198,E$1))</f>
        <v/>
      </c>
      <c r="F198" s="26" t="str">
        <f ca="1">IF($D198="","",IF(OFFSET('(2)出場選手'!$B$2,$A198,F$1)="","",OFFSET('(2)出場選手'!$B$2,$A198,F$1)))</f>
        <v/>
      </c>
      <c r="G198" s="26" t="str">
        <f t="shared" ca="1" si="18"/>
        <v/>
      </c>
      <c r="H198" s="26" t="str">
        <f t="shared" ca="1" si="19"/>
        <v/>
      </c>
      <c r="I198" s="26" t="str">
        <f ca="1">IF($D198="","",IF(OFFSET('(2)出場選手'!$B$2,$A198,I$1)="","",OFFSET('(2)出場選手'!$B$2,$A198,I$1)))</f>
        <v/>
      </c>
      <c r="J198" s="26" t="str">
        <f ca="1">IF($D198="","",IF(OFFSET('(2)出場選手'!$B$2,$A198,J$1)="",'(1)鑑'!$E$6,OFFSET('(2)出場選手'!$B$2,$A198,J$1)))</f>
        <v/>
      </c>
      <c r="K198" s="26" t="str">
        <f ca="1">IF($D198="","",TRIM(ASC(IF(OFFSET('(2)出場選手'!$B$2,$A198,K$1)="",'(1)鑑'!$E$7,OFFSET('(2)出場選手'!$B$2,$A198,K$1)))))</f>
        <v/>
      </c>
      <c r="L198" s="26" t="str">
        <f ca="1">IF($D198="","",SUBSTITUTE(SUBSTITUTE(SUBSTITUTE(IF(OFFSET('(2)出場選手'!$B$2,$A198,L$1)="",'(1)鑑'!$E$8,OFFSET('(2)出場選手'!$B$2,$A198,L$1)),"県",""),"府",""),"東京都","東京"))</f>
        <v/>
      </c>
      <c r="M198" s="57" t="str">
        <f ca="1">IF($D198="","",IF(OFFSET('(2)出場選手'!$B$2,$A198,M$1)="","",OFFSET('(2)出場選手'!$B$2,$A198,M$1)))</f>
        <v/>
      </c>
      <c r="N198" s="26" t="str">
        <f ca="1">IF($D198="","",OFFSET('(2)出場選手'!$B$2,$A198,N$1+3*$B198))</f>
        <v/>
      </c>
      <c r="O198" s="26" t="str">
        <f ca="1">IF($D198="","",IF(OFFSET('(2)出場選手'!$B$2,$A198,O$1+3*$B198)="","",OFFSET('(2)出場選手'!$B$2,$A198,O$1+3*$B198)))</f>
        <v/>
      </c>
      <c r="P198" s="26" t="str">
        <f ca="1">IF($D198="","",IF(OFFSET('(2)出場選手'!$B$2,$A198,P$1+3*$B198)="","",OFFSET('(2)出場選手'!$B$2,$A198,P$1+3*$B198)))</f>
        <v/>
      </c>
      <c r="Q198" s="43" t="str">
        <f ca="1">IF(D198="","",VLOOKUP(N198,OFFSET(Competition_Events,0,1),11,FALSE)*IF($S198="リレー",IF(COUNTIF($T$3:$T198,$T198)&gt;1,0,1),1))</f>
        <v/>
      </c>
      <c r="R198" s="26" t="str">
        <f t="shared" ca="1" si="20"/>
        <v/>
      </c>
      <c r="S198" s="26" t="str">
        <f t="shared" ca="1" si="21"/>
        <v/>
      </c>
      <c r="T198" s="26" t="str">
        <f t="shared" ca="1" si="22"/>
        <v/>
      </c>
      <c r="U198" s="26" t="str">
        <f t="shared" ca="1" si="23"/>
        <v/>
      </c>
      <c r="W198" s="17" t="str">
        <f ca="1">IF($D198="","",OFFSET('(2)出場選手'!$B$2,$A198,W$1))</f>
        <v/>
      </c>
      <c r="X198" s="17" t="str">
        <f ca="1">IF($D198="","",OFFSET('(2)出場選手'!$B$2,$A198,X$1))</f>
        <v/>
      </c>
      <c r="Y198" s="17" t="str">
        <f ca="1">IF($D198="","",OFFSET('(2)出場選手'!$B$2,$A198,Y$1))</f>
        <v/>
      </c>
      <c r="Z198" s="17" t="str">
        <f ca="1">IF($D198="","",OFFSET('(2)出場選手'!$B$2,$A198,Z$1))</f>
        <v/>
      </c>
    </row>
    <row r="199" spans="1:26" x14ac:dyDescent="0.15">
      <c r="A199" s="17">
        <f>TRUNC((ROWS($D$3:D199)-2)/Max_Entry_Count)+1</f>
        <v>66</v>
      </c>
      <c r="B199" s="17" t="str">
        <f ca="1">IF($A199&gt;=ROWS(Entries)-2,"",IF(OFFSET('(2)出場選手'!$B$2,$A199,B$1+3*(MOD(ROWS($D$3:D199)-2,Max_Entry_Count)))="","",MOD(ROWS($D$3:D199)-2,Max_Entry_Count)))</f>
        <v/>
      </c>
      <c r="D199" s="26" t="str">
        <f ca="1">IF(OR($A199&gt;=ROWS(Entries)-2,$B199=""),"",'(1)鑑'!$E$6&amp;"-"&amp;OFFSET('(2)出場選手'!$B$2,$A199,D$1))</f>
        <v/>
      </c>
      <c r="E199" s="26" t="str">
        <f ca="1">IF($D199="","",OFFSET('(2)出場選手'!$B$2,$A199,E$1))</f>
        <v/>
      </c>
      <c r="F199" s="26" t="str">
        <f ca="1">IF($D199="","",IF(OFFSET('(2)出場選手'!$B$2,$A199,F$1)="","",OFFSET('(2)出場選手'!$B$2,$A199,F$1)))</f>
        <v/>
      </c>
      <c r="G199" s="26" t="str">
        <f t="shared" ca="1" si="18"/>
        <v/>
      </c>
      <c r="H199" s="26" t="str">
        <f t="shared" ca="1" si="19"/>
        <v/>
      </c>
      <c r="I199" s="26" t="str">
        <f ca="1">IF($D199="","",IF(OFFSET('(2)出場選手'!$B$2,$A199,I$1)="","",OFFSET('(2)出場選手'!$B$2,$A199,I$1)))</f>
        <v/>
      </c>
      <c r="J199" s="26" t="str">
        <f ca="1">IF($D199="","",IF(OFFSET('(2)出場選手'!$B$2,$A199,J$1)="",'(1)鑑'!$E$6,OFFSET('(2)出場選手'!$B$2,$A199,J$1)))</f>
        <v/>
      </c>
      <c r="K199" s="26" t="str">
        <f ca="1">IF($D199="","",TRIM(ASC(IF(OFFSET('(2)出場選手'!$B$2,$A199,K$1)="",'(1)鑑'!$E$7,OFFSET('(2)出場選手'!$B$2,$A199,K$1)))))</f>
        <v/>
      </c>
      <c r="L199" s="26" t="str">
        <f ca="1">IF($D199="","",SUBSTITUTE(SUBSTITUTE(SUBSTITUTE(IF(OFFSET('(2)出場選手'!$B$2,$A199,L$1)="",'(1)鑑'!$E$8,OFFSET('(2)出場選手'!$B$2,$A199,L$1)),"県",""),"府",""),"東京都","東京"))</f>
        <v/>
      </c>
      <c r="M199" s="57" t="str">
        <f ca="1">IF($D199="","",IF(OFFSET('(2)出場選手'!$B$2,$A199,M$1)="","",OFFSET('(2)出場選手'!$B$2,$A199,M$1)))</f>
        <v/>
      </c>
      <c r="N199" s="26" t="str">
        <f ca="1">IF($D199="","",OFFSET('(2)出場選手'!$B$2,$A199,N$1+3*$B199))</f>
        <v/>
      </c>
      <c r="O199" s="26" t="str">
        <f ca="1">IF($D199="","",IF(OFFSET('(2)出場選手'!$B$2,$A199,O$1+3*$B199)="","",OFFSET('(2)出場選手'!$B$2,$A199,O$1+3*$B199)))</f>
        <v/>
      </c>
      <c r="P199" s="26" t="str">
        <f ca="1">IF($D199="","",IF(OFFSET('(2)出場選手'!$B$2,$A199,P$1+3*$B199)="","",OFFSET('(2)出場選手'!$B$2,$A199,P$1+3*$B199)))</f>
        <v/>
      </c>
      <c r="Q199" s="43" t="str">
        <f ca="1">IF(D199="","",VLOOKUP(N199,OFFSET(Competition_Events,0,1),11,FALSE)*IF($S199="リレー",IF(COUNTIF($T$3:$T199,$T199)&gt;1,0,1),1))</f>
        <v/>
      </c>
      <c r="R199" s="26" t="str">
        <f t="shared" ca="1" si="20"/>
        <v/>
      </c>
      <c r="S199" s="26" t="str">
        <f t="shared" ca="1" si="21"/>
        <v/>
      </c>
      <c r="T199" s="26" t="str">
        <f t="shared" ca="1" si="22"/>
        <v/>
      </c>
      <c r="U199" s="26" t="str">
        <f t="shared" ca="1" si="23"/>
        <v/>
      </c>
      <c r="W199" s="17" t="str">
        <f ca="1">IF($D199="","",OFFSET('(2)出場選手'!$B$2,$A199,W$1))</f>
        <v/>
      </c>
      <c r="X199" s="17" t="str">
        <f ca="1">IF($D199="","",OFFSET('(2)出場選手'!$B$2,$A199,X$1))</f>
        <v/>
      </c>
      <c r="Y199" s="17" t="str">
        <f ca="1">IF($D199="","",OFFSET('(2)出場選手'!$B$2,$A199,Y$1))</f>
        <v/>
      </c>
      <c r="Z199" s="17" t="str">
        <f ca="1">IF($D199="","",OFFSET('(2)出場選手'!$B$2,$A199,Z$1))</f>
        <v/>
      </c>
    </row>
    <row r="200" spans="1:26" x14ac:dyDescent="0.15">
      <c r="A200" s="17">
        <f>TRUNC((ROWS($D$3:D200)-2)/Max_Entry_Count)+1</f>
        <v>66</v>
      </c>
      <c r="B200" s="17" t="str">
        <f ca="1">IF($A200&gt;=ROWS(Entries)-2,"",IF(OFFSET('(2)出場選手'!$B$2,$A200,B$1+3*(MOD(ROWS($D$3:D200)-2,Max_Entry_Count)))="","",MOD(ROWS($D$3:D200)-2,Max_Entry_Count)))</f>
        <v/>
      </c>
      <c r="D200" s="26" t="str">
        <f ca="1">IF(OR($A200&gt;=ROWS(Entries)-2,$B200=""),"",'(1)鑑'!$E$6&amp;"-"&amp;OFFSET('(2)出場選手'!$B$2,$A200,D$1))</f>
        <v/>
      </c>
      <c r="E200" s="26" t="str">
        <f ca="1">IF($D200="","",OFFSET('(2)出場選手'!$B$2,$A200,E$1))</f>
        <v/>
      </c>
      <c r="F200" s="26" t="str">
        <f ca="1">IF($D200="","",IF(OFFSET('(2)出場選手'!$B$2,$A200,F$1)="","",OFFSET('(2)出場選手'!$B$2,$A200,F$1)))</f>
        <v/>
      </c>
      <c r="G200" s="26" t="str">
        <f t="shared" ca="1" si="18"/>
        <v/>
      </c>
      <c r="H200" s="26" t="str">
        <f t="shared" ca="1" si="19"/>
        <v/>
      </c>
      <c r="I200" s="26" t="str">
        <f ca="1">IF($D200="","",IF(OFFSET('(2)出場選手'!$B$2,$A200,I$1)="","",OFFSET('(2)出場選手'!$B$2,$A200,I$1)))</f>
        <v/>
      </c>
      <c r="J200" s="26" t="str">
        <f ca="1">IF($D200="","",IF(OFFSET('(2)出場選手'!$B$2,$A200,J$1)="",'(1)鑑'!$E$6,OFFSET('(2)出場選手'!$B$2,$A200,J$1)))</f>
        <v/>
      </c>
      <c r="K200" s="26" t="str">
        <f ca="1">IF($D200="","",TRIM(ASC(IF(OFFSET('(2)出場選手'!$B$2,$A200,K$1)="",'(1)鑑'!$E$7,OFFSET('(2)出場選手'!$B$2,$A200,K$1)))))</f>
        <v/>
      </c>
      <c r="L200" s="26" t="str">
        <f ca="1">IF($D200="","",SUBSTITUTE(SUBSTITUTE(SUBSTITUTE(IF(OFFSET('(2)出場選手'!$B$2,$A200,L$1)="",'(1)鑑'!$E$8,OFFSET('(2)出場選手'!$B$2,$A200,L$1)),"県",""),"府",""),"東京都","東京"))</f>
        <v/>
      </c>
      <c r="M200" s="57" t="str">
        <f ca="1">IF($D200="","",IF(OFFSET('(2)出場選手'!$B$2,$A200,M$1)="","",OFFSET('(2)出場選手'!$B$2,$A200,M$1)))</f>
        <v/>
      </c>
      <c r="N200" s="26" t="str">
        <f ca="1">IF($D200="","",OFFSET('(2)出場選手'!$B$2,$A200,N$1+3*$B200))</f>
        <v/>
      </c>
      <c r="O200" s="26" t="str">
        <f ca="1">IF($D200="","",IF(OFFSET('(2)出場選手'!$B$2,$A200,O$1+3*$B200)="","",OFFSET('(2)出場選手'!$B$2,$A200,O$1+3*$B200)))</f>
        <v/>
      </c>
      <c r="P200" s="26" t="str">
        <f ca="1">IF($D200="","",IF(OFFSET('(2)出場選手'!$B$2,$A200,P$1+3*$B200)="","",OFFSET('(2)出場選手'!$B$2,$A200,P$1+3*$B200)))</f>
        <v/>
      </c>
      <c r="Q200" s="43" t="str">
        <f ca="1">IF(D200="","",VLOOKUP(N200,OFFSET(Competition_Events,0,1),11,FALSE)*IF($S200="リレー",IF(COUNTIF($T$3:$T200,$T200)&gt;1,0,1),1))</f>
        <v/>
      </c>
      <c r="R200" s="26" t="str">
        <f t="shared" ca="1" si="20"/>
        <v/>
      </c>
      <c r="S200" s="26" t="str">
        <f t="shared" ca="1" si="21"/>
        <v/>
      </c>
      <c r="T200" s="26" t="str">
        <f t="shared" ca="1" si="22"/>
        <v/>
      </c>
      <c r="U200" s="26" t="str">
        <f t="shared" ca="1" si="23"/>
        <v/>
      </c>
      <c r="W200" s="17" t="str">
        <f ca="1">IF($D200="","",OFFSET('(2)出場選手'!$B$2,$A200,W$1))</f>
        <v/>
      </c>
      <c r="X200" s="17" t="str">
        <f ca="1">IF($D200="","",OFFSET('(2)出場選手'!$B$2,$A200,X$1))</f>
        <v/>
      </c>
      <c r="Y200" s="17" t="str">
        <f ca="1">IF($D200="","",OFFSET('(2)出場選手'!$B$2,$A200,Y$1))</f>
        <v/>
      </c>
      <c r="Z200" s="17" t="str">
        <f ca="1">IF($D200="","",OFFSET('(2)出場選手'!$B$2,$A200,Z$1))</f>
        <v/>
      </c>
    </row>
    <row r="201" spans="1:26" x14ac:dyDescent="0.15">
      <c r="A201" s="17">
        <f>TRUNC((ROWS($D$3:D201)-2)/Max_Entry_Count)+1</f>
        <v>66</v>
      </c>
      <c r="B201" s="17" t="str">
        <f ca="1">IF($A201&gt;=ROWS(Entries)-2,"",IF(OFFSET('(2)出場選手'!$B$2,$A201,B$1+3*(MOD(ROWS($D$3:D201)-2,Max_Entry_Count)))="","",MOD(ROWS($D$3:D201)-2,Max_Entry_Count)))</f>
        <v/>
      </c>
      <c r="D201" s="26" t="str">
        <f ca="1">IF(OR($A201&gt;=ROWS(Entries)-2,$B201=""),"",'(1)鑑'!$E$6&amp;"-"&amp;OFFSET('(2)出場選手'!$B$2,$A201,D$1))</f>
        <v/>
      </c>
      <c r="E201" s="26" t="str">
        <f ca="1">IF($D201="","",OFFSET('(2)出場選手'!$B$2,$A201,E$1))</f>
        <v/>
      </c>
      <c r="F201" s="26" t="str">
        <f ca="1">IF($D201="","",IF(OFFSET('(2)出場選手'!$B$2,$A201,F$1)="","",OFFSET('(2)出場選手'!$B$2,$A201,F$1)))</f>
        <v/>
      </c>
      <c r="G201" s="26" t="str">
        <f t="shared" ca="1" si="18"/>
        <v/>
      </c>
      <c r="H201" s="26" t="str">
        <f t="shared" ca="1" si="19"/>
        <v/>
      </c>
      <c r="I201" s="26" t="str">
        <f ca="1">IF($D201="","",IF(OFFSET('(2)出場選手'!$B$2,$A201,I$1)="","",OFFSET('(2)出場選手'!$B$2,$A201,I$1)))</f>
        <v/>
      </c>
      <c r="J201" s="26" t="str">
        <f ca="1">IF($D201="","",IF(OFFSET('(2)出場選手'!$B$2,$A201,J$1)="",'(1)鑑'!$E$6,OFFSET('(2)出場選手'!$B$2,$A201,J$1)))</f>
        <v/>
      </c>
      <c r="K201" s="26" t="str">
        <f ca="1">IF($D201="","",TRIM(ASC(IF(OFFSET('(2)出場選手'!$B$2,$A201,K$1)="",'(1)鑑'!$E$7,OFFSET('(2)出場選手'!$B$2,$A201,K$1)))))</f>
        <v/>
      </c>
      <c r="L201" s="26" t="str">
        <f ca="1">IF($D201="","",SUBSTITUTE(SUBSTITUTE(SUBSTITUTE(IF(OFFSET('(2)出場選手'!$B$2,$A201,L$1)="",'(1)鑑'!$E$8,OFFSET('(2)出場選手'!$B$2,$A201,L$1)),"県",""),"府",""),"東京都","東京"))</f>
        <v/>
      </c>
      <c r="M201" s="57" t="str">
        <f ca="1">IF($D201="","",IF(OFFSET('(2)出場選手'!$B$2,$A201,M$1)="","",OFFSET('(2)出場選手'!$B$2,$A201,M$1)))</f>
        <v/>
      </c>
      <c r="N201" s="26" t="str">
        <f ca="1">IF($D201="","",OFFSET('(2)出場選手'!$B$2,$A201,N$1+3*$B201))</f>
        <v/>
      </c>
      <c r="O201" s="26" t="str">
        <f ca="1">IF($D201="","",IF(OFFSET('(2)出場選手'!$B$2,$A201,O$1+3*$B201)="","",OFFSET('(2)出場選手'!$B$2,$A201,O$1+3*$B201)))</f>
        <v/>
      </c>
      <c r="P201" s="26" t="str">
        <f ca="1">IF($D201="","",IF(OFFSET('(2)出場選手'!$B$2,$A201,P$1+3*$B201)="","",OFFSET('(2)出場選手'!$B$2,$A201,P$1+3*$B201)))</f>
        <v/>
      </c>
      <c r="Q201" s="43" t="str">
        <f ca="1">IF(D201="","",VLOOKUP(N201,OFFSET(Competition_Events,0,1),11,FALSE)*IF($S201="リレー",IF(COUNTIF($T$3:$T201,$T201)&gt;1,0,1),1))</f>
        <v/>
      </c>
      <c r="R201" s="26" t="str">
        <f t="shared" ca="1" si="20"/>
        <v/>
      </c>
      <c r="S201" s="26" t="str">
        <f t="shared" ca="1" si="21"/>
        <v/>
      </c>
      <c r="T201" s="26" t="str">
        <f t="shared" ca="1" si="22"/>
        <v/>
      </c>
      <c r="U201" s="26" t="str">
        <f t="shared" ca="1" si="23"/>
        <v/>
      </c>
      <c r="W201" s="17" t="str">
        <f ca="1">IF($D201="","",OFFSET('(2)出場選手'!$B$2,$A201,W$1))</f>
        <v/>
      </c>
      <c r="X201" s="17" t="str">
        <f ca="1">IF($D201="","",OFFSET('(2)出場選手'!$B$2,$A201,X$1))</f>
        <v/>
      </c>
      <c r="Y201" s="17" t="str">
        <f ca="1">IF($D201="","",OFFSET('(2)出場選手'!$B$2,$A201,Y$1))</f>
        <v/>
      </c>
      <c r="Z201" s="17" t="str">
        <f ca="1">IF($D201="","",OFFSET('(2)出場選手'!$B$2,$A201,Z$1))</f>
        <v/>
      </c>
    </row>
    <row r="202" spans="1:26" x14ac:dyDescent="0.15">
      <c r="A202" s="17">
        <f>TRUNC((ROWS($D$3:D202)-2)/Max_Entry_Count)+1</f>
        <v>67</v>
      </c>
      <c r="B202" s="17" t="str">
        <f ca="1">IF($A202&gt;=ROWS(Entries)-2,"",IF(OFFSET('(2)出場選手'!$B$2,$A202,B$1+3*(MOD(ROWS($D$3:D202)-2,Max_Entry_Count)))="","",MOD(ROWS($D$3:D202)-2,Max_Entry_Count)))</f>
        <v/>
      </c>
      <c r="D202" s="26" t="str">
        <f ca="1">IF(OR($A202&gt;=ROWS(Entries)-2,$B202=""),"",'(1)鑑'!$E$6&amp;"-"&amp;OFFSET('(2)出場選手'!$B$2,$A202,D$1))</f>
        <v/>
      </c>
      <c r="E202" s="26" t="str">
        <f ca="1">IF($D202="","",OFFSET('(2)出場選手'!$B$2,$A202,E$1))</f>
        <v/>
      </c>
      <c r="F202" s="26" t="str">
        <f ca="1">IF($D202="","",IF(OFFSET('(2)出場選手'!$B$2,$A202,F$1)="","",OFFSET('(2)出場選手'!$B$2,$A202,F$1)))</f>
        <v/>
      </c>
      <c r="G202" s="26" t="str">
        <f t="shared" ca="1" si="18"/>
        <v/>
      </c>
      <c r="H202" s="26" t="str">
        <f t="shared" ca="1" si="19"/>
        <v/>
      </c>
      <c r="I202" s="26" t="str">
        <f ca="1">IF($D202="","",IF(OFFSET('(2)出場選手'!$B$2,$A202,I$1)="","",OFFSET('(2)出場選手'!$B$2,$A202,I$1)))</f>
        <v/>
      </c>
      <c r="J202" s="26" t="str">
        <f ca="1">IF($D202="","",IF(OFFSET('(2)出場選手'!$B$2,$A202,J$1)="",'(1)鑑'!$E$6,OFFSET('(2)出場選手'!$B$2,$A202,J$1)))</f>
        <v/>
      </c>
      <c r="K202" s="26" t="str">
        <f ca="1">IF($D202="","",TRIM(ASC(IF(OFFSET('(2)出場選手'!$B$2,$A202,K$1)="",'(1)鑑'!$E$7,OFFSET('(2)出場選手'!$B$2,$A202,K$1)))))</f>
        <v/>
      </c>
      <c r="L202" s="26" t="str">
        <f ca="1">IF($D202="","",SUBSTITUTE(SUBSTITUTE(SUBSTITUTE(IF(OFFSET('(2)出場選手'!$B$2,$A202,L$1)="",'(1)鑑'!$E$8,OFFSET('(2)出場選手'!$B$2,$A202,L$1)),"県",""),"府",""),"東京都","東京"))</f>
        <v/>
      </c>
      <c r="M202" s="57" t="str">
        <f ca="1">IF($D202="","",IF(OFFSET('(2)出場選手'!$B$2,$A202,M$1)="","",OFFSET('(2)出場選手'!$B$2,$A202,M$1)))</f>
        <v/>
      </c>
      <c r="N202" s="26" t="str">
        <f ca="1">IF($D202="","",OFFSET('(2)出場選手'!$B$2,$A202,N$1+3*$B202))</f>
        <v/>
      </c>
      <c r="O202" s="26" t="str">
        <f ca="1">IF($D202="","",IF(OFFSET('(2)出場選手'!$B$2,$A202,O$1+3*$B202)="","",OFFSET('(2)出場選手'!$B$2,$A202,O$1+3*$B202)))</f>
        <v/>
      </c>
      <c r="P202" s="26" t="str">
        <f ca="1">IF($D202="","",IF(OFFSET('(2)出場選手'!$B$2,$A202,P$1+3*$B202)="","",OFFSET('(2)出場選手'!$B$2,$A202,P$1+3*$B202)))</f>
        <v/>
      </c>
      <c r="Q202" s="43" t="str">
        <f ca="1">IF(D202="","",VLOOKUP(N202,OFFSET(Competition_Events,0,1),11,FALSE)*IF($S202="リレー",IF(COUNTIF($T$3:$T202,$T202)&gt;1,0,1),1))</f>
        <v/>
      </c>
      <c r="R202" s="26" t="str">
        <f t="shared" ca="1" si="20"/>
        <v/>
      </c>
      <c r="S202" s="26" t="str">
        <f t="shared" ca="1" si="21"/>
        <v/>
      </c>
      <c r="T202" s="26" t="str">
        <f t="shared" ca="1" si="22"/>
        <v/>
      </c>
      <c r="U202" s="26" t="str">
        <f t="shared" ca="1" si="23"/>
        <v/>
      </c>
      <c r="W202" s="17" t="str">
        <f ca="1">IF($D202="","",OFFSET('(2)出場選手'!$B$2,$A202,W$1))</f>
        <v/>
      </c>
      <c r="X202" s="17" t="str">
        <f ca="1">IF($D202="","",OFFSET('(2)出場選手'!$B$2,$A202,X$1))</f>
        <v/>
      </c>
      <c r="Y202" s="17" t="str">
        <f ca="1">IF($D202="","",OFFSET('(2)出場選手'!$B$2,$A202,Y$1))</f>
        <v/>
      </c>
      <c r="Z202" s="17" t="str">
        <f ca="1">IF($D202="","",OFFSET('(2)出場選手'!$B$2,$A202,Z$1))</f>
        <v/>
      </c>
    </row>
    <row r="203" spans="1:26" x14ac:dyDescent="0.15">
      <c r="A203" s="17">
        <f>TRUNC((ROWS($D$3:D203)-2)/Max_Entry_Count)+1</f>
        <v>67</v>
      </c>
      <c r="B203" s="17" t="str">
        <f ca="1">IF($A203&gt;=ROWS(Entries)-2,"",IF(OFFSET('(2)出場選手'!$B$2,$A203,B$1+3*(MOD(ROWS($D$3:D203)-2,Max_Entry_Count)))="","",MOD(ROWS($D$3:D203)-2,Max_Entry_Count)))</f>
        <v/>
      </c>
      <c r="D203" s="26" t="str">
        <f ca="1">IF(OR($A203&gt;=ROWS(Entries)-2,$B203=""),"",'(1)鑑'!$E$6&amp;"-"&amp;OFFSET('(2)出場選手'!$B$2,$A203,D$1))</f>
        <v/>
      </c>
      <c r="E203" s="26" t="str">
        <f ca="1">IF($D203="","",OFFSET('(2)出場選手'!$B$2,$A203,E$1))</f>
        <v/>
      </c>
      <c r="F203" s="26" t="str">
        <f ca="1">IF($D203="","",IF(OFFSET('(2)出場選手'!$B$2,$A203,F$1)="","",OFFSET('(2)出場選手'!$B$2,$A203,F$1)))</f>
        <v/>
      </c>
      <c r="G203" s="26" t="str">
        <f t="shared" ca="1" si="18"/>
        <v/>
      </c>
      <c r="H203" s="26" t="str">
        <f t="shared" ca="1" si="19"/>
        <v/>
      </c>
      <c r="I203" s="26" t="str">
        <f ca="1">IF($D203="","",IF(OFFSET('(2)出場選手'!$B$2,$A203,I$1)="","",OFFSET('(2)出場選手'!$B$2,$A203,I$1)))</f>
        <v/>
      </c>
      <c r="J203" s="26" t="str">
        <f ca="1">IF($D203="","",IF(OFFSET('(2)出場選手'!$B$2,$A203,J$1)="",'(1)鑑'!$E$6,OFFSET('(2)出場選手'!$B$2,$A203,J$1)))</f>
        <v/>
      </c>
      <c r="K203" s="26" t="str">
        <f ca="1">IF($D203="","",TRIM(ASC(IF(OFFSET('(2)出場選手'!$B$2,$A203,K$1)="",'(1)鑑'!$E$7,OFFSET('(2)出場選手'!$B$2,$A203,K$1)))))</f>
        <v/>
      </c>
      <c r="L203" s="26" t="str">
        <f ca="1">IF($D203="","",SUBSTITUTE(SUBSTITUTE(SUBSTITUTE(IF(OFFSET('(2)出場選手'!$B$2,$A203,L$1)="",'(1)鑑'!$E$8,OFFSET('(2)出場選手'!$B$2,$A203,L$1)),"県",""),"府",""),"東京都","東京"))</f>
        <v/>
      </c>
      <c r="M203" s="57" t="str">
        <f ca="1">IF($D203="","",IF(OFFSET('(2)出場選手'!$B$2,$A203,M$1)="","",OFFSET('(2)出場選手'!$B$2,$A203,M$1)))</f>
        <v/>
      </c>
      <c r="N203" s="26" t="str">
        <f ca="1">IF($D203="","",OFFSET('(2)出場選手'!$B$2,$A203,N$1+3*$B203))</f>
        <v/>
      </c>
      <c r="O203" s="26" t="str">
        <f ca="1">IF($D203="","",IF(OFFSET('(2)出場選手'!$B$2,$A203,O$1+3*$B203)="","",OFFSET('(2)出場選手'!$B$2,$A203,O$1+3*$B203)))</f>
        <v/>
      </c>
      <c r="P203" s="26" t="str">
        <f ca="1">IF($D203="","",IF(OFFSET('(2)出場選手'!$B$2,$A203,P$1+3*$B203)="","",OFFSET('(2)出場選手'!$B$2,$A203,P$1+3*$B203)))</f>
        <v/>
      </c>
      <c r="Q203" s="43" t="str">
        <f ca="1">IF(D203="","",VLOOKUP(N203,OFFSET(Competition_Events,0,1),11,FALSE)*IF($S203="リレー",IF(COUNTIF($T$3:$T203,$T203)&gt;1,0,1),1))</f>
        <v/>
      </c>
      <c r="R203" s="26" t="str">
        <f t="shared" ca="1" si="20"/>
        <v/>
      </c>
      <c r="S203" s="26" t="str">
        <f t="shared" ca="1" si="21"/>
        <v/>
      </c>
      <c r="T203" s="26" t="str">
        <f t="shared" ca="1" si="22"/>
        <v/>
      </c>
      <c r="U203" s="26" t="str">
        <f t="shared" ca="1" si="23"/>
        <v/>
      </c>
      <c r="W203" s="17" t="str">
        <f ca="1">IF($D203="","",OFFSET('(2)出場選手'!$B$2,$A203,W$1))</f>
        <v/>
      </c>
      <c r="X203" s="17" t="str">
        <f ca="1">IF($D203="","",OFFSET('(2)出場選手'!$B$2,$A203,X$1))</f>
        <v/>
      </c>
      <c r="Y203" s="17" t="str">
        <f ca="1">IF($D203="","",OFFSET('(2)出場選手'!$B$2,$A203,Y$1))</f>
        <v/>
      </c>
      <c r="Z203" s="17" t="str">
        <f ca="1">IF($D203="","",OFFSET('(2)出場選手'!$B$2,$A203,Z$1))</f>
        <v/>
      </c>
    </row>
    <row r="204" spans="1:26" x14ac:dyDescent="0.15">
      <c r="A204" s="17">
        <f>TRUNC((ROWS($D$3:D204)-2)/Max_Entry_Count)+1</f>
        <v>67</v>
      </c>
      <c r="B204" s="17" t="str">
        <f ca="1">IF($A204&gt;=ROWS(Entries)-2,"",IF(OFFSET('(2)出場選手'!$B$2,$A204,B$1+3*(MOD(ROWS($D$3:D204)-2,Max_Entry_Count)))="","",MOD(ROWS($D$3:D204)-2,Max_Entry_Count)))</f>
        <v/>
      </c>
      <c r="D204" s="26" t="str">
        <f ca="1">IF(OR($A204&gt;=ROWS(Entries)-2,$B204=""),"",'(1)鑑'!$E$6&amp;"-"&amp;OFFSET('(2)出場選手'!$B$2,$A204,D$1))</f>
        <v/>
      </c>
      <c r="E204" s="26" t="str">
        <f ca="1">IF($D204="","",OFFSET('(2)出場選手'!$B$2,$A204,E$1))</f>
        <v/>
      </c>
      <c r="F204" s="26" t="str">
        <f ca="1">IF($D204="","",IF(OFFSET('(2)出場選手'!$B$2,$A204,F$1)="","",OFFSET('(2)出場選手'!$B$2,$A204,F$1)))</f>
        <v/>
      </c>
      <c r="G204" s="26" t="str">
        <f t="shared" ca="1" si="18"/>
        <v/>
      </c>
      <c r="H204" s="26" t="str">
        <f t="shared" ca="1" si="19"/>
        <v/>
      </c>
      <c r="I204" s="26" t="str">
        <f ca="1">IF($D204="","",IF(OFFSET('(2)出場選手'!$B$2,$A204,I$1)="","",OFFSET('(2)出場選手'!$B$2,$A204,I$1)))</f>
        <v/>
      </c>
      <c r="J204" s="26" t="str">
        <f ca="1">IF($D204="","",IF(OFFSET('(2)出場選手'!$B$2,$A204,J$1)="",'(1)鑑'!$E$6,OFFSET('(2)出場選手'!$B$2,$A204,J$1)))</f>
        <v/>
      </c>
      <c r="K204" s="26" t="str">
        <f ca="1">IF($D204="","",TRIM(ASC(IF(OFFSET('(2)出場選手'!$B$2,$A204,K$1)="",'(1)鑑'!$E$7,OFFSET('(2)出場選手'!$B$2,$A204,K$1)))))</f>
        <v/>
      </c>
      <c r="L204" s="26" t="str">
        <f ca="1">IF($D204="","",SUBSTITUTE(SUBSTITUTE(SUBSTITUTE(IF(OFFSET('(2)出場選手'!$B$2,$A204,L$1)="",'(1)鑑'!$E$8,OFFSET('(2)出場選手'!$B$2,$A204,L$1)),"県",""),"府",""),"東京都","東京"))</f>
        <v/>
      </c>
      <c r="M204" s="57" t="str">
        <f ca="1">IF($D204="","",IF(OFFSET('(2)出場選手'!$B$2,$A204,M$1)="","",OFFSET('(2)出場選手'!$B$2,$A204,M$1)))</f>
        <v/>
      </c>
      <c r="N204" s="26" t="str">
        <f ca="1">IF($D204="","",OFFSET('(2)出場選手'!$B$2,$A204,N$1+3*$B204))</f>
        <v/>
      </c>
      <c r="O204" s="26" t="str">
        <f ca="1">IF($D204="","",IF(OFFSET('(2)出場選手'!$B$2,$A204,O$1+3*$B204)="","",OFFSET('(2)出場選手'!$B$2,$A204,O$1+3*$B204)))</f>
        <v/>
      </c>
      <c r="P204" s="26" t="str">
        <f ca="1">IF($D204="","",IF(OFFSET('(2)出場選手'!$B$2,$A204,P$1+3*$B204)="","",OFFSET('(2)出場選手'!$B$2,$A204,P$1+3*$B204)))</f>
        <v/>
      </c>
      <c r="Q204" s="43" t="str">
        <f ca="1">IF(D204="","",VLOOKUP(N204,OFFSET(Competition_Events,0,1),11,FALSE)*IF($S204="リレー",IF(COUNTIF($T$3:$T204,$T204)&gt;1,0,1),1))</f>
        <v/>
      </c>
      <c r="R204" s="26" t="str">
        <f t="shared" ca="1" si="20"/>
        <v/>
      </c>
      <c r="S204" s="26" t="str">
        <f t="shared" ca="1" si="21"/>
        <v/>
      </c>
      <c r="T204" s="26" t="str">
        <f t="shared" ca="1" si="22"/>
        <v/>
      </c>
      <c r="U204" s="26" t="str">
        <f t="shared" ca="1" si="23"/>
        <v/>
      </c>
      <c r="W204" s="17" t="str">
        <f ca="1">IF($D204="","",OFFSET('(2)出場選手'!$B$2,$A204,W$1))</f>
        <v/>
      </c>
      <c r="X204" s="17" t="str">
        <f ca="1">IF($D204="","",OFFSET('(2)出場選手'!$B$2,$A204,X$1))</f>
        <v/>
      </c>
      <c r="Y204" s="17" t="str">
        <f ca="1">IF($D204="","",OFFSET('(2)出場選手'!$B$2,$A204,Y$1))</f>
        <v/>
      </c>
      <c r="Z204" s="17" t="str">
        <f ca="1">IF($D204="","",OFFSET('(2)出場選手'!$B$2,$A204,Z$1))</f>
        <v/>
      </c>
    </row>
    <row r="205" spans="1:26" x14ac:dyDescent="0.15">
      <c r="A205" s="17">
        <f>TRUNC((ROWS($D$3:D205)-2)/Max_Entry_Count)+1</f>
        <v>68</v>
      </c>
      <c r="B205" s="17" t="str">
        <f ca="1">IF($A205&gt;=ROWS(Entries)-2,"",IF(OFFSET('(2)出場選手'!$B$2,$A205,B$1+3*(MOD(ROWS($D$3:D205)-2,Max_Entry_Count)))="","",MOD(ROWS($D$3:D205)-2,Max_Entry_Count)))</f>
        <v/>
      </c>
      <c r="D205" s="26" t="str">
        <f ca="1">IF(OR($A205&gt;=ROWS(Entries)-2,$B205=""),"",'(1)鑑'!$E$6&amp;"-"&amp;OFFSET('(2)出場選手'!$B$2,$A205,D$1))</f>
        <v/>
      </c>
      <c r="E205" s="26" t="str">
        <f ca="1">IF($D205="","",OFFSET('(2)出場選手'!$B$2,$A205,E$1))</f>
        <v/>
      </c>
      <c r="F205" s="26" t="str">
        <f ca="1">IF($D205="","",IF(OFFSET('(2)出場選手'!$B$2,$A205,F$1)="","",OFFSET('(2)出場選手'!$B$2,$A205,F$1)))</f>
        <v/>
      </c>
      <c r="G205" s="26" t="str">
        <f t="shared" ca="1" si="18"/>
        <v/>
      </c>
      <c r="H205" s="26" t="str">
        <f t="shared" ca="1" si="19"/>
        <v/>
      </c>
      <c r="I205" s="26" t="str">
        <f ca="1">IF($D205="","",IF(OFFSET('(2)出場選手'!$B$2,$A205,I$1)="","",OFFSET('(2)出場選手'!$B$2,$A205,I$1)))</f>
        <v/>
      </c>
      <c r="J205" s="26" t="str">
        <f ca="1">IF($D205="","",IF(OFFSET('(2)出場選手'!$B$2,$A205,J$1)="",'(1)鑑'!$E$6,OFFSET('(2)出場選手'!$B$2,$A205,J$1)))</f>
        <v/>
      </c>
      <c r="K205" s="26" t="str">
        <f ca="1">IF($D205="","",TRIM(ASC(IF(OFFSET('(2)出場選手'!$B$2,$A205,K$1)="",'(1)鑑'!$E$7,OFFSET('(2)出場選手'!$B$2,$A205,K$1)))))</f>
        <v/>
      </c>
      <c r="L205" s="26" t="str">
        <f ca="1">IF($D205="","",SUBSTITUTE(SUBSTITUTE(SUBSTITUTE(IF(OFFSET('(2)出場選手'!$B$2,$A205,L$1)="",'(1)鑑'!$E$8,OFFSET('(2)出場選手'!$B$2,$A205,L$1)),"県",""),"府",""),"東京都","東京"))</f>
        <v/>
      </c>
      <c r="M205" s="57" t="str">
        <f ca="1">IF($D205="","",IF(OFFSET('(2)出場選手'!$B$2,$A205,M$1)="","",OFFSET('(2)出場選手'!$B$2,$A205,M$1)))</f>
        <v/>
      </c>
      <c r="N205" s="26" t="str">
        <f ca="1">IF($D205="","",OFFSET('(2)出場選手'!$B$2,$A205,N$1+3*$B205))</f>
        <v/>
      </c>
      <c r="O205" s="26" t="str">
        <f ca="1">IF($D205="","",IF(OFFSET('(2)出場選手'!$B$2,$A205,O$1+3*$B205)="","",OFFSET('(2)出場選手'!$B$2,$A205,O$1+3*$B205)))</f>
        <v/>
      </c>
      <c r="P205" s="26" t="str">
        <f ca="1">IF($D205="","",IF(OFFSET('(2)出場選手'!$B$2,$A205,P$1+3*$B205)="","",OFFSET('(2)出場選手'!$B$2,$A205,P$1+3*$B205)))</f>
        <v/>
      </c>
      <c r="Q205" s="43" t="str">
        <f ca="1">IF(D205="","",VLOOKUP(N205,OFFSET(Competition_Events,0,1),11,FALSE)*IF($S205="リレー",IF(COUNTIF($T$3:$T205,$T205)&gt;1,0,1),1))</f>
        <v/>
      </c>
      <c r="R205" s="26" t="str">
        <f t="shared" ca="1" si="20"/>
        <v/>
      </c>
      <c r="S205" s="26" t="str">
        <f t="shared" ca="1" si="21"/>
        <v/>
      </c>
      <c r="T205" s="26" t="str">
        <f t="shared" ca="1" si="22"/>
        <v/>
      </c>
      <c r="U205" s="26" t="str">
        <f t="shared" ca="1" si="23"/>
        <v/>
      </c>
      <c r="W205" s="17" t="str">
        <f ca="1">IF($D205="","",OFFSET('(2)出場選手'!$B$2,$A205,W$1))</f>
        <v/>
      </c>
      <c r="X205" s="17" t="str">
        <f ca="1">IF($D205="","",OFFSET('(2)出場選手'!$B$2,$A205,X$1))</f>
        <v/>
      </c>
      <c r="Y205" s="17" t="str">
        <f ca="1">IF($D205="","",OFFSET('(2)出場選手'!$B$2,$A205,Y$1))</f>
        <v/>
      </c>
      <c r="Z205" s="17" t="str">
        <f ca="1">IF($D205="","",OFFSET('(2)出場選手'!$B$2,$A205,Z$1))</f>
        <v/>
      </c>
    </row>
    <row r="206" spans="1:26" x14ac:dyDescent="0.15">
      <c r="A206" s="17">
        <f>TRUNC((ROWS($D$3:D206)-2)/Max_Entry_Count)+1</f>
        <v>68</v>
      </c>
      <c r="B206" s="17" t="str">
        <f ca="1">IF($A206&gt;=ROWS(Entries)-2,"",IF(OFFSET('(2)出場選手'!$B$2,$A206,B$1+3*(MOD(ROWS($D$3:D206)-2,Max_Entry_Count)))="","",MOD(ROWS($D$3:D206)-2,Max_Entry_Count)))</f>
        <v/>
      </c>
      <c r="D206" s="26" t="str">
        <f ca="1">IF(OR($A206&gt;=ROWS(Entries)-2,$B206=""),"",'(1)鑑'!$E$6&amp;"-"&amp;OFFSET('(2)出場選手'!$B$2,$A206,D$1))</f>
        <v/>
      </c>
      <c r="E206" s="26" t="str">
        <f ca="1">IF($D206="","",OFFSET('(2)出場選手'!$B$2,$A206,E$1))</f>
        <v/>
      </c>
      <c r="F206" s="26" t="str">
        <f ca="1">IF($D206="","",IF(OFFSET('(2)出場選手'!$B$2,$A206,F$1)="","",OFFSET('(2)出場選手'!$B$2,$A206,F$1)))</f>
        <v/>
      </c>
      <c r="G206" s="26" t="str">
        <f t="shared" ca="1" si="18"/>
        <v/>
      </c>
      <c r="H206" s="26" t="str">
        <f t="shared" ca="1" si="19"/>
        <v/>
      </c>
      <c r="I206" s="26" t="str">
        <f ca="1">IF($D206="","",IF(OFFSET('(2)出場選手'!$B$2,$A206,I$1)="","",OFFSET('(2)出場選手'!$B$2,$A206,I$1)))</f>
        <v/>
      </c>
      <c r="J206" s="26" t="str">
        <f ca="1">IF($D206="","",IF(OFFSET('(2)出場選手'!$B$2,$A206,J$1)="",'(1)鑑'!$E$6,OFFSET('(2)出場選手'!$B$2,$A206,J$1)))</f>
        <v/>
      </c>
      <c r="K206" s="26" t="str">
        <f ca="1">IF($D206="","",TRIM(ASC(IF(OFFSET('(2)出場選手'!$B$2,$A206,K$1)="",'(1)鑑'!$E$7,OFFSET('(2)出場選手'!$B$2,$A206,K$1)))))</f>
        <v/>
      </c>
      <c r="L206" s="26" t="str">
        <f ca="1">IF($D206="","",SUBSTITUTE(SUBSTITUTE(SUBSTITUTE(IF(OFFSET('(2)出場選手'!$B$2,$A206,L$1)="",'(1)鑑'!$E$8,OFFSET('(2)出場選手'!$B$2,$A206,L$1)),"県",""),"府",""),"東京都","東京"))</f>
        <v/>
      </c>
      <c r="M206" s="57" t="str">
        <f ca="1">IF($D206="","",IF(OFFSET('(2)出場選手'!$B$2,$A206,M$1)="","",OFFSET('(2)出場選手'!$B$2,$A206,M$1)))</f>
        <v/>
      </c>
      <c r="N206" s="26" t="str">
        <f ca="1">IF($D206="","",OFFSET('(2)出場選手'!$B$2,$A206,N$1+3*$B206))</f>
        <v/>
      </c>
      <c r="O206" s="26" t="str">
        <f ca="1">IF($D206="","",IF(OFFSET('(2)出場選手'!$B$2,$A206,O$1+3*$B206)="","",OFFSET('(2)出場選手'!$B$2,$A206,O$1+3*$B206)))</f>
        <v/>
      </c>
      <c r="P206" s="26" t="str">
        <f ca="1">IF($D206="","",IF(OFFSET('(2)出場選手'!$B$2,$A206,P$1+3*$B206)="","",OFFSET('(2)出場選手'!$B$2,$A206,P$1+3*$B206)))</f>
        <v/>
      </c>
      <c r="Q206" s="43" t="str">
        <f ca="1">IF(D206="","",VLOOKUP(N206,OFFSET(Competition_Events,0,1),11,FALSE)*IF($S206="リレー",IF(COUNTIF($T$3:$T206,$T206)&gt;1,0,1),1))</f>
        <v/>
      </c>
      <c r="R206" s="26" t="str">
        <f t="shared" ca="1" si="20"/>
        <v/>
      </c>
      <c r="S206" s="26" t="str">
        <f t="shared" ca="1" si="21"/>
        <v/>
      </c>
      <c r="T206" s="26" t="str">
        <f t="shared" ca="1" si="22"/>
        <v/>
      </c>
      <c r="U206" s="26" t="str">
        <f t="shared" ca="1" si="23"/>
        <v/>
      </c>
      <c r="W206" s="17" t="str">
        <f ca="1">IF($D206="","",OFFSET('(2)出場選手'!$B$2,$A206,W$1))</f>
        <v/>
      </c>
      <c r="X206" s="17" t="str">
        <f ca="1">IF($D206="","",OFFSET('(2)出場選手'!$B$2,$A206,X$1))</f>
        <v/>
      </c>
      <c r="Y206" s="17" t="str">
        <f ca="1">IF($D206="","",OFFSET('(2)出場選手'!$B$2,$A206,Y$1))</f>
        <v/>
      </c>
      <c r="Z206" s="17" t="str">
        <f ca="1">IF($D206="","",OFFSET('(2)出場選手'!$B$2,$A206,Z$1))</f>
        <v/>
      </c>
    </row>
    <row r="207" spans="1:26" x14ac:dyDescent="0.15">
      <c r="A207" s="17">
        <f>TRUNC((ROWS($D$3:D207)-2)/Max_Entry_Count)+1</f>
        <v>68</v>
      </c>
      <c r="B207" s="17" t="str">
        <f ca="1">IF($A207&gt;=ROWS(Entries)-2,"",IF(OFFSET('(2)出場選手'!$B$2,$A207,B$1+3*(MOD(ROWS($D$3:D207)-2,Max_Entry_Count)))="","",MOD(ROWS($D$3:D207)-2,Max_Entry_Count)))</f>
        <v/>
      </c>
      <c r="D207" s="26" t="str">
        <f ca="1">IF(OR($A207&gt;=ROWS(Entries)-2,$B207=""),"",'(1)鑑'!$E$6&amp;"-"&amp;OFFSET('(2)出場選手'!$B$2,$A207,D$1))</f>
        <v/>
      </c>
      <c r="E207" s="26" t="str">
        <f ca="1">IF($D207="","",OFFSET('(2)出場選手'!$B$2,$A207,E$1))</f>
        <v/>
      </c>
      <c r="F207" s="26" t="str">
        <f ca="1">IF($D207="","",IF(OFFSET('(2)出場選手'!$B$2,$A207,F$1)="","",OFFSET('(2)出場選手'!$B$2,$A207,F$1)))</f>
        <v/>
      </c>
      <c r="G207" s="26" t="str">
        <f t="shared" ca="1" si="18"/>
        <v/>
      </c>
      <c r="H207" s="26" t="str">
        <f t="shared" ca="1" si="19"/>
        <v/>
      </c>
      <c r="I207" s="26" t="str">
        <f ca="1">IF($D207="","",IF(OFFSET('(2)出場選手'!$B$2,$A207,I$1)="","",OFFSET('(2)出場選手'!$B$2,$A207,I$1)))</f>
        <v/>
      </c>
      <c r="J207" s="26" t="str">
        <f ca="1">IF($D207="","",IF(OFFSET('(2)出場選手'!$B$2,$A207,J$1)="",'(1)鑑'!$E$6,OFFSET('(2)出場選手'!$B$2,$A207,J$1)))</f>
        <v/>
      </c>
      <c r="K207" s="26" t="str">
        <f ca="1">IF($D207="","",TRIM(ASC(IF(OFFSET('(2)出場選手'!$B$2,$A207,K$1)="",'(1)鑑'!$E$7,OFFSET('(2)出場選手'!$B$2,$A207,K$1)))))</f>
        <v/>
      </c>
      <c r="L207" s="26" t="str">
        <f ca="1">IF($D207="","",SUBSTITUTE(SUBSTITUTE(SUBSTITUTE(IF(OFFSET('(2)出場選手'!$B$2,$A207,L$1)="",'(1)鑑'!$E$8,OFFSET('(2)出場選手'!$B$2,$A207,L$1)),"県",""),"府",""),"東京都","東京"))</f>
        <v/>
      </c>
      <c r="M207" s="57" t="str">
        <f ca="1">IF($D207="","",IF(OFFSET('(2)出場選手'!$B$2,$A207,M$1)="","",OFFSET('(2)出場選手'!$B$2,$A207,M$1)))</f>
        <v/>
      </c>
      <c r="N207" s="26" t="str">
        <f ca="1">IF($D207="","",OFFSET('(2)出場選手'!$B$2,$A207,N$1+3*$B207))</f>
        <v/>
      </c>
      <c r="O207" s="26" t="str">
        <f ca="1">IF($D207="","",IF(OFFSET('(2)出場選手'!$B$2,$A207,O$1+3*$B207)="","",OFFSET('(2)出場選手'!$B$2,$A207,O$1+3*$B207)))</f>
        <v/>
      </c>
      <c r="P207" s="26" t="str">
        <f ca="1">IF($D207="","",IF(OFFSET('(2)出場選手'!$B$2,$A207,P$1+3*$B207)="","",OFFSET('(2)出場選手'!$B$2,$A207,P$1+3*$B207)))</f>
        <v/>
      </c>
      <c r="Q207" s="43" t="str">
        <f ca="1">IF(D207="","",VLOOKUP(N207,OFFSET(Competition_Events,0,1),11,FALSE)*IF($S207="リレー",IF(COUNTIF($T$3:$T207,$T207)&gt;1,0,1),1))</f>
        <v/>
      </c>
      <c r="R207" s="26" t="str">
        <f t="shared" ca="1" si="20"/>
        <v/>
      </c>
      <c r="S207" s="26" t="str">
        <f t="shared" ca="1" si="21"/>
        <v/>
      </c>
      <c r="T207" s="26" t="str">
        <f t="shared" ca="1" si="22"/>
        <v/>
      </c>
      <c r="U207" s="26" t="str">
        <f t="shared" ca="1" si="23"/>
        <v/>
      </c>
      <c r="W207" s="17" t="str">
        <f ca="1">IF($D207="","",OFFSET('(2)出場選手'!$B$2,$A207,W$1))</f>
        <v/>
      </c>
      <c r="X207" s="17" t="str">
        <f ca="1">IF($D207="","",OFFSET('(2)出場選手'!$B$2,$A207,X$1))</f>
        <v/>
      </c>
      <c r="Y207" s="17" t="str">
        <f ca="1">IF($D207="","",OFFSET('(2)出場選手'!$B$2,$A207,Y$1))</f>
        <v/>
      </c>
      <c r="Z207" s="17" t="str">
        <f ca="1">IF($D207="","",OFFSET('(2)出場選手'!$B$2,$A207,Z$1))</f>
        <v/>
      </c>
    </row>
    <row r="208" spans="1:26" x14ac:dyDescent="0.15">
      <c r="A208" s="17">
        <f>TRUNC((ROWS($D$3:D208)-2)/Max_Entry_Count)+1</f>
        <v>69</v>
      </c>
      <c r="B208" s="17" t="str">
        <f ca="1">IF($A208&gt;=ROWS(Entries)-2,"",IF(OFFSET('(2)出場選手'!$B$2,$A208,B$1+3*(MOD(ROWS($D$3:D208)-2,Max_Entry_Count)))="","",MOD(ROWS($D$3:D208)-2,Max_Entry_Count)))</f>
        <v/>
      </c>
      <c r="D208" s="26" t="str">
        <f ca="1">IF(OR($A208&gt;=ROWS(Entries)-2,$B208=""),"",'(1)鑑'!$E$6&amp;"-"&amp;OFFSET('(2)出場選手'!$B$2,$A208,D$1))</f>
        <v/>
      </c>
      <c r="E208" s="26" t="str">
        <f ca="1">IF($D208="","",OFFSET('(2)出場選手'!$B$2,$A208,E$1))</f>
        <v/>
      </c>
      <c r="F208" s="26" t="str">
        <f ca="1">IF($D208="","",IF(OFFSET('(2)出場選手'!$B$2,$A208,F$1)="","",OFFSET('(2)出場選手'!$B$2,$A208,F$1)))</f>
        <v/>
      </c>
      <c r="G208" s="26" t="str">
        <f t="shared" ca="1" si="18"/>
        <v/>
      </c>
      <c r="H208" s="26" t="str">
        <f t="shared" ca="1" si="19"/>
        <v/>
      </c>
      <c r="I208" s="26" t="str">
        <f ca="1">IF($D208="","",IF(OFFSET('(2)出場選手'!$B$2,$A208,I$1)="","",OFFSET('(2)出場選手'!$B$2,$A208,I$1)))</f>
        <v/>
      </c>
      <c r="J208" s="26" t="str">
        <f ca="1">IF($D208="","",IF(OFFSET('(2)出場選手'!$B$2,$A208,J$1)="",'(1)鑑'!$E$6,OFFSET('(2)出場選手'!$B$2,$A208,J$1)))</f>
        <v/>
      </c>
      <c r="K208" s="26" t="str">
        <f ca="1">IF($D208="","",TRIM(ASC(IF(OFFSET('(2)出場選手'!$B$2,$A208,K$1)="",'(1)鑑'!$E$7,OFFSET('(2)出場選手'!$B$2,$A208,K$1)))))</f>
        <v/>
      </c>
      <c r="L208" s="26" t="str">
        <f ca="1">IF($D208="","",SUBSTITUTE(SUBSTITUTE(SUBSTITUTE(IF(OFFSET('(2)出場選手'!$B$2,$A208,L$1)="",'(1)鑑'!$E$8,OFFSET('(2)出場選手'!$B$2,$A208,L$1)),"県",""),"府",""),"東京都","東京"))</f>
        <v/>
      </c>
      <c r="M208" s="57" t="str">
        <f ca="1">IF($D208="","",IF(OFFSET('(2)出場選手'!$B$2,$A208,M$1)="","",OFFSET('(2)出場選手'!$B$2,$A208,M$1)))</f>
        <v/>
      </c>
      <c r="N208" s="26" t="str">
        <f ca="1">IF($D208="","",OFFSET('(2)出場選手'!$B$2,$A208,N$1+3*$B208))</f>
        <v/>
      </c>
      <c r="O208" s="26" t="str">
        <f ca="1">IF($D208="","",IF(OFFSET('(2)出場選手'!$B$2,$A208,O$1+3*$B208)="","",OFFSET('(2)出場選手'!$B$2,$A208,O$1+3*$B208)))</f>
        <v/>
      </c>
      <c r="P208" s="26" t="str">
        <f ca="1">IF($D208="","",IF(OFFSET('(2)出場選手'!$B$2,$A208,P$1+3*$B208)="","",OFFSET('(2)出場選手'!$B$2,$A208,P$1+3*$B208)))</f>
        <v/>
      </c>
      <c r="Q208" s="43" t="str">
        <f ca="1">IF(D208="","",VLOOKUP(N208,OFFSET(Competition_Events,0,1),11,FALSE)*IF($S208="リレー",IF(COUNTIF($T$3:$T208,$T208)&gt;1,0,1),1))</f>
        <v/>
      </c>
      <c r="R208" s="26" t="str">
        <f t="shared" ca="1" si="20"/>
        <v/>
      </c>
      <c r="S208" s="26" t="str">
        <f t="shared" ca="1" si="21"/>
        <v/>
      </c>
      <c r="T208" s="26" t="str">
        <f t="shared" ca="1" si="22"/>
        <v/>
      </c>
      <c r="U208" s="26" t="str">
        <f t="shared" ca="1" si="23"/>
        <v/>
      </c>
      <c r="W208" s="17" t="str">
        <f ca="1">IF($D208="","",OFFSET('(2)出場選手'!$B$2,$A208,W$1))</f>
        <v/>
      </c>
      <c r="X208" s="17" t="str">
        <f ca="1">IF($D208="","",OFFSET('(2)出場選手'!$B$2,$A208,X$1))</f>
        <v/>
      </c>
      <c r="Y208" s="17" t="str">
        <f ca="1">IF($D208="","",OFFSET('(2)出場選手'!$B$2,$A208,Y$1))</f>
        <v/>
      </c>
      <c r="Z208" s="17" t="str">
        <f ca="1">IF($D208="","",OFFSET('(2)出場選手'!$B$2,$A208,Z$1))</f>
        <v/>
      </c>
    </row>
    <row r="209" spans="1:26" x14ac:dyDescent="0.15">
      <c r="A209" s="17">
        <f>TRUNC((ROWS($D$3:D209)-2)/Max_Entry_Count)+1</f>
        <v>69</v>
      </c>
      <c r="B209" s="17" t="str">
        <f ca="1">IF($A209&gt;=ROWS(Entries)-2,"",IF(OFFSET('(2)出場選手'!$B$2,$A209,B$1+3*(MOD(ROWS($D$3:D209)-2,Max_Entry_Count)))="","",MOD(ROWS($D$3:D209)-2,Max_Entry_Count)))</f>
        <v/>
      </c>
      <c r="D209" s="26" t="str">
        <f ca="1">IF(OR($A209&gt;=ROWS(Entries)-2,$B209=""),"",'(1)鑑'!$E$6&amp;"-"&amp;OFFSET('(2)出場選手'!$B$2,$A209,D$1))</f>
        <v/>
      </c>
      <c r="E209" s="26" t="str">
        <f ca="1">IF($D209="","",OFFSET('(2)出場選手'!$B$2,$A209,E$1))</f>
        <v/>
      </c>
      <c r="F209" s="26" t="str">
        <f ca="1">IF($D209="","",IF(OFFSET('(2)出場選手'!$B$2,$A209,F$1)="","",OFFSET('(2)出場選手'!$B$2,$A209,F$1)))</f>
        <v/>
      </c>
      <c r="G209" s="26" t="str">
        <f t="shared" ca="1" si="18"/>
        <v/>
      </c>
      <c r="H209" s="26" t="str">
        <f t="shared" ca="1" si="19"/>
        <v/>
      </c>
      <c r="I209" s="26" t="str">
        <f ca="1">IF($D209="","",IF(OFFSET('(2)出場選手'!$B$2,$A209,I$1)="","",OFFSET('(2)出場選手'!$B$2,$A209,I$1)))</f>
        <v/>
      </c>
      <c r="J209" s="26" t="str">
        <f ca="1">IF($D209="","",IF(OFFSET('(2)出場選手'!$B$2,$A209,J$1)="",'(1)鑑'!$E$6,OFFSET('(2)出場選手'!$B$2,$A209,J$1)))</f>
        <v/>
      </c>
      <c r="K209" s="26" t="str">
        <f ca="1">IF($D209="","",TRIM(ASC(IF(OFFSET('(2)出場選手'!$B$2,$A209,K$1)="",'(1)鑑'!$E$7,OFFSET('(2)出場選手'!$B$2,$A209,K$1)))))</f>
        <v/>
      </c>
      <c r="L209" s="26" t="str">
        <f ca="1">IF($D209="","",SUBSTITUTE(SUBSTITUTE(SUBSTITUTE(IF(OFFSET('(2)出場選手'!$B$2,$A209,L$1)="",'(1)鑑'!$E$8,OFFSET('(2)出場選手'!$B$2,$A209,L$1)),"県",""),"府",""),"東京都","東京"))</f>
        <v/>
      </c>
      <c r="M209" s="57" t="str">
        <f ca="1">IF($D209="","",IF(OFFSET('(2)出場選手'!$B$2,$A209,M$1)="","",OFFSET('(2)出場選手'!$B$2,$A209,M$1)))</f>
        <v/>
      </c>
      <c r="N209" s="26" t="str">
        <f ca="1">IF($D209="","",OFFSET('(2)出場選手'!$B$2,$A209,N$1+3*$B209))</f>
        <v/>
      </c>
      <c r="O209" s="26" t="str">
        <f ca="1">IF($D209="","",IF(OFFSET('(2)出場選手'!$B$2,$A209,O$1+3*$B209)="","",OFFSET('(2)出場選手'!$B$2,$A209,O$1+3*$B209)))</f>
        <v/>
      </c>
      <c r="P209" s="26" t="str">
        <f ca="1">IF($D209="","",IF(OFFSET('(2)出場選手'!$B$2,$A209,P$1+3*$B209)="","",OFFSET('(2)出場選手'!$B$2,$A209,P$1+3*$B209)))</f>
        <v/>
      </c>
      <c r="Q209" s="43" t="str">
        <f ca="1">IF(D209="","",VLOOKUP(N209,OFFSET(Competition_Events,0,1),11,FALSE)*IF($S209="リレー",IF(COUNTIF($T$3:$T209,$T209)&gt;1,0,1),1))</f>
        <v/>
      </c>
      <c r="R209" s="26" t="str">
        <f t="shared" ca="1" si="20"/>
        <v/>
      </c>
      <c r="S209" s="26" t="str">
        <f t="shared" ca="1" si="21"/>
        <v/>
      </c>
      <c r="T209" s="26" t="str">
        <f t="shared" ca="1" si="22"/>
        <v/>
      </c>
      <c r="U209" s="26" t="str">
        <f t="shared" ca="1" si="23"/>
        <v/>
      </c>
      <c r="W209" s="17" t="str">
        <f ca="1">IF($D209="","",OFFSET('(2)出場選手'!$B$2,$A209,W$1))</f>
        <v/>
      </c>
      <c r="X209" s="17" t="str">
        <f ca="1">IF($D209="","",OFFSET('(2)出場選手'!$B$2,$A209,X$1))</f>
        <v/>
      </c>
      <c r="Y209" s="17" t="str">
        <f ca="1">IF($D209="","",OFFSET('(2)出場選手'!$B$2,$A209,Y$1))</f>
        <v/>
      </c>
      <c r="Z209" s="17" t="str">
        <f ca="1">IF($D209="","",OFFSET('(2)出場選手'!$B$2,$A209,Z$1))</f>
        <v/>
      </c>
    </row>
    <row r="210" spans="1:26" x14ac:dyDescent="0.15">
      <c r="A210" s="17">
        <f>TRUNC((ROWS($D$3:D210)-2)/Max_Entry_Count)+1</f>
        <v>69</v>
      </c>
      <c r="B210" s="17" t="str">
        <f ca="1">IF($A210&gt;=ROWS(Entries)-2,"",IF(OFFSET('(2)出場選手'!$B$2,$A210,B$1+3*(MOD(ROWS($D$3:D210)-2,Max_Entry_Count)))="","",MOD(ROWS($D$3:D210)-2,Max_Entry_Count)))</f>
        <v/>
      </c>
      <c r="D210" s="26" t="str">
        <f ca="1">IF(OR($A210&gt;=ROWS(Entries)-2,$B210=""),"",'(1)鑑'!$E$6&amp;"-"&amp;OFFSET('(2)出場選手'!$B$2,$A210,D$1))</f>
        <v/>
      </c>
      <c r="E210" s="26" t="str">
        <f ca="1">IF($D210="","",OFFSET('(2)出場選手'!$B$2,$A210,E$1))</f>
        <v/>
      </c>
      <c r="F210" s="26" t="str">
        <f ca="1">IF($D210="","",IF(OFFSET('(2)出場選手'!$B$2,$A210,F$1)="","",OFFSET('(2)出場選手'!$B$2,$A210,F$1)))</f>
        <v/>
      </c>
      <c r="G210" s="26" t="str">
        <f t="shared" ca="1" si="18"/>
        <v/>
      </c>
      <c r="H210" s="26" t="str">
        <f t="shared" ca="1" si="19"/>
        <v/>
      </c>
      <c r="I210" s="26" t="str">
        <f ca="1">IF($D210="","",IF(OFFSET('(2)出場選手'!$B$2,$A210,I$1)="","",OFFSET('(2)出場選手'!$B$2,$A210,I$1)))</f>
        <v/>
      </c>
      <c r="J210" s="26" t="str">
        <f ca="1">IF($D210="","",IF(OFFSET('(2)出場選手'!$B$2,$A210,J$1)="",'(1)鑑'!$E$6,OFFSET('(2)出場選手'!$B$2,$A210,J$1)))</f>
        <v/>
      </c>
      <c r="K210" s="26" t="str">
        <f ca="1">IF($D210="","",TRIM(ASC(IF(OFFSET('(2)出場選手'!$B$2,$A210,K$1)="",'(1)鑑'!$E$7,OFFSET('(2)出場選手'!$B$2,$A210,K$1)))))</f>
        <v/>
      </c>
      <c r="L210" s="26" t="str">
        <f ca="1">IF($D210="","",SUBSTITUTE(SUBSTITUTE(SUBSTITUTE(IF(OFFSET('(2)出場選手'!$B$2,$A210,L$1)="",'(1)鑑'!$E$8,OFFSET('(2)出場選手'!$B$2,$A210,L$1)),"県",""),"府",""),"東京都","東京"))</f>
        <v/>
      </c>
      <c r="M210" s="57" t="str">
        <f ca="1">IF($D210="","",IF(OFFSET('(2)出場選手'!$B$2,$A210,M$1)="","",OFFSET('(2)出場選手'!$B$2,$A210,M$1)))</f>
        <v/>
      </c>
      <c r="N210" s="26" t="str">
        <f ca="1">IF($D210="","",OFFSET('(2)出場選手'!$B$2,$A210,N$1+3*$B210))</f>
        <v/>
      </c>
      <c r="O210" s="26" t="str">
        <f ca="1">IF($D210="","",IF(OFFSET('(2)出場選手'!$B$2,$A210,O$1+3*$B210)="","",OFFSET('(2)出場選手'!$B$2,$A210,O$1+3*$B210)))</f>
        <v/>
      </c>
      <c r="P210" s="26" t="str">
        <f ca="1">IF($D210="","",IF(OFFSET('(2)出場選手'!$B$2,$A210,P$1+3*$B210)="","",OFFSET('(2)出場選手'!$B$2,$A210,P$1+3*$B210)))</f>
        <v/>
      </c>
      <c r="Q210" s="43" t="str">
        <f ca="1">IF(D210="","",VLOOKUP(N210,OFFSET(Competition_Events,0,1),11,FALSE)*IF($S210="リレー",IF(COUNTIF($T$3:$T210,$T210)&gt;1,0,1),1))</f>
        <v/>
      </c>
      <c r="R210" s="26" t="str">
        <f t="shared" ca="1" si="20"/>
        <v/>
      </c>
      <c r="S210" s="26" t="str">
        <f t="shared" ca="1" si="21"/>
        <v/>
      </c>
      <c r="T210" s="26" t="str">
        <f t="shared" ca="1" si="22"/>
        <v/>
      </c>
      <c r="U210" s="26" t="str">
        <f t="shared" ca="1" si="23"/>
        <v/>
      </c>
      <c r="W210" s="17" t="str">
        <f ca="1">IF($D210="","",OFFSET('(2)出場選手'!$B$2,$A210,W$1))</f>
        <v/>
      </c>
      <c r="X210" s="17" t="str">
        <f ca="1">IF($D210="","",OFFSET('(2)出場選手'!$B$2,$A210,X$1))</f>
        <v/>
      </c>
      <c r="Y210" s="17" t="str">
        <f ca="1">IF($D210="","",OFFSET('(2)出場選手'!$B$2,$A210,Y$1))</f>
        <v/>
      </c>
      <c r="Z210" s="17" t="str">
        <f ca="1">IF($D210="","",OFFSET('(2)出場選手'!$B$2,$A210,Z$1))</f>
        <v/>
      </c>
    </row>
    <row r="211" spans="1:26" x14ac:dyDescent="0.15">
      <c r="A211" s="17">
        <f>TRUNC((ROWS($D$3:D211)-2)/Max_Entry_Count)+1</f>
        <v>70</v>
      </c>
      <c r="B211" s="17" t="str">
        <f ca="1">IF($A211&gt;=ROWS(Entries)-2,"",IF(OFFSET('(2)出場選手'!$B$2,$A211,B$1+3*(MOD(ROWS($D$3:D211)-2,Max_Entry_Count)))="","",MOD(ROWS($D$3:D211)-2,Max_Entry_Count)))</f>
        <v/>
      </c>
      <c r="D211" s="26" t="str">
        <f ca="1">IF(OR($A211&gt;=ROWS(Entries)-2,$B211=""),"",'(1)鑑'!$E$6&amp;"-"&amp;OFFSET('(2)出場選手'!$B$2,$A211,D$1))</f>
        <v/>
      </c>
      <c r="E211" s="26" t="str">
        <f ca="1">IF($D211="","",OFFSET('(2)出場選手'!$B$2,$A211,E$1))</f>
        <v/>
      </c>
      <c r="F211" s="26" t="str">
        <f ca="1">IF($D211="","",IF(OFFSET('(2)出場選手'!$B$2,$A211,F$1)="","",OFFSET('(2)出場選手'!$B$2,$A211,F$1)))</f>
        <v/>
      </c>
      <c r="G211" s="26" t="str">
        <f t="shared" ca="1" si="18"/>
        <v/>
      </c>
      <c r="H211" s="26" t="str">
        <f t="shared" ca="1" si="19"/>
        <v/>
      </c>
      <c r="I211" s="26" t="str">
        <f ca="1">IF($D211="","",IF(OFFSET('(2)出場選手'!$B$2,$A211,I$1)="","",OFFSET('(2)出場選手'!$B$2,$A211,I$1)))</f>
        <v/>
      </c>
      <c r="J211" s="26" t="str">
        <f ca="1">IF($D211="","",IF(OFFSET('(2)出場選手'!$B$2,$A211,J$1)="",'(1)鑑'!$E$6,OFFSET('(2)出場選手'!$B$2,$A211,J$1)))</f>
        <v/>
      </c>
      <c r="K211" s="26" t="str">
        <f ca="1">IF($D211="","",TRIM(ASC(IF(OFFSET('(2)出場選手'!$B$2,$A211,K$1)="",'(1)鑑'!$E$7,OFFSET('(2)出場選手'!$B$2,$A211,K$1)))))</f>
        <v/>
      </c>
      <c r="L211" s="26" t="str">
        <f ca="1">IF($D211="","",SUBSTITUTE(SUBSTITUTE(SUBSTITUTE(IF(OFFSET('(2)出場選手'!$B$2,$A211,L$1)="",'(1)鑑'!$E$8,OFFSET('(2)出場選手'!$B$2,$A211,L$1)),"県",""),"府",""),"東京都","東京"))</f>
        <v/>
      </c>
      <c r="M211" s="57" t="str">
        <f ca="1">IF($D211="","",IF(OFFSET('(2)出場選手'!$B$2,$A211,M$1)="","",OFFSET('(2)出場選手'!$B$2,$A211,M$1)))</f>
        <v/>
      </c>
      <c r="N211" s="26" t="str">
        <f ca="1">IF($D211="","",OFFSET('(2)出場選手'!$B$2,$A211,N$1+3*$B211))</f>
        <v/>
      </c>
      <c r="O211" s="26" t="str">
        <f ca="1">IF($D211="","",IF(OFFSET('(2)出場選手'!$B$2,$A211,O$1+3*$B211)="","",OFFSET('(2)出場選手'!$B$2,$A211,O$1+3*$B211)))</f>
        <v/>
      </c>
      <c r="P211" s="26" t="str">
        <f ca="1">IF($D211="","",IF(OFFSET('(2)出場選手'!$B$2,$A211,P$1+3*$B211)="","",OFFSET('(2)出場選手'!$B$2,$A211,P$1+3*$B211)))</f>
        <v/>
      </c>
      <c r="Q211" s="43" t="str">
        <f ca="1">IF(D211="","",VLOOKUP(N211,OFFSET(Competition_Events,0,1),11,FALSE)*IF($S211="リレー",IF(COUNTIF($T$3:$T211,$T211)&gt;1,0,1),1))</f>
        <v/>
      </c>
      <c r="R211" s="26" t="str">
        <f t="shared" ca="1" si="20"/>
        <v/>
      </c>
      <c r="S211" s="26" t="str">
        <f t="shared" ca="1" si="21"/>
        <v/>
      </c>
      <c r="T211" s="26" t="str">
        <f t="shared" ca="1" si="22"/>
        <v/>
      </c>
      <c r="U211" s="26" t="str">
        <f t="shared" ca="1" si="23"/>
        <v/>
      </c>
      <c r="W211" s="17" t="str">
        <f ca="1">IF($D211="","",OFFSET('(2)出場選手'!$B$2,$A211,W$1))</f>
        <v/>
      </c>
      <c r="X211" s="17" t="str">
        <f ca="1">IF($D211="","",OFFSET('(2)出場選手'!$B$2,$A211,X$1))</f>
        <v/>
      </c>
      <c r="Y211" s="17" t="str">
        <f ca="1">IF($D211="","",OFFSET('(2)出場選手'!$B$2,$A211,Y$1))</f>
        <v/>
      </c>
      <c r="Z211" s="17" t="str">
        <f ca="1">IF($D211="","",OFFSET('(2)出場選手'!$B$2,$A211,Z$1))</f>
        <v/>
      </c>
    </row>
    <row r="212" spans="1:26" x14ac:dyDescent="0.15">
      <c r="A212" s="17">
        <f>TRUNC((ROWS($D$3:D212)-2)/Max_Entry_Count)+1</f>
        <v>70</v>
      </c>
      <c r="B212" s="17" t="str">
        <f ca="1">IF($A212&gt;=ROWS(Entries)-2,"",IF(OFFSET('(2)出場選手'!$B$2,$A212,B$1+3*(MOD(ROWS($D$3:D212)-2,Max_Entry_Count)))="","",MOD(ROWS($D$3:D212)-2,Max_Entry_Count)))</f>
        <v/>
      </c>
      <c r="D212" s="26" t="str">
        <f ca="1">IF(OR($A212&gt;=ROWS(Entries)-2,$B212=""),"",'(1)鑑'!$E$6&amp;"-"&amp;OFFSET('(2)出場選手'!$B$2,$A212,D$1))</f>
        <v/>
      </c>
      <c r="E212" s="26" t="str">
        <f ca="1">IF($D212="","",OFFSET('(2)出場選手'!$B$2,$A212,E$1))</f>
        <v/>
      </c>
      <c r="F212" s="26" t="str">
        <f ca="1">IF($D212="","",IF(OFFSET('(2)出場選手'!$B$2,$A212,F$1)="","",OFFSET('(2)出場選手'!$B$2,$A212,F$1)))</f>
        <v/>
      </c>
      <c r="G212" s="26" t="str">
        <f t="shared" ca="1" si="18"/>
        <v/>
      </c>
      <c r="H212" s="26" t="str">
        <f t="shared" ca="1" si="19"/>
        <v/>
      </c>
      <c r="I212" s="26" t="str">
        <f ca="1">IF($D212="","",IF(OFFSET('(2)出場選手'!$B$2,$A212,I$1)="","",OFFSET('(2)出場選手'!$B$2,$A212,I$1)))</f>
        <v/>
      </c>
      <c r="J212" s="26" t="str">
        <f ca="1">IF($D212="","",IF(OFFSET('(2)出場選手'!$B$2,$A212,J$1)="",'(1)鑑'!$E$6,OFFSET('(2)出場選手'!$B$2,$A212,J$1)))</f>
        <v/>
      </c>
      <c r="K212" s="26" t="str">
        <f ca="1">IF($D212="","",TRIM(ASC(IF(OFFSET('(2)出場選手'!$B$2,$A212,K$1)="",'(1)鑑'!$E$7,OFFSET('(2)出場選手'!$B$2,$A212,K$1)))))</f>
        <v/>
      </c>
      <c r="L212" s="26" t="str">
        <f ca="1">IF($D212="","",SUBSTITUTE(SUBSTITUTE(SUBSTITUTE(IF(OFFSET('(2)出場選手'!$B$2,$A212,L$1)="",'(1)鑑'!$E$8,OFFSET('(2)出場選手'!$B$2,$A212,L$1)),"県",""),"府",""),"東京都","東京"))</f>
        <v/>
      </c>
      <c r="M212" s="57" t="str">
        <f ca="1">IF($D212="","",IF(OFFSET('(2)出場選手'!$B$2,$A212,M$1)="","",OFFSET('(2)出場選手'!$B$2,$A212,M$1)))</f>
        <v/>
      </c>
      <c r="N212" s="26" t="str">
        <f ca="1">IF($D212="","",OFFSET('(2)出場選手'!$B$2,$A212,N$1+3*$B212))</f>
        <v/>
      </c>
      <c r="O212" s="26" t="str">
        <f ca="1">IF($D212="","",IF(OFFSET('(2)出場選手'!$B$2,$A212,O$1+3*$B212)="","",OFFSET('(2)出場選手'!$B$2,$A212,O$1+3*$B212)))</f>
        <v/>
      </c>
      <c r="P212" s="26" t="str">
        <f ca="1">IF($D212="","",IF(OFFSET('(2)出場選手'!$B$2,$A212,P$1+3*$B212)="","",OFFSET('(2)出場選手'!$B$2,$A212,P$1+3*$B212)))</f>
        <v/>
      </c>
      <c r="Q212" s="43" t="str">
        <f ca="1">IF(D212="","",VLOOKUP(N212,OFFSET(Competition_Events,0,1),11,FALSE)*IF($S212="リレー",IF(COUNTIF($T$3:$T212,$T212)&gt;1,0,1),1))</f>
        <v/>
      </c>
      <c r="R212" s="26" t="str">
        <f t="shared" ca="1" si="20"/>
        <v/>
      </c>
      <c r="S212" s="26" t="str">
        <f t="shared" ca="1" si="21"/>
        <v/>
      </c>
      <c r="T212" s="26" t="str">
        <f t="shared" ca="1" si="22"/>
        <v/>
      </c>
      <c r="U212" s="26" t="str">
        <f t="shared" ca="1" si="23"/>
        <v/>
      </c>
      <c r="W212" s="17" t="str">
        <f ca="1">IF($D212="","",OFFSET('(2)出場選手'!$B$2,$A212,W$1))</f>
        <v/>
      </c>
      <c r="X212" s="17" t="str">
        <f ca="1">IF($D212="","",OFFSET('(2)出場選手'!$B$2,$A212,X$1))</f>
        <v/>
      </c>
      <c r="Y212" s="17" t="str">
        <f ca="1">IF($D212="","",OFFSET('(2)出場選手'!$B$2,$A212,Y$1))</f>
        <v/>
      </c>
      <c r="Z212" s="17" t="str">
        <f ca="1">IF($D212="","",OFFSET('(2)出場選手'!$B$2,$A212,Z$1))</f>
        <v/>
      </c>
    </row>
    <row r="213" spans="1:26" x14ac:dyDescent="0.15">
      <c r="A213" s="17">
        <f>TRUNC((ROWS($D$3:D213)-2)/Max_Entry_Count)+1</f>
        <v>70</v>
      </c>
      <c r="B213" s="17" t="str">
        <f ca="1">IF($A213&gt;=ROWS(Entries)-2,"",IF(OFFSET('(2)出場選手'!$B$2,$A213,B$1+3*(MOD(ROWS($D$3:D213)-2,Max_Entry_Count)))="","",MOD(ROWS($D$3:D213)-2,Max_Entry_Count)))</f>
        <v/>
      </c>
      <c r="D213" s="26" t="str">
        <f ca="1">IF(OR($A213&gt;=ROWS(Entries)-2,$B213=""),"",'(1)鑑'!$E$6&amp;"-"&amp;OFFSET('(2)出場選手'!$B$2,$A213,D$1))</f>
        <v/>
      </c>
      <c r="E213" s="26" t="str">
        <f ca="1">IF($D213="","",OFFSET('(2)出場選手'!$B$2,$A213,E$1))</f>
        <v/>
      </c>
      <c r="F213" s="26" t="str">
        <f ca="1">IF($D213="","",IF(OFFSET('(2)出場選手'!$B$2,$A213,F$1)="","",OFFSET('(2)出場選手'!$B$2,$A213,F$1)))</f>
        <v/>
      </c>
      <c r="G213" s="26" t="str">
        <f t="shared" ca="1" si="18"/>
        <v/>
      </c>
      <c r="H213" s="26" t="str">
        <f t="shared" ca="1" si="19"/>
        <v/>
      </c>
      <c r="I213" s="26" t="str">
        <f ca="1">IF($D213="","",IF(OFFSET('(2)出場選手'!$B$2,$A213,I$1)="","",OFFSET('(2)出場選手'!$B$2,$A213,I$1)))</f>
        <v/>
      </c>
      <c r="J213" s="26" t="str">
        <f ca="1">IF($D213="","",IF(OFFSET('(2)出場選手'!$B$2,$A213,J$1)="",'(1)鑑'!$E$6,OFFSET('(2)出場選手'!$B$2,$A213,J$1)))</f>
        <v/>
      </c>
      <c r="K213" s="26" t="str">
        <f ca="1">IF($D213="","",TRIM(ASC(IF(OFFSET('(2)出場選手'!$B$2,$A213,K$1)="",'(1)鑑'!$E$7,OFFSET('(2)出場選手'!$B$2,$A213,K$1)))))</f>
        <v/>
      </c>
      <c r="L213" s="26" t="str">
        <f ca="1">IF($D213="","",SUBSTITUTE(SUBSTITUTE(SUBSTITUTE(IF(OFFSET('(2)出場選手'!$B$2,$A213,L$1)="",'(1)鑑'!$E$8,OFFSET('(2)出場選手'!$B$2,$A213,L$1)),"県",""),"府",""),"東京都","東京"))</f>
        <v/>
      </c>
      <c r="M213" s="57" t="str">
        <f ca="1">IF($D213="","",IF(OFFSET('(2)出場選手'!$B$2,$A213,M$1)="","",OFFSET('(2)出場選手'!$B$2,$A213,M$1)))</f>
        <v/>
      </c>
      <c r="N213" s="26" t="str">
        <f ca="1">IF($D213="","",OFFSET('(2)出場選手'!$B$2,$A213,N$1+3*$B213))</f>
        <v/>
      </c>
      <c r="O213" s="26" t="str">
        <f ca="1">IF($D213="","",IF(OFFSET('(2)出場選手'!$B$2,$A213,O$1+3*$B213)="","",OFFSET('(2)出場選手'!$B$2,$A213,O$1+3*$B213)))</f>
        <v/>
      </c>
      <c r="P213" s="26" t="str">
        <f ca="1">IF($D213="","",IF(OFFSET('(2)出場選手'!$B$2,$A213,P$1+3*$B213)="","",OFFSET('(2)出場選手'!$B$2,$A213,P$1+3*$B213)))</f>
        <v/>
      </c>
      <c r="Q213" s="43" t="str">
        <f ca="1">IF(D213="","",VLOOKUP(N213,OFFSET(Competition_Events,0,1),11,FALSE)*IF($S213="リレー",IF(COUNTIF($T$3:$T213,$T213)&gt;1,0,1),1))</f>
        <v/>
      </c>
      <c r="R213" s="26" t="str">
        <f t="shared" ca="1" si="20"/>
        <v/>
      </c>
      <c r="S213" s="26" t="str">
        <f t="shared" ca="1" si="21"/>
        <v/>
      </c>
      <c r="T213" s="26" t="str">
        <f t="shared" ca="1" si="22"/>
        <v/>
      </c>
      <c r="U213" s="26" t="str">
        <f t="shared" ca="1" si="23"/>
        <v/>
      </c>
      <c r="W213" s="17" t="str">
        <f ca="1">IF($D213="","",OFFSET('(2)出場選手'!$B$2,$A213,W$1))</f>
        <v/>
      </c>
      <c r="X213" s="17" t="str">
        <f ca="1">IF($D213="","",OFFSET('(2)出場選手'!$B$2,$A213,X$1))</f>
        <v/>
      </c>
      <c r="Y213" s="17" t="str">
        <f ca="1">IF($D213="","",OFFSET('(2)出場選手'!$B$2,$A213,Y$1))</f>
        <v/>
      </c>
      <c r="Z213" s="17" t="str">
        <f ca="1">IF($D213="","",OFFSET('(2)出場選手'!$B$2,$A213,Z$1))</f>
        <v/>
      </c>
    </row>
    <row r="214" spans="1:26" x14ac:dyDescent="0.15">
      <c r="A214" s="17">
        <f>TRUNC((ROWS($D$3:D214)-2)/Max_Entry_Count)+1</f>
        <v>71</v>
      </c>
      <c r="B214" s="17" t="str">
        <f ca="1">IF($A214&gt;=ROWS(Entries)-2,"",IF(OFFSET('(2)出場選手'!$B$2,$A214,B$1+3*(MOD(ROWS($D$3:D214)-2,Max_Entry_Count)))="","",MOD(ROWS($D$3:D214)-2,Max_Entry_Count)))</f>
        <v/>
      </c>
      <c r="D214" s="26" t="str">
        <f ca="1">IF(OR($A214&gt;=ROWS(Entries)-2,$B214=""),"",'(1)鑑'!$E$6&amp;"-"&amp;OFFSET('(2)出場選手'!$B$2,$A214,D$1))</f>
        <v/>
      </c>
      <c r="E214" s="26" t="str">
        <f ca="1">IF($D214="","",OFFSET('(2)出場選手'!$B$2,$A214,E$1))</f>
        <v/>
      </c>
      <c r="F214" s="26" t="str">
        <f ca="1">IF($D214="","",IF(OFFSET('(2)出場選手'!$B$2,$A214,F$1)="","",OFFSET('(2)出場選手'!$B$2,$A214,F$1)))</f>
        <v/>
      </c>
      <c r="G214" s="26" t="str">
        <f t="shared" ca="1" si="18"/>
        <v/>
      </c>
      <c r="H214" s="26" t="str">
        <f t="shared" ca="1" si="19"/>
        <v/>
      </c>
      <c r="I214" s="26" t="str">
        <f ca="1">IF($D214="","",IF(OFFSET('(2)出場選手'!$B$2,$A214,I$1)="","",OFFSET('(2)出場選手'!$B$2,$A214,I$1)))</f>
        <v/>
      </c>
      <c r="J214" s="26" t="str">
        <f ca="1">IF($D214="","",IF(OFFSET('(2)出場選手'!$B$2,$A214,J$1)="",'(1)鑑'!$E$6,OFFSET('(2)出場選手'!$B$2,$A214,J$1)))</f>
        <v/>
      </c>
      <c r="K214" s="26" t="str">
        <f ca="1">IF($D214="","",TRIM(ASC(IF(OFFSET('(2)出場選手'!$B$2,$A214,K$1)="",'(1)鑑'!$E$7,OFFSET('(2)出場選手'!$B$2,$A214,K$1)))))</f>
        <v/>
      </c>
      <c r="L214" s="26" t="str">
        <f ca="1">IF($D214="","",SUBSTITUTE(SUBSTITUTE(SUBSTITUTE(IF(OFFSET('(2)出場選手'!$B$2,$A214,L$1)="",'(1)鑑'!$E$8,OFFSET('(2)出場選手'!$B$2,$A214,L$1)),"県",""),"府",""),"東京都","東京"))</f>
        <v/>
      </c>
      <c r="M214" s="57" t="str">
        <f ca="1">IF($D214="","",IF(OFFSET('(2)出場選手'!$B$2,$A214,M$1)="","",OFFSET('(2)出場選手'!$B$2,$A214,M$1)))</f>
        <v/>
      </c>
      <c r="N214" s="26" t="str">
        <f ca="1">IF($D214="","",OFFSET('(2)出場選手'!$B$2,$A214,N$1+3*$B214))</f>
        <v/>
      </c>
      <c r="O214" s="26" t="str">
        <f ca="1">IF($D214="","",IF(OFFSET('(2)出場選手'!$B$2,$A214,O$1+3*$B214)="","",OFFSET('(2)出場選手'!$B$2,$A214,O$1+3*$B214)))</f>
        <v/>
      </c>
      <c r="P214" s="26" t="str">
        <f ca="1">IF($D214="","",IF(OFFSET('(2)出場選手'!$B$2,$A214,P$1+3*$B214)="","",OFFSET('(2)出場選手'!$B$2,$A214,P$1+3*$B214)))</f>
        <v/>
      </c>
      <c r="Q214" s="43" t="str">
        <f ca="1">IF(D214="","",VLOOKUP(N214,OFFSET(Competition_Events,0,1),11,FALSE)*IF($S214="リレー",IF(COUNTIF($T$3:$T214,$T214)&gt;1,0,1),1))</f>
        <v/>
      </c>
      <c r="R214" s="26" t="str">
        <f t="shared" ca="1" si="20"/>
        <v/>
      </c>
      <c r="S214" s="26" t="str">
        <f t="shared" ca="1" si="21"/>
        <v/>
      </c>
      <c r="T214" s="26" t="str">
        <f t="shared" ca="1" si="22"/>
        <v/>
      </c>
      <c r="U214" s="26" t="str">
        <f t="shared" ca="1" si="23"/>
        <v/>
      </c>
      <c r="W214" s="17" t="str">
        <f ca="1">IF($D214="","",OFFSET('(2)出場選手'!$B$2,$A214,W$1))</f>
        <v/>
      </c>
      <c r="X214" s="17" t="str">
        <f ca="1">IF($D214="","",OFFSET('(2)出場選手'!$B$2,$A214,X$1))</f>
        <v/>
      </c>
      <c r="Y214" s="17" t="str">
        <f ca="1">IF($D214="","",OFFSET('(2)出場選手'!$B$2,$A214,Y$1))</f>
        <v/>
      </c>
      <c r="Z214" s="17" t="str">
        <f ca="1">IF($D214="","",OFFSET('(2)出場選手'!$B$2,$A214,Z$1))</f>
        <v/>
      </c>
    </row>
    <row r="215" spans="1:26" x14ac:dyDescent="0.15">
      <c r="A215" s="17">
        <f>TRUNC((ROWS($D$3:D215)-2)/Max_Entry_Count)+1</f>
        <v>71</v>
      </c>
      <c r="B215" s="17" t="str">
        <f ca="1">IF($A215&gt;=ROWS(Entries)-2,"",IF(OFFSET('(2)出場選手'!$B$2,$A215,B$1+3*(MOD(ROWS($D$3:D215)-2,Max_Entry_Count)))="","",MOD(ROWS($D$3:D215)-2,Max_Entry_Count)))</f>
        <v/>
      </c>
      <c r="D215" s="26" t="str">
        <f ca="1">IF(OR($A215&gt;=ROWS(Entries)-2,$B215=""),"",'(1)鑑'!$E$6&amp;"-"&amp;OFFSET('(2)出場選手'!$B$2,$A215,D$1))</f>
        <v/>
      </c>
      <c r="E215" s="26" t="str">
        <f ca="1">IF($D215="","",OFFSET('(2)出場選手'!$B$2,$A215,E$1))</f>
        <v/>
      </c>
      <c r="F215" s="26" t="str">
        <f ca="1">IF($D215="","",IF(OFFSET('(2)出場選手'!$B$2,$A215,F$1)="","",OFFSET('(2)出場選手'!$B$2,$A215,F$1)))</f>
        <v/>
      </c>
      <c r="G215" s="26" t="str">
        <f t="shared" ca="1" si="18"/>
        <v/>
      </c>
      <c r="H215" s="26" t="str">
        <f t="shared" ca="1" si="19"/>
        <v/>
      </c>
      <c r="I215" s="26" t="str">
        <f ca="1">IF($D215="","",IF(OFFSET('(2)出場選手'!$B$2,$A215,I$1)="","",OFFSET('(2)出場選手'!$B$2,$A215,I$1)))</f>
        <v/>
      </c>
      <c r="J215" s="26" t="str">
        <f ca="1">IF($D215="","",IF(OFFSET('(2)出場選手'!$B$2,$A215,J$1)="",'(1)鑑'!$E$6,OFFSET('(2)出場選手'!$B$2,$A215,J$1)))</f>
        <v/>
      </c>
      <c r="K215" s="26" t="str">
        <f ca="1">IF($D215="","",TRIM(ASC(IF(OFFSET('(2)出場選手'!$B$2,$A215,K$1)="",'(1)鑑'!$E$7,OFFSET('(2)出場選手'!$B$2,$A215,K$1)))))</f>
        <v/>
      </c>
      <c r="L215" s="26" t="str">
        <f ca="1">IF($D215="","",SUBSTITUTE(SUBSTITUTE(SUBSTITUTE(IF(OFFSET('(2)出場選手'!$B$2,$A215,L$1)="",'(1)鑑'!$E$8,OFFSET('(2)出場選手'!$B$2,$A215,L$1)),"県",""),"府",""),"東京都","東京"))</f>
        <v/>
      </c>
      <c r="M215" s="57" t="str">
        <f ca="1">IF($D215="","",IF(OFFSET('(2)出場選手'!$B$2,$A215,M$1)="","",OFFSET('(2)出場選手'!$B$2,$A215,M$1)))</f>
        <v/>
      </c>
      <c r="N215" s="26" t="str">
        <f ca="1">IF($D215="","",OFFSET('(2)出場選手'!$B$2,$A215,N$1+3*$B215))</f>
        <v/>
      </c>
      <c r="O215" s="26" t="str">
        <f ca="1">IF($D215="","",IF(OFFSET('(2)出場選手'!$B$2,$A215,O$1+3*$B215)="","",OFFSET('(2)出場選手'!$B$2,$A215,O$1+3*$B215)))</f>
        <v/>
      </c>
      <c r="P215" s="26" t="str">
        <f ca="1">IF($D215="","",IF(OFFSET('(2)出場選手'!$B$2,$A215,P$1+3*$B215)="","",OFFSET('(2)出場選手'!$B$2,$A215,P$1+3*$B215)))</f>
        <v/>
      </c>
      <c r="Q215" s="43" t="str">
        <f ca="1">IF(D215="","",VLOOKUP(N215,OFFSET(Competition_Events,0,1),11,FALSE)*IF($S215="リレー",IF(COUNTIF($T$3:$T215,$T215)&gt;1,0,1),1))</f>
        <v/>
      </c>
      <c r="R215" s="26" t="str">
        <f t="shared" ca="1" si="20"/>
        <v/>
      </c>
      <c r="S215" s="26" t="str">
        <f t="shared" ca="1" si="21"/>
        <v/>
      </c>
      <c r="T215" s="26" t="str">
        <f t="shared" ca="1" si="22"/>
        <v/>
      </c>
      <c r="U215" s="26" t="str">
        <f t="shared" ca="1" si="23"/>
        <v/>
      </c>
      <c r="W215" s="17" t="str">
        <f ca="1">IF($D215="","",OFFSET('(2)出場選手'!$B$2,$A215,W$1))</f>
        <v/>
      </c>
      <c r="X215" s="17" t="str">
        <f ca="1">IF($D215="","",OFFSET('(2)出場選手'!$B$2,$A215,X$1))</f>
        <v/>
      </c>
      <c r="Y215" s="17" t="str">
        <f ca="1">IF($D215="","",OFFSET('(2)出場選手'!$B$2,$A215,Y$1))</f>
        <v/>
      </c>
      <c r="Z215" s="17" t="str">
        <f ca="1">IF($D215="","",OFFSET('(2)出場選手'!$B$2,$A215,Z$1))</f>
        <v/>
      </c>
    </row>
    <row r="216" spans="1:26" x14ac:dyDescent="0.15">
      <c r="A216" s="17">
        <f>TRUNC((ROWS($D$3:D216)-2)/Max_Entry_Count)+1</f>
        <v>71</v>
      </c>
      <c r="B216" s="17" t="str">
        <f ca="1">IF($A216&gt;=ROWS(Entries)-2,"",IF(OFFSET('(2)出場選手'!$B$2,$A216,B$1+3*(MOD(ROWS($D$3:D216)-2,Max_Entry_Count)))="","",MOD(ROWS($D$3:D216)-2,Max_Entry_Count)))</f>
        <v/>
      </c>
      <c r="D216" s="26" t="str">
        <f ca="1">IF(OR($A216&gt;=ROWS(Entries)-2,$B216=""),"",'(1)鑑'!$E$6&amp;"-"&amp;OFFSET('(2)出場選手'!$B$2,$A216,D$1))</f>
        <v/>
      </c>
      <c r="E216" s="26" t="str">
        <f ca="1">IF($D216="","",OFFSET('(2)出場選手'!$B$2,$A216,E$1))</f>
        <v/>
      </c>
      <c r="F216" s="26" t="str">
        <f ca="1">IF($D216="","",IF(OFFSET('(2)出場選手'!$B$2,$A216,F$1)="","",OFFSET('(2)出場選手'!$B$2,$A216,F$1)))</f>
        <v/>
      </c>
      <c r="G216" s="26" t="str">
        <f t="shared" ca="1" si="18"/>
        <v/>
      </c>
      <c r="H216" s="26" t="str">
        <f t="shared" ca="1" si="19"/>
        <v/>
      </c>
      <c r="I216" s="26" t="str">
        <f ca="1">IF($D216="","",IF(OFFSET('(2)出場選手'!$B$2,$A216,I$1)="","",OFFSET('(2)出場選手'!$B$2,$A216,I$1)))</f>
        <v/>
      </c>
      <c r="J216" s="26" t="str">
        <f ca="1">IF($D216="","",IF(OFFSET('(2)出場選手'!$B$2,$A216,J$1)="",'(1)鑑'!$E$6,OFFSET('(2)出場選手'!$B$2,$A216,J$1)))</f>
        <v/>
      </c>
      <c r="K216" s="26" t="str">
        <f ca="1">IF($D216="","",TRIM(ASC(IF(OFFSET('(2)出場選手'!$B$2,$A216,K$1)="",'(1)鑑'!$E$7,OFFSET('(2)出場選手'!$B$2,$A216,K$1)))))</f>
        <v/>
      </c>
      <c r="L216" s="26" t="str">
        <f ca="1">IF($D216="","",SUBSTITUTE(SUBSTITUTE(SUBSTITUTE(IF(OFFSET('(2)出場選手'!$B$2,$A216,L$1)="",'(1)鑑'!$E$8,OFFSET('(2)出場選手'!$B$2,$A216,L$1)),"県",""),"府",""),"東京都","東京"))</f>
        <v/>
      </c>
      <c r="M216" s="57" t="str">
        <f ca="1">IF($D216="","",IF(OFFSET('(2)出場選手'!$B$2,$A216,M$1)="","",OFFSET('(2)出場選手'!$B$2,$A216,M$1)))</f>
        <v/>
      </c>
      <c r="N216" s="26" t="str">
        <f ca="1">IF($D216="","",OFFSET('(2)出場選手'!$B$2,$A216,N$1+3*$B216))</f>
        <v/>
      </c>
      <c r="O216" s="26" t="str">
        <f ca="1">IF($D216="","",IF(OFFSET('(2)出場選手'!$B$2,$A216,O$1+3*$B216)="","",OFFSET('(2)出場選手'!$B$2,$A216,O$1+3*$B216)))</f>
        <v/>
      </c>
      <c r="P216" s="26" t="str">
        <f ca="1">IF($D216="","",IF(OFFSET('(2)出場選手'!$B$2,$A216,P$1+3*$B216)="","",OFFSET('(2)出場選手'!$B$2,$A216,P$1+3*$B216)))</f>
        <v/>
      </c>
      <c r="Q216" s="43" t="str">
        <f ca="1">IF(D216="","",VLOOKUP(N216,OFFSET(Competition_Events,0,1),11,FALSE)*IF($S216="リレー",IF(COUNTIF($T$3:$T216,$T216)&gt;1,0,1),1))</f>
        <v/>
      </c>
      <c r="R216" s="26" t="str">
        <f t="shared" ca="1" si="20"/>
        <v/>
      </c>
      <c r="S216" s="26" t="str">
        <f t="shared" ca="1" si="21"/>
        <v/>
      </c>
      <c r="T216" s="26" t="str">
        <f t="shared" ca="1" si="22"/>
        <v/>
      </c>
      <c r="U216" s="26" t="str">
        <f t="shared" ca="1" si="23"/>
        <v/>
      </c>
      <c r="W216" s="17" t="str">
        <f ca="1">IF($D216="","",OFFSET('(2)出場選手'!$B$2,$A216,W$1))</f>
        <v/>
      </c>
      <c r="X216" s="17" t="str">
        <f ca="1">IF($D216="","",OFFSET('(2)出場選手'!$B$2,$A216,X$1))</f>
        <v/>
      </c>
      <c r="Y216" s="17" t="str">
        <f ca="1">IF($D216="","",OFFSET('(2)出場選手'!$B$2,$A216,Y$1))</f>
        <v/>
      </c>
      <c r="Z216" s="17" t="str">
        <f ca="1">IF($D216="","",OFFSET('(2)出場選手'!$B$2,$A216,Z$1))</f>
        <v/>
      </c>
    </row>
    <row r="217" spans="1:26" x14ac:dyDescent="0.15">
      <c r="A217" s="17">
        <f>TRUNC((ROWS($D$3:D217)-2)/Max_Entry_Count)+1</f>
        <v>72</v>
      </c>
      <c r="B217" s="17" t="str">
        <f ca="1">IF($A217&gt;=ROWS(Entries)-2,"",IF(OFFSET('(2)出場選手'!$B$2,$A217,B$1+3*(MOD(ROWS($D$3:D217)-2,Max_Entry_Count)))="","",MOD(ROWS($D$3:D217)-2,Max_Entry_Count)))</f>
        <v/>
      </c>
      <c r="D217" s="26" t="str">
        <f ca="1">IF(OR($A217&gt;=ROWS(Entries)-2,$B217=""),"",'(1)鑑'!$E$6&amp;"-"&amp;OFFSET('(2)出場選手'!$B$2,$A217,D$1))</f>
        <v/>
      </c>
      <c r="E217" s="26" t="str">
        <f ca="1">IF($D217="","",OFFSET('(2)出場選手'!$B$2,$A217,E$1))</f>
        <v/>
      </c>
      <c r="F217" s="26" t="str">
        <f ca="1">IF($D217="","",IF(OFFSET('(2)出場選手'!$B$2,$A217,F$1)="","",OFFSET('(2)出場選手'!$B$2,$A217,F$1)))</f>
        <v/>
      </c>
      <c r="G217" s="26" t="str">
        <f t="shared" ca="1" si="18"/>
        <v/>
      </c>
      <c r="H217" s="26" t="str">
        <f t="shared" ca="1" si="19"/>
        <v/>
      </c>
      <c r="I217" s="26" t="str">
        <f ca="1">IF($D217="","",IF(OFFSET('(2)出場選手'!$B$2,$A217,I$1)="","",OFFSET('(2)出場選手'!$B$2,$A217,I$1)))</f>
        <v/>
      </c>
      <c r="J217" s="26" t="str">
        <f ca="1">IF($D217="","",IF(OFFSET('(2)出場選手'!$B$2,$A217,J$1)="",'(1)鑑'!$E$6,OFFSET('(2)出場選手'!$B$2,$A217,J$1)))</f>
        <v/>
      </c>
      <c r="K217" s="26" t="str">
        <f ca="1">IF($D217="","",TRIM(ASC(IF(OFFSET('(2)出場選手'!$B$2,$A217,K$1)="",'(1)鑑'!$E$7,OFFSET('(2)出場選手'!$B$2,$A217,K$1)))))</f>
        <v/>
      </c>
      <c r="L217" s="26" t="str">
        <f ca="1">IF($D217="","",SUBSTITUTE(SUBSTITUTE(SUBSTITUTE(IF(OFFSET('(2)出場選手'!$B$2,$A217,L$1)="",'(1)鑑'!$E$8,OFFSET('(2)出場選手'!$B$2,$A217,L$1)),"県",""),"府",""),"東京都","東京"))</f>
        <v/>
      </c>
      <c r="M217" s="57" t="str">
        <f ca="1">IF($D217="","",IF(OFFSET('(2)出場選手'!$B$2,$A217,M$1)="","",OFFSET('(2)出場選手'!$B$2,$A217,M$1)))</f>
        <v/>
      </c>
      <c r="N217" s="26" t="str">
        <f ca="1">IF($D217="","",OFFSET('(2)出場選手'!$B$2,$A217,N$1+3*$B217))</f>
        <v/>
      </c>
      <c r="O217" s="26" t="str">
        <f ca="1">IF($D217="","",IF(OFFSET('(2)出場選手'!$B$2,$A217,O$1+3*$B217)="","",OFFSET('(2)出場選手'!$B$2,$A217,O$1+3*$B217)))</f>
        <v/>
      </c>
      <c r="P217" s="26" t="str">
        <f ca="1">IF($D217="","",IF(OFFSET('(2)出場選手'!$B$2,$A217,P$1+3*$B217)="","",OFFSET('(2)出場選手'!$B$2,$A217,P$1+3*$B217)))</f>
        <v/>
      </c>
      <c r="Q217" s="43" t="str">
        <f ca="1">IF(D217="","",VLOOKUP(N217,OFFSET(Competition_Events,0,1),11,FALSE)*IF($S217="リレー",IF(COUNTIF($T$3:$T217,$T217)&gt;1,0,1),1))</f>
        <v/>
      </c>
      <c r="R217" s="26" t="str">
        <f t="shared" ca="1" si="20"/>
        <v/>
      </c>
      <c r="S217" s="26" t="str">
        <f t="shared" ca="1" si="21"/>
        <v/>
      </c>
      <c r="T217" s="26" t="str">
        <f t="shared" ca="1" si="22"/>
        <v/>
      </c>
      <c r="U217" s="26" t="str">
        <f t="shared" ca="1" si="23"/>
        <v/>
      </c>
      <c r="W217" s="17" t="str">
        <f ca="1">IF($D217="","",OFFSET('(2)出場選手'!$B$2,$A217,W$1))</f>
        <v/>
      </c>
      <c r="X217" s="17" t="str">
        <f ca="1">IF($D217="","",OFFSET('(2)出場選手'!$B$2,$A217,X$1))</f>
        <v/>
      </c>
      <c r="Y217" s="17" t="str">
        <f ca="1">IF($D217="","",OFFSET('(2)出場選手'!$B$2,$A217,Y$1))</f>
        <v/>
      </c>
      <c r="Z217" s="17" t="str">
        <f ca="1">IF($D217="","",OFFSET('(2)出場選手'!$B$2,$A217,Z$1))</f>
        <v/>
      </c>
    </row>
    <row r="218" spans="1:26" x14ac:dyDescent="0.15">
      <c r="A218" s="17">
        <f>TRUNC((ROWS($D$3:D218)-2)/Max_Entry_Count)+1</f>
        <v>72</v>
      </c>
      <c r="B218" s="17" t="str">
        <f ca="1">IF($A218&gt;=ROWS(Entries)-2,"",IF(OFFSET('(2)出場選手'!$B$2,$A218,B$1+3*(MOD(ROWS($D$3:D218)-2,Max_Entry_Count)))="","",MOD(ROWS($D$3:D218)-2,Max_Entry_Count)))</f>
        <v/>
      </c>
      <c r="D218" s="26" t="str">
        <f ca="1">IF(OR($A218&gt;=ROWS(Entries)-2,$B218=""),"",'(1)鑑'!$E$6&amp;"-"&amp;OFFSET('(2)出場選手'!$B$2,$A218,D$1))</f>
        <v/>
      </c>
      <c r="E218" s="26" t="str">
        <f ca="1">IF($D218="","",OFFSET('(2)出場選手'!$B$2,$A218,E$1))</f>
        <v/>
      </c>
      <c r="F218" s="26" t="str">
        <f ca="1">IF($D218="","",IF(OFFSET('(2)出場選手'!$B$2,$A218,F$1)="","",OFFSET('(2)出場選手'!$B$2,$A218,F$1)))</f>
        <v/>
      </c>
      <c r="G218" s="26" t="str">
        <f t="shared" ca="1" si="18"/>
        <v/>
      </c>
      <c r="H218" s="26" t="str">
        <f t="shared" ca="1" si="19"/>
        <v/>
      </c>
      <c r="I218" s="26" t="str">
        <f ca="1">IF($D218="","",IF(OFFSET('(2)出場選手'!$B$2,$A218,I$1)="","",OFFSET('(2)出場選手'!$B$2,$A218,I$1)))</f>
        <v/>
      </c>
      <c r="J218" s="26" t="str">
        <f ca="1">IF($D218="","",IF(OFFSET('(2)出場選手'!$B$2,$A218,J$1)="",'(1)鑑'!$E$6,OFFSET('(2)出場選手'!$B$2,$A218,J$1)))</f>
        <v/>
      </c>
      <c r="K218" s="26" t="str">
        <f ca="1">IF($D218="","",TRIM(ASC(IF(OFFSET('(2)出場選手'!$B$2,$A218,K$1)="",'(1)鑑'!$E$7,OFFSET('(2)出場選手'!$B$2,$A218,K$1)))))</f>
        <v/>
      </c>
      <c r="L218" s="26" t="str">
        <f ca="1">IF($D218="","",SUBSTITUTE(SUBSTITUTE(SUBSTITUTE(IF(OFFSET('(2)出場選手'!$B$2,$A218,L$1)="",'(1)鑑'!$E$8,OFFSET('(2)出場選手'!$B$2,$A218,L$1)),"県",""),"府",""),"東京都","東京"))</f>
        <v/>
      </c>
      <c r="M218" s="57" t="str">
        <f ca="1">IF($D218="","",IF(OFFSET('(2)出場選手'!$B$2,$A218,M$1)="","",OFFSET('(2)出場選手'!$B$2,$A218,M$1)))</f>
        <v/>
      </c>
      <c r="N218" s="26" t="str">
        <f ca="1">IF($D218="","",OFFSET('(2)出場選手'!$B$2,$A218,N$1+3*$B218))</f>
        <v/>
      </c>
      <c r="O218" s="26" t="str">
        <f ca="1">IF($D218="","",IF(OFFSET('(2)出場選手'!$B$2,$A218,O$1+3*$B218)="","",OFFSET('(2)出場選手'!$B$2,$A218,O$1+3*$B218)))</f>
        <v/>
      </c>
      <c r="P218" s="26" t="str">
        <f ca="1">IF($D218="","",IF(OFFSET('(2)出場選手'!$B$2,$A218,P$1+3*$B218)="","",OFFSET('(2)出場選手'!$B$2,$A218,P$1+3*$B218)))</f>
        <v/>
      </c>
      <c r="Q218" s="43" t="str">
        <f ca="1">IF(D218="","",VLOOKUP(N218,OFFSET(Competition_Events,0,1),11,FALSE)*IF($S218="リレー",IF(COUNTIF($T$3:$T218,$T218)&gt;1,0,1),1))</f>
        <v/>
      </c>
      <c r="R218" s="26" t="str">
        <f t="shared" ca="1" si="20"/>
        <v/>
      </c>
      <c r="S218" s="26" t="str">
        <f t="shared" ca="1" si="21"/>
        <v/>
      </c>
      <c r="T218" s="26" t="str">
        <f t="shared" ca="1" si="22"/>
        <v/>
      </c>
      <c r="U218" s="26" t="str">
        <f t="shared" ca="1" si="23"/>
        <v/>
      </c>
      <c r="W218" s="17" t="str">
        <f ca="1">IF($D218="","",OFFSET('(2)出場選手'!$B$2,$A218,W$1))</f>
        <v/>
      </c>
      <c r="X218" s="17" t="str">
        <f ca="1">IF($D218="","",OFFSET('(2)出場選手'!$B$2,$A218,X$1))</f>
        <v/>
      </c>
      <c r="Y218" s="17" t="str">
        <f ca="1">IF($D218="","",OFFSET('(2)出場選手'!$B$2,$A218,Y$1))</f>
        <v/>
      </c>
      <c r="Z218" s="17" t="str">
        <f ca="1">IF($D218="","",OFFSET('(2)出場選手'!$B$2,$A218,Z$1))</f>
        <v/>
      </c>
    </row>
    <row r="219" spans="1:26" x14ac:dyDescent="0.15">
      <c r="A219" s="17">
        <f>TRUNC((ROWS($D$3:D219)-2)/Max_Entry_Count)+1</f>
        <v>72</v>
      </c>
      <c r="B219" s="17" t="str">
        <f ca="1">IF($A219&gt;=ROWS(Entries)-2,"",IF(OFFSET('(2)出場選手'!$B$2,$A219,B$1+3*(MOD(ROWS($D$3:D219)-2,Max_Entry_Count)))="","",MOD(ROWS($D$3:D219)-2,Max_Entry_Count)))</f>
        <v/>
      </c>
      <c r="D219" s="26" t="str">
        <f ca="1">IF(OR($A219&gt;=ROWS(Entries)-2,$B219=""),"",'(1)鑑'!$E$6&amp;"-"&amp;OFFSET('(2)出場選手'!$B$2,$A219,D$1))</f>
        <v/>
      </c>
      <c r="E219" s="26" t="str">
        <f ca="1">IF($D219="","",OFFSET('(2)出場選手'!$B$2,$A219,E$1))</f>
        <v/>
      </c>
      <c r="F219" s="26" t="str">
        <f ca="1">IF($D219="","",IF(OFFSET('(2)出場選手'!$B$2,$A219,F$1)="","",OFFSET('(2)出場選手'!$B$2,$A219,F$1)))</f>
        <v/>
      </c>
      <c r="G219" s="26" t="str">
        <f t="shared" ca="1" si="18"/>
        <v/>
      </c>
      <c r="H219" s="26" t="str">
        <f t="shared" ca="1" si="19"/>
        <v/>
      </c>
      <c r="I219" s="26" t="str">
        <f ca="1">IF($D219="","",IF(OFFSET('(2)出場選手'!$B$2,$A219,I$1)="","",OFFSET('(2)出場選手'!$B$2,$A219,I$1)))</f>
        <v/>
      </c>
      <c r="J219" s="26" t="str">
        <f ca="1">IF($D219="","",IF(OFFSET('(2)出場選手'!$B$2,$A219,J$1)="",'(1)鑑'!$E$6,OFFSET('(2)出場選手'!$B$2,$A219,J$1)))</f>
        <v/>
      </c>
      <c r="K219" s="26" t="str">
        <f ca="1">IF($D219="","",TRIM(ASC(IF(OFFSET('(2)出場選手'!$B$2,$A219,K$1)="",'(1)鑑'!$E$7,OFFSET('(2)出場選手'!$B$2,$A219,K$1)))))</f>
        <v/>
      </c>
      <c r="L219" s="26" t="str">
        <f ca="1">IF($D219="","",SUBSTITUTE(SUBSTITUTE(SUBSTITUTE(IF(OFFSET('(2)出場選手'!$B$2,$A219,L$1)="",'(1)鑑'!$E$8,OFFSET('(2)出場選手'!$B$2,$A219,L$1)),"県",""),"府",""),"東京都","東京"))</f>
        <v/>
      </c>
      <c r="M219" s="57" t="str">
        <f ca="1">IF($D219="","",IF(OFFSET('(2)出場選手'!$B$2,$A219,M$1)="","",OFFSET('(2)出場選手'!$B$2,$A219,M$1)))</f>
        <v/>
      </c>
      <c r="N219" s="26" t="str">
        <f ca="1">IF($D219="","",OFFSET('(2)出場選手'!$B$2,$A219,N$1+3*$B219))</f>
        <v/>
      </c>
      <c r="O219" s="26" t="str">
        <f ca="1">IF($D219="","",IF(OFFSET('(2)出場選手'!$B$2,$A219,O$1+3*$B219)="","",OFFSET('(2)出場選手'!$B$2,$A219,O$1+3*$B219)))</f>
        <v/>
      </c>
      <c r="P219" s="26" t="str">
        <f ca="1">IF($D219="","",IF(OFFSET('(2)出場選手'!$B$2,$A219,P$1+3*$B219)="","",OFFSET('(2)出場選手'!$B$2,$A219,P$1+3*$B219)))</f>
        <v/>
      </c>
      <c r="Q219" s="43" t="str">
        <f ca="1">IF(D219="","",VLOOKUP(N219,OFFSET(Competition_Events,0,1),11,FALSE)*IF($S219="リレー",IF(COUNTIF($T$3:$T219,$T219)&gt;1,0,1),1))</f>
        <v/>
      </c>
      <c r="R219" s="26" t="str">
        <f t="shared" ca="1" si="20"/>
        <v/>
      </c>
      <c r="S219" s="26" t="str">
        <f t="shared" ca="1" si="21"/>
        <v/>
      </c>
      <c r="T219" s="26" t="str">
        <f t="shared" ca="1" si="22"/>
        <v/>
      </c>
      <c r="U219" s="26" t="str">
        <f t="shared" ca="1" si="23"/>
        <v/>
      </c>
      <c r="W219" s="17" t="str">
        <f ca="1">IF($D219="","",OFFSET('(2)出場選手'!$B$2,$A219,W$1))</f>
        <v/>
      </c>
      <c r="X219" s="17" t="str">
        <f ca="1">IF($D219="","",OFFSET('(2)出場選手'!$B$2,$A219,X$1))</f>
        <v/>
      </c>
      <c r="Y219" s="17" t="str">
        <f ca="1">IF($D219="","",OFFSET('(2)出場選手'!$B$2,$A219,Y$1))</f>
        <v/>
      </c>
      <c r="Z219" s="17" t="str">
        <f ca="1">IF($D219="","",OFFSET('(2)出場選手'!$B$2,$A219,Z$1))</f>
        <v/>
      </c>
    </row>
    <row r="220" spans="1:26" x14ac:dyDescent="0.15">
      <c r="A220" s="17">
        <f>TRUNC((ROWS($D$3:D220)-2)/Max_Entry_Count)+1</f>
        <v>73</v>
      </c>
      <c r="B220" s="17" t="str">
        <f ca="1">IF($A220&gt;=ROWS(Entries)-2,"",IF(OFFSET('(2)出場選手'!$B$2,$A220,B$1+3*(MOD(ROWS($D$3:D220)-2,Max_Entry_Count)))="","",MOD(ROWS($D$3:D220)-2,Max_Entry_Count)))</f>
        <v/>
      </c>
      <c r="D220" s="26" t="str">
        <f ca="1">IF(OR($A220&gt;=ROWS(Entries)-2,$B220=""),"",'(1)鑑'!$E$6&amp;"-"&amp;OFFSET('(2)出場選手'!$B$2,$A220,D$1))</f>
        <v/>
      </c>
      <c r="E220" s="26" t="str">
        <f ca="1">IF($D220="","",OFFSET('(2)出場選手'!$B$2,$A220,E$1))</f>
        <v/>
      </c>
      <c r="F220" s="26" t="str">
        <f ca="1">IF($D220="","",IF(OFFSET('(2)出場選手'!$B$2,$A220,F$1)="","",OFFSET('(2)出場選手'!$B$2,$A220,F$1)))</f>
        <v/>
      </c>
      <c r="G220" s="26" t="str">
        <f t="shared" ca="1" si="18"/>
        <v/>
      </c>
      <c r="H220" s="26" t="str">
        <f t="shared" ca="1" si="19"/>
        <v/>
      </c>
      <c r="I220" s="26" t="str">
        <f ca="1">IF($D220="","",IF(OFFSET('(2)出場選手'!$B$2,$A220,I$1)="","",OFFSET('(2)出場選手'!$B$2,$A220,I$1)))</f>
        <v/>
      </c>
      <c r="J220" s="26" t="str">
        <f ca="1">IF($D220="","",IF(OFFSET('(2)出場選手'!$B$2,$A220,J$1)="",'(1)鑑'!$E$6,OFFSET('(2)出場選手'!$B$2,$A220,J$1)))</f>
        <v/>
      </c>
      <c r="K220" s="26" t="str">
        <f ca="1">IF($D220="","",TRIM(ASC(IF(OFFSET('(2)出場選手'!$B$2,$A220,K$1)="",'(1)鑑'!$E$7,OFFSET('(2)出場選手'!$B$2,$A220,K$1)))))</f>
        <v/>
      </c>
      <c r="L220" s="26" t="str">
        <f ca="1">IF($D220="","",SUBSTITUTE(SUBSTITUTE(SUBSTITUTE(IF(OFFSET('(2)出場選手'!$B$2,$A220,L$1)="",'(1)鑑'!$E$8,OFFSET('(2)出場選手'!$B$2,$A220,L$1)),"県",""),"府",""),"東京都","東京"))</f>
        <v/>
      </c>
      <c r="M220" s="57" t="str">
        <f ca="1">IF($D220="","",IF(OFFSET('(2)出場選手'!$B$2,$A220,M$1)="","",OFFSET('(2)出場選手'!$B$2,$A220,M$1)))</f>
        <v/>
      </c>
      <c r="N220" s="26" t="str">
        <f ca="1">IF($D220="","",OFFSET('(2)出場選手'!$B$2,$A220,N$1+3*$B220))</f>
        <v/>
      </c>
      <c r="O220" s="26" t="str">
        <f ca="1">IF($D220="","",IF(OFFSET('(2)出場選手'!$B$2,$A220,O$1+3*$B220)="","",OFFSET('(2)出場選手'!$B$2,$A220,O$1+3*$B220)))</f>
        <v/>
      </c>
      <c r="P220" s="26" t="str">
        <f ca="1">IF($D220="","",IF(OFFSET('(2)出場選手'!$B$2,$A220,P$1+3*$B220)="","",OFFSET('(2)出場選手'!$B$2,$A220,P$1+3*$B220)))</f>
        <v/>
      </c>
      <c r="Q220" s="43" t="str">
        <f ca="1">IF(D220="","",VLOOKUP(N220,OFFSET(Competition_Events,0,1),11,FALSE)*IF($S220="リレー",IF(COUNTIF($T$3:$T220,$T220)&gt;1,0,1),1))</f>
        <v/>
      </c>
      <c r="R220" s="26" t="str">
        <f t="shared" ca="1" si="20"/>
        <v/>
      </c>
      <c r="S220" s="26" t="str">
        <f t="shared" ca="1" si="21"/>
        <v/>
      </c>
      <c r="T220" s="26" t="str">
        <f t="shared" ca="1" si="22"/>
        <v/>
      </c>
      <c r="U220" s="26" t="str">
        <f t="shared" ca="1" si="23"/>
        <v/>
      </c>
      <c r="W220" s="17" t="str">
        <f ca="1">IF($D220="","",OFFSET('(2)出場選手'!$B$2,$A220,W$1))</f>
        <v/>
      </c>
      <c r="X220" s="17" t="str">
        <f ca="1">IF($D220="","",OFFSET('(2)出場選手'!$B$2,$A220,X$1))</f>
        <v/>
      </c>
      <c r="Y220" s="17" t="str">
        <f ca="1">IF($D220="","",OFFSET('(2)出場選手'!$B$2,$A220,Y$1))</f>
        <v/>
      </c>
      <c r="Z220" s="17" t="str">
        <f ca="1">IF($D220="","",OFFSET('(2)出場選手'!$B$2,$A220,Z$1))</f>
        <v/>
      </c>
    </row>
    <row r="221" spans="1:26" x14ac:dyDescent="0.15">
      <c r="A221" s="17">
        <f>TRUNC((ROWS($D$3:D221)-2)/Max_Entry_Count)+1</f>
        <v>73</v>
      </c>
      <c r="B221" s="17" t="str">
        <f ca="1">IF($A221&gt;=ROWS(Entries)-2,"",IF(OFFSET('(2)出場選手'!$B$2,$A221,B$1+3*(MOD(ROWS($D$3:D221)-2,Max_Entry_Count)))="","",MOD(ROWS($D$3:D221)-2,Max_Entry_Count)))</f>
        <v/>
      </c>
      <c r="D221" s="26" t="str">
        <f ca="1">IF(OR($A221&gt;=ROWS(Entries)-2,$B221=""),"",'(1)鑑'!$E$6&amp;"-"&amp;OFFSET('(2)出場選手'!$B$2,$A221,D$1))</f>
        <v/>
      </c>
      <c r="E221" s="26" t="str">
        <f ca="1">IF($D221="","",OFFSET('(2)出場選手'!$B$2,$A221,E$1))</f>
        <v/>
      </c>
      <c r="F221" s="26" t="str">
        <f ca="1">IF($D221="","",IF(OFFSET('(2)出場選手'!$B$2,$A221,F$1)="","",OFFSET('(2)出場選手'!$B$2,$A221,F$1)))</f>
        <v/>
      </c>
      <c r="G221" s="26" t="str">
        <f t="shared" ca="1" si="18"/>
        <v/>
      </c>
      <c r="H221" s="26" t="str">
        <f t="shared" ca="1" si="19"/>
        <v/>
      </c>
      <c r="I221" s="26" t="str">
        <f ca="1">IF($D221="","",IF(OFFSET('(2)出場選手'!$B$2,$A221,I$1)="","",OFFSET('(2)出場選手'!$B$2,$A221,I$1)))</f>
        <v/>
      </c>
      <c r="J221" s="26" t="str">
        <f ca="1">IF($D221="","",IF(OFFSET('(2)出場選手'!$B$2,$A221,J$1)="",'(1)鑑'!$E$6,OFFSET('(2)出場選手'!$B$2,$A221,J$1)))</f>
        <v/>
      </c>
      <c r="K221" s="26" t="str">
        <f ca="1">IF($D221="","",TRIM(ASC(IF(OFFSET('(2)出場選手'!$B$2,$A221,K$1)="",'(1)鑑'!$E$7,OFFSET('(2)出場選手'!$B$2,$A221,K$1)))))</f>
        <v/>
      </c>
      <c r="L221" s="26" t="str">
        <f ca="1">IF($D221="","",SUBSTITUTE(SUBSTITUTE(SUBSTITUTE(IF(OFFSET('(2)出場選手'!$B$2,$A221,L$1)="",'(1)鑑'!$E$8,OFFSET('(2)出場選手'!$B$2,$A221,L$1)),"県",""),"府",""),"東京都","東京"))</f>
        <v/>
      </c>
      <c r="M221" s="57" t="str">
        <f ca="1">IF($D221="","",IF(OFFSET('(2)出場選手'!$B$2,$A221,M$1)="","",OFFSET('(2)出場選手'!$B$2,$A221,M$1)))</f>
        <v/>
      </c>
      <c r="N221" s="26" t="str">
        <f ca="1">IF($D221="","",OFFSET('(2)出場選手'!$B$2,$A221,N$1+3*$B221))</f>
        <v/>
      </c>
      <c r="O221" s="26" t="str">
        <f ca="1">IF($D221="","",IF(OFFSET('(2)出場選手'!$B$2,$A221,O$1+3*$B221)="","",OFFSET('(2)出場選手'!$B$2,$A221,O$1+3*$B221)))</f>
        <v/>
      </c>
      <c r="P221" s="26" t="str">
        <f ca="1">IF($D221="","",IF(OFFSET('(2)出場選手'!$B$2,$A221,P$1+3*$B221)="","",OFFSET('(2)出場選手'!$B$2,$A221,P$1+3*$B221)))</f>
        <v/>
      </c>
      <c r="Q221" s="43" t="str">
        <f ca="1">IF(D221="","",VLOOKUP(N221,OFFSET(Competition_Events,0,1),11,FALSE)*IF($S221="リレー",IF(COUNTIF($T$3:$T221,$T221)&gt;1,0,1),1))</f>
        <v/>
      </c>
      <c r="R221" s="26" t="str">
        <f t="shared" ca="1" si="20"/>
        <v/>
      </c>
      <c r="S221" s="26" t="str">
        <f t="shared" ca="1" si="21"/>
        <v/>
      </c>
      <c r="T221" s="26" t="str">
        <f t="shared" ca="1" si="22"/>
        <v/>
      </c>
      <c r="U221" s="26" t="str">
        <f t="shared" ca="1" si="23"/>
        <v/>
      </c>
      <c r="W221" s="17" t="str">
        <f ca="1">IF($D221="","",OFFSET('(2)出場選手'!$B$2,$A221,W$1))</f>
        <v/>
      </c>
      <c r="X221" s="17" t="str">
        <f ca="1">IF($D221="","",OFFSET('(2)出場選手'!$B$2,$A221,X$1))</f>
        <v/>
      </c>
      <c r="Y221" s="17" t="str">
        <f ca="1">IF($D221="","",OFFSET('(2)出場選手'!$B$2,$A221,Y$1))</f>
        <v/>
      </c>
      <c r="Z221" s="17" t="str">
        <f ca="1">IF($D221="","",OFFSET('(2)出場選手'!$B$2,$A221,Z$1))</f>
        <v/>
      </c>
    </row>
    <row r="222" spans="1:26" x14ac:dyDescent="0.15">
      <c r="A222" s="17">
        <f>TRUNC((ROWS($D$3:D222)-2)/Max_Entry_Count)+1</f>
        <v>73</v>
      </c>
      <c r="B222" s="17" t="str">
        <f ca="1">IF($A222&gt;=ROWS(Entries)-2,"",IF(OFFSET('(2)出場選手'!$B$2,$A222,B$1+3*(MOD(ROWS($D$3:D222)-2,Max_Entry_Count)))="","",MOD(ROWS($D$3:D222)-2,Max_Entry_Count)))</f>
        <v/>
      </c>
      <c r="D222" s="26" t="str">
        <f ca="1">IF(OR($A222&gt;=ROWS(Entries)-2,$B222=""),"",'(1)鑑'!$E$6&amp;"-"&amp;OFFSET('(2)出場選手'!$B$2,$A222,D$1))</f>
        <v/>
      </c>
      <c r="E222" s="26" t="str">
        <f ca="1">IF($D222="","",OFFSET('(2)出場選手'!$B$2,$A222,E$1))</f>
        <v/>
      </c>
      <c r="F222" s="26" t="str">
        <f ca="1">IF($D222="","",IF(OFFSET('(2)出場選手'!$B$2,$A222,F$1)="","",OFFSET('(2)出場選手'!$B$2,$A222,F$1)))</f>
        <v/>
      </c>
      <c r="G222" s="26" t="str">
        <f t="shared" ca="1" si="18"/>
        <v/>
      </c>
      <c r="H222" s="26" t="str">
        <f t="shared" ca="1" si="19"/>
        <v/>
      </c>
      <c r="I222" s="26" t="str">
        <f ca="1">IF($D222="","",IF(OFFSET('(2)出場選手'!$B$2,$A222,I$1)="","",OFFSET('(2)出場選手'!$B$2,$A222,I$1)))</f>
        <v/>
      </c>
      <c r="J222" s="26" t="str">
        <f ca="1">IF($D222="","",IF(OFFSET('(2)出場選手'!$B$2,$A222,J$1)="",'(1)鑑'!$E$6,OFFSET('(2)出場選手'!$B$2,$A222,J$1)))</f>
        <v/>
      </c>
      <c r="K222" s="26" t="str">
        <f ca="1">IF($D222="","",TRIM(ASC(IF(OFFSET('(2)出場選手'!$B$2,$A222,K$1)="",'(1)鑑'!$E$7,OFFSET('(2)出場選手'!$B$2,$A222,K$1)))))</f>
        <v/>
      </c>
      <c r="L222" s="26" t="str">
        <f ca="1">IF($D222="","",SUBSTITUTE(SUBSTITUTE(SUBSTITUTE(IF(OFFSET('(2)出場選手'!$B$2,$A222,L$1)="",'(1)鑑'!$E$8,OFFSET('(2)出場選手'!$B$2,$A222,L$1)),"県",""),"府",""),"東京都","東京"))</f>
        <v/>
      </c>
      <c r="M222" s="57" t="str">
        <f ca="1">IF($D222="","",IF(OFFSET('(2)出場選手'!$B$2,$A222,M$1)="","",OFFSET('(2)出場選手'!$B$2,$A222,M$1)))</f>
        <v/>
      </c>
      <c r="N222" s="26" t="str">
        <f ca="1">IF($D222="","",OFFSET('(2)出場選手'!$B$2,$A222,N$1+3*$B222))</f>
        <v/>
      </c>
      <c r="O222" s="26" t="str">
        <f ca="1">IF($D222="","",IF(OFFSET('(2)出場選手'!$B$2,$A222,O$1+3*$B222)="","",OFFSET('(2)出場選手'!$B$2,$A222,O$1+3*$B222)))</f>
        <v/>
      </c>
      <c r="P222" s="26" t="str">
        <f ca="1">IF($D222="","",IF(OFFSET('(2)出場選手'!$B$2,$A222,P$1+3*$B222)="","",OFFSET('(2)出場選手'!$B$2,$A222,P$1+3*$B222)))</f>
        <v/>
      </c>
      <c r="Q222" s="43" t="str">
        <f ca="1">IF(D222="","",VLOOKUP(N222,OFFSET(Competition_Events,0,1),11,FALSE)*IF($S222="リレー",IF(COUNTIF($T$3:$T222,$T222)&gt;1,0,1),1))</f>
        <v/>
      </c>
      <c r="R222" s="26" t="str">
        <f t="shared" ca="1" si="20"/>
        <v/>
      </c>
      <c r="S222" s="26" t="str">
        <f t="shared" ca="1" si="21"/>
        <v/>
      </c>
      <c r="T222" s="26" t="str">
        <f t="shared" ca="1" si="22"/>
        <v/>
      </c>
      <c r="U222" s="26" t="str">
        <f t="shared" ca="1" si="23"/>
        <v/>
      </c>
      <c r="W222" s="17" t="str">
        <f ca="1">IF($D222="","",OFFSET('(2)出場選手'!$B$2,$A222,W$1))</f>
        <v/>
      </c>
      <c r="X222" s="17" t="str">
        <f ca="1">IF($D222="","",OFFSET('(2)出場選手'!$B$2,$A222,X$1))</f>
        <v/>
      </c>
      <c r="Y222" s="17" t="str">
        <f ca="1">IF($D222="","",OFFSET('(2)出場選手'!$B$2,$A222,Y$1))</f>
        <v/>
      </c>
      <c r="Z222" s="17" t="str">
        <f ca="1">IF($D222="","",OFFSET('(2)出場選手'!$B$2,$A222,Z$1))</f>
        <v/>
      </c>
    </row>
    <row r="223" spans="1:26" x14ac:dyDescent="0.15">
      <c r="A223" s="17">
        <f>TRUNC((ROWS($D$3:D223)-2)/Max_Entry_Count)+1</f>
        <v>74</v>
      </c>
      <c r="B223" s="17" t="str">
        <f ca="1">IF($A223&gt;=ROWS(Entries)-2,"",IF(OFFSET('(2)出場選手'!$B$2,$A223,B$1+3*(MOD(ROWS($D$3:D223)-2,Max_Entry_Count)))="","",MOD(ROWS($D$3:D223)-2,Max_Entry_Count)))</f>
        <v/>
      </c>
      <c r="D223" s="26" t="str">
        <f ca="1">IF(OR($A223&gt;=ROWS(Entries)-2,$B223=""),"",'(1)鑑'!$E$6&amp;"-"&amp;OFFSET('(2)出場選手'!$B$2,$A223,D$1))</f>
        <v/>
      </c>
      <c r="E223" s="26" t="str">
        <f ca="1">IF($D223="","",OFFSET('(2)出場選手'!$B$2,$A223,E$1))</f>
        <v/>
      </c>
      <c r="F223" s="26" t="str">
        <f ca="1">IF($D223="","",IF(OFFSET('(2)出場選手'!$B$2,$A223,F$1)="","",OFFSET('(2)出場選手'!$B$2,$A223,F$1)))</f>
        <v/>
      </c>
      <c r="G223" s="26" t="str">
        <f t="shared" ca="1" si="18"/>
        <v/>
      </c>
      <c r="H223" s="26" t="str">
        <f t="shared" ca="1" si="19"/>
        <v/>
      </c>
      <c r="I223" s="26" t="str">
        <f ca="1">IF($D223="","",IF(OFFSET('(2)出場選手'!$B$2,$A223,I$1)="","",OFFSET('(2)出場選手'!$B$2,$A223,I$1)))</f>
        <v/>
      </c>
      <c r="J223" s="26" t="str">
        <f ca="1">IF($D223="","",IF(OFFSET('(2)出場選手'!$B$2,$A223,J$1)="",'(1)鑑'!$E$6,OFFSET('(2)出場選手'!$B$2,$A223,J$1)))</f>
        <v/>
      </c>
      <c r="K223" s="26" t="str">
        <f ca="1">IF($D223="","",TRIM(ASC(IF(OFFSET('(2)出場選手'!$B$2,$A223,K$1)="",'(1)鑑'!$E$7,OFFSET('(2)出場選手'!$B$2,$A223,K$1)))))</f>
        <v/>
      </c>
      <c r="L223" s="26" t="str">
        <f ca="1">IF($D223="","",SUBSTITUTE(SUBSTITUTE(SUBSTITUTE(IF(OFFSET('(2)出場選手'!$B$2,$A223,L$1)="",'(1)鑑'!$E$8,OFFSET('(2)出場選手'!$B$2,$A223,L$1)),"県",""),"府",""),"東京都","東京"))</f>
        <v/>
      </c>
      <c r="M223" s="57" t="str">
        <f ca="1">IF($D223="","",IF(OFFSET('(2)出場選手'!$B$2,$A223,M$1)="","",OFFSET('(2)出場選手'!$B$2,$A223,M$1)))</f>
        <v/>
      </c>
      <c r="N223" s="26" t="str">
        <f ca="1">IF($D223="","",OFFSET('(2)出場選手'!$B$2,$A223,N$1+3*$B223))</f>
        <v/>
      </c>
      <c r="O223" s="26" t="str">
        <f ca="1">IF($D223="","",IF(OFFSET('(2)出場選手'!$B$2,$A223,O$1+3*$B223)="","",OFFSET('(2)出場選手'!$B$2,$A223,O$1+3*$B223)))</f>
        <v/>
      </c>
      <c r="P223" s="26" t="str">
        <f ca="1">IF($D223="","",IF(OFFSET('(2)出場選手'!$B$2,$A223,P$1+3*$B223)="","",OFFSET('(2)出場選手'!$B$2,$A223,P$1+3*$B223)))</f>
        <v/>
      </c>
      <c r="Q223" s="43" t="str">
        <f ca="1">IF(D223="","",VLOOKUP(N223,OFFSET(Competition_Events,0,1),11,FALSE)*IF($S223="リレー",IF(COUNTIF($T$3:$T223,$T223)&gt;1,0,1),1))</f>
        <v/>
      </c>
      <c r="R223" s="26" t="str">
        <f t="shared" ca="1" si="20"/>
        <v/>
      </c>
      <c r="S223" s="26" t="str">
        <f t="shared" ca="1" si="21"/>
        <v/>
      </c>
      <c r="T223" s="26" t="str">
        <f t="shared" ca="1" si="22"/>
        <v/>
      </c>
      <c r="U223" s="26" t="str">
        <f t="shared" ca="1" si="23"/>
        <v/>
      </c>
      <c r="W223" s="17" t="str">
        <f ca="1">IF($D223="","",OFFSET('(2)出場選手'!$B$2,$A223,W$1))</f>
        <v/>
      </c>
      <c r="X223" s="17" t="str">
        <f ca="1">IF($D223="","",OFFSET('(2)出場選手'!$B$2,$A223,X$1))</f>
        <v/>
      </c>
      <c r="Y223" s="17" t="str">
        <f ca="1">IF($D223="","",OFFSET('(2)出場選手'!$B$2,$A223,Y$1))</f>
        <v/>
      </c>
      <c r="Z223" s="17" t="str">
        <f ca="1">IF($D223="","",OFFSET('(2)出場選手'!$B$2,$A223,Z$1))</f>
        <v/>
      </c>
    </row>
    <row r="224" spans="1:26" x14ac:dyDescent="0.15">
      <c r="A224" s="17">
        <f>TRUNC((ROWS($D$3:D224)-2)/Max_Entry_Count)+1</f>
        <v>74</v>
      </c>
      <c r="B224" s="17" t="str">
        <f ca="1">IF($A224&gt;=ROWS(Entries)-2,"",IF(OFFSET('(2)出場選手'!$B$2,$A224,B$1+3*(MOD(ROWS($D$3:D224)-2,Max_Entry_Count)))="","",MOD(ROWS($D$3:D224)-2,Max_Entry_Count)))</f>
        <v/>
      </c>
      <c r="D224" s="26" t="str">
        <f ca="1">IF(OR($A224&gt;=ROWS(Entries)-2,$B224=""),"",'(1)鑑'!$E$6&amp;"-"&amp;OFFSET('(2)出場選手'!$B$2,$A224,D$1))</f>
        <v/>
      </c>
      <c r="E224" s="26" t="str">
        <f ca="1">IF($D224="","",OFFSET('(2)出場選手'!$B$2,$A224,E$1))</f>
        <v/>
      </c>
      <c r="F224" s="26" t="str">
        <f ca="1">IF($D224="","",IF(OFFSET('(2)出場選手'!$B$2,$A224,F$1)="","",OFFSET('(2)出場選手'!$B$2,$A224,F$1)))</f>
        <v/>
      </c>
      <c r="G224" s="26" t="str">
        <f t="shared" ca="1" si="18"/>
        <v/>
      </c>
      <c r="H224" s="26" t="str">
        <f t="shared" ca="1" si="19"/>
        <v/>
      </c>
      <c r="I224" s="26" t="str">
        <f ca="1">IF($D224="","",IF(OFFSET('(2)出場選手'!$B$2,$A224,I$1)="","",OFFSET('(2)出場選手'!$B$2,$A224,I$1)))</f>
        <v/>
      </c>
      <c r="J224" s="26" t="str">
        <f ca="1">IF($D224="","",IF(OFFSET('(2)出場選手'!$B$2,$A224,J$1)="",'(1)鑑'!$E$6,OFFSET('(2)出場選手'!$B$2,$A224,J$1)))</f>
        <v/>
      </c>
      <c r="K224" s="26" t="str">
        <f ca="1">IF($D224="","",TRIM(ASC(IF(OFFSET('(2)出場選手'!$B$2,$A224,K$1)="",'(1)鑑'!$E$7,OFFSET('(2)出場選手'!$B$2,$A224,K$1)))))</f>
        <v/>
      </c>
      <c r="L224" s="26" t="str">
        <f ca="1">IF($D224="","",SUBSTITUTE(SUBSTITUTE(SUBSTITUTE(IF(OFFSET('(2)出場選手'!$B$2,$A224,L$1)="",'(1)鑑'!$E$8,OFFSET('(2)出場選手'!$B$2,$A224,L$1)),"県",""),"府",""),"東京都","東京"))</f>
        <v/>
      </c>
      <c r="M224" s="57" t="str">
        <f ca="1">IF($D224="","",IF(OFFSET('(2)出場選手'!$B$2,$A224,M$1)="","",OFFSET('(2)出場選手'!$B$2,$A224,M$1)))</f>
        <v/>
      </c>
      <c r="N224" s="26" t="str">
        <f ca="1">IF($D224="","",OFFSET('(2)出場選手'!$B$2,$A224,N$1+3*$B224))</f>
        <v/>
      </c>
      <c r="O224" s="26" t="str">
        <f ca="1">IF($D224="","",IF(OFFSET('(2)出場選手'!$B$2,$A224,O$1+3*$B224)="","",OFFSET('(2)出場選手'!$B$2,$A224,O$1+3*$B224)))</f>
        <v/>
      </c>
      <c r="P224" s="26" t="str">
        <f ca="1">IF($D224="","",IF(OFFSET('(2)出場選手'!$B$2,$A224,P$1+3*$B224)="","",OFFSET('(2)出場選手'!$B$2,$A224,P$1+3*$B224)))</f>
        <v/>
      </c>
      <c r="Q224" s="43" t="str">
        <f ca="1">IF(D224="","",VLOOKUP(N224,OFFSET(Competition_Events,0,1),11,FALSE)*IF($S224="リレー",IF(COUNTIF($T$3:$T224,$T224)&gt;1,0,1),1))</f>
        <v/>
      </c>
      <c r="R224" s="26" t="str">
        <f t="shared" ca="1" si="20"/>
        <v/>
      </c>
      <c r="S224" s="26" t="str">
        <f t="shared" ca="1" si="21"/>
        <v/>
      </c>
      <c r="T224" s="26" t="str">
        <f t="shared" ca="1" si="22"/>
        <v/>
      </c>
      <c r="U224" s="26" t="str">
        <f t="shared" ca="1" si="23"/>
        <v/>
      </c>
      <c r="W224" s="17" t="str">
        <f ca="1">IF($D224="","",OFFSET('(2)出場選手'!$B$2,$A224,W$1))</f>
        <v/>
      </c>
      <c r="X224" s="17" t="str">
        <f ca="1">IF($D224="","",OFFSET('(2)出場選手'!$B$2,$A224,X$1))</f>
        <v/>
      </c>
      <c r="Y224" s="17" t="str">
        <f ca="1">IF($D224="","",OFFSET('(2)出場選手'!$B$2,$A224,Y$1))</f>
        <v/>
      </c>
      <c r="Z224" s="17" t="str">
        <f ca="1">IF($D224="","",OFFSET('(2)出場選手'!$B$2,$A224,Z$1))</f>
        <v/>
      </c>
    </row>
    <row r="225" spans="1:26" x14ac:dyDescent="0.15">
      <c r="A225" s="17">
        <f>TRUNC((ROWS($D$3:D225)-2)/Max_Entry_Count)+1</f>
        <v>74</v>
      </c>
      <c r="B225" s="17" t="str">
        <f ca="1">IF($A225&gt;=ROWS(Entries)-2,"",IF(OFFSET('(2)出場選手'!$B$2,$A225,B$1+3*(MOD(ROWS($D$3:D225)-2,Max_Entry_Count)))="","",MOD(ROWS($D$3:D225)-2,Max_Entry_Count)))</f>
        <v/>
      </c>
      <c r="D225" s="26" t="str">
        <f ca="1">IF(OR($A225&gt;=ROWS(Entries)-2,$B225=""),"",'(1)鑑'!$E$6&amp;"-"&amp;OFFSET('(2)出場選手'!$B$2,$A225,D$1))</f>
        <v/>
      </c>
      <c r="E225" s="26" t="str">
        <f ca="1">IF($D225="","",OFFSET('(2)出場選手'!$B$2,$A225,E$1))</f>
        <v/>
      </c>
      <c r="F225" s="26" t="str">
        <f ca="1">IF($D225="","",IF(OFFSET('(2)出場選手'!$B$2,$A225,F$1)="","",OFFSET('(2)出場選手'!$B$2,$A225,F$1)))</f>
        <v/>
      </c>
      <c r="G225" s="26" t="str">
        <f t="shared" ca="1" si="18"/>
        <v/>
      </c>
      <c r="H225" s="26" t="str">
        <f t="shared" ca="1" si="19"/>
        <v/>
      </c>
      <c r="I225" s="26" t="str">
        <f ca="1">IF($D225="","",IF(OFFSET('(2)出場選手'!$B$2,$A225,I$1)="","",OFFSET('(2)出場選手'!$B$2,$A225,I$1)))</f>
        <v/>
      </c>
      <c r="J225" s="26" t="str">
        <f ca="1">IF($D225="","",IF(OFFSET('(2)出場選手'!$B$2,$A225,J$1)="",'(1)鑑'!$E$6,OFFSET('(2)出場選手'!$B$2,$A225,J$1)))</f>
        <v/>
      </c>
      <c r="K225" s="26" t="str">
        <f ca="1">IF($D225="","",TRIM(ASC(IF(OFFSET('(2)出場選手'!$B$2,$A225,K$1)="",'(1)鑑'!$E$7,OFFSET('(2)出場選手'!$B$2,$A225,K$1)))))</f>
        <v/>
      </c>
      <c r="L225" s="26" t="str">
        <f ca="1">IF($D225="","",SUBSTITUTE(SUBSTITUTE(SUBSTITUTE(IF(OFFSET('(2)出場選手'!$B$2,$A225,L$1)="",'(1)鑑'!$E$8,OFFSET('(2)出場選手'!$B$2,$A225,L$1)),"県",""),"府",""),"東京都","東京"))</f>
        <v/>
      </c>
      <c r="M225" s="57" t="str">
        <f ca="1">IF($D225="","",IF(OFFSET('(2)出場選手'!$B$2,$A225,M$1)="","",OFFSET('(2)出場選手'!$B$2,$A225,M$1)))</f>
        <v/>
      </c>
      <c r="N225" s="26" t="str">
        <f ca="1">IF($D225="","",OFFSET('(2)出場選手'!$B$2,$A225,N$1+3*$B225))</f>
        <v/>
      </c>
      <c r="O225" s="26" t="str">
        <f ca="1">IF($D225="","",IF(OFFSET('(2)出場選手'!$B$2,$A225,O$1+3*$B225)="","",OFFSET('(2)出場選手'!$B$2,$A225,O$1+3*$B225)))</f>
        <v/>
      </c>
      <c r="P225" s="26" t="str">
        <f ca="1">IF($D225="","",IF(OFFSET('(2)出場選手'!$B$2,$A225,P$1+3*$B225)="","",OFFSET('(2)出場選手'!$B$2,$A225,P$1+3*$B225)))</f>
        <v/>
      </c>
      <c r="Q225" s="43" t="str">
        <f ca="1">IF(D225="","",VLOOKUP(N225,OFFSET(Competition_Events,0,1),11,FALSE)*IF($S225="リレー",IF(COUNTIF($T$3:$T225,$T225)&gt;1,0,1),1))</f>
        <v/>
      </c>
      <c r="R225" s="26" t="str">
        <f t="shared" ca="1" si="20"/>
        <v/>
      </c>
      <c r="S225" s="26" t="str">
        <f t="shared" ca="1" si="21"/>
        <v/>
      </c>
      <c r="T225" s="26" t="str">
        <f t="shared" ca="1" si="22"/>
        <v/>
      </c>
      <c r="U225" s="26" t="str">
        <f t="shared" ca="1" si="23"/>
        <v/>
      </c>
      <c r="W225" s="17" t="str">
        <f ca="1">IF($D225="","",OFFSET('(2)出場選手'!$B$2,$A225,W$1))</f>
        <v/>
      </c>
      <c r="X225" s="17" t="str">
        <f ca="1">IF($D225="","",OFFSET('(2)出場選手'!$B$2,$A225,X$1))</f>
        <v/>
      </c>
      <c r="Y225" s="17" t="str">
        <f ca="1">IF($D225="","",OFFSET('(2)出場選手'!$B$2,$A225,Y$1))</f>
        <v/>
      </c>
      <c r="Z225" s="17" t="str">
        <f ca="1">IF($D225="","",OFFSET('(2)出場選手'!$B$2,$A225,Z$1))</f>
        <v/>
      </c>
    </row>
    <row r="226" spans="1:26" x14ac:dyDescent="0.15">
      <c r="A226" s="17">
        <f>TRUNC((ROWS($D$3:D226)-2)/Max_Entry_Count)+1</f>
        <v>75</v>
      </c>
      <c r="B226" s="17" t="str">
        <f ca="1">IF($A226&gt;=ROWS(Entries)-2,"",IF(OFFSET('(2)出場選手'!$B$2,$A226,B$1+3*(MOD(ROWS($D$3:D226)-2,Max_Entry_Count)))="","",MOD(ROWS($D$3:D226)-2,Max_Entry_Count)))</f>
        <v/>
      </c>
      <c r="D226" s="26" t="str">
        <f ca="1">IF(OR($A226&gt;=ROWS(Entries)-2,$B226=""),"",'(1)鑑'!$E$6&amp;"-"&amp;OFFSET('(2)出場選手'!$B$2,$A226,D$1))</f>
        <v/>
      </c>
      <c r="E226" s="26" t="str">
        <f ca="1">IF($D226="","",OFFSET('(2)出場選手'!$B$2,$A226,E$1))</f>
        <v/>
      </c>
      <c r="F226" s="26" t="str">
        <f ca="1">IF($D226="","",IF(OFFSET('(2)出場選手'!$B$2,$A226,F$1)="","",OFFSET('(2)出場選手'!$B$2,$A226,F$1)))</f>
        <v/>
      </c>
      <c r="G226" s="26" t="str">
        <f t="shared" ca="1" si="18"/>
        <v/>
      </c>
      <c r="H226" s="26" t="str">
        <f t="shared" ca="1" si="19"/>
        <v/>
      </c>
      <c r="I226" s="26" t="str">
        <f ca="1">IF($D226="","",IF(OFFSET('(2)出場選手'!$B$2,$A226,I$1)="","",OFFSET('(2)出場選手'!$B$2,$A226,I$1)))</f>
        <v/>
      </c>
      <c r="J226" s="26" t="str">
        <f ca="1">IF($D226="","",IF(OFFSET('(2)出場選手'!$B$2,$A226,J$1)="",'(1)鑑'!$E$6,OFFSET('(2)出場選手'!$B$2,$A226,J$1)))</f>
        <v/>
      </c>
      <c r="K226" s="26" t="str">
        <f ca="1">IF($D226="","",TRIM(ASC(IF(OFFSET('(2)出場選手'!$B$2,$A226,K$1)="",'(1)鑑'!$E$7,OFFSET('(2)出場選手'!$B$2,$A226,K$1)))))</f>
        <v/>
      </c>
      <c r="L226" s="26" t="str">
        <f ca="1">IF($D226="","",SUBSTITUTE(SUBSTITUTE(SUBSTITUTE(IF(OFFSET('(2)出場選手'!$B$2,$A226,L$1)="",'(1)鑑'!$E$8,OFFSET('(2)出場選手'!$B$2,$A226,L$1)),"県",""),"府",""),"東京都","東京"))</f>
        <v/>
      </c>
      <c r="M226" s="57" t="str">
        <f ca="1">IF($D226="","",IF(OFFSET('(2)出場選手'!$B$2,$A226,M$1)="","",OFFSET('(2)出場選手'!$B$2,$A226,M$1)))</f>
        <v/>
      </c>
      <c r="N226" s="26" t="str">
        <f ca="1">IF($D226="","",OFFSET('(2)出場選手'!$B$2,$A226,N$1+3*$B226))</f>
        <v/>
      </c>
      <c r="O226" s="26" t="str">
        <f ca="1">IF($D226="","",IF(OFFSET('(2)出場選手'!$B$2,$A226,O$1+3*$B226)="","",OFFSET('(2)出場選手'!$B$2,$A226,O$1+3*$B226)))</f>
        <v/>
      </c>
      <c r="P226" s="26" t="str">
        <f ca="1">IF($D226="","",IF(OFFSET('(2)出場選手'!$B$2,$A226,P$1+3*$B226)="","",OFFSET('(2)出場選手'!$B$2,$A226,P$1+3*$B226)))</f>
        <v/>
      </c>
      <c r="Q226" s="43" t="str">
        <f ca="1">IF(D226="","",VLOOKUP(N226,OFFSET(Competition_Events,0,1),11,FALSE)*IF($S226="リレー",IF(COUNTIF($T$3:$T226,$T226)&gt;1,0,1),1))</f>
        <v/>
      </c>
      <c r="R226" s="26" t="str">
        <f t="shared" ca="1" si="20"/>
        <v/>
      </c>
      <c r="S226" s="26" t="str">
        <f t="shared" ca="1" si="21"/>
        <v/>
      </c>
      <c r="T226" s="26" t="str">
        <f t="shared" ca="1" si="22"/>
        <v/>
      </c>
      <c r="U226" s="26" t="str">
        <f t="shared" ca="1" si="23"/>
        <v/>
      </c>
      <c r="W226" s="17" t="str">
        <f ca="1">IF($D226="","",OFFSET('(2)出場選手'!$B$2,$A226,W$1))</f>
        <v/>
      </c>
      <c r="X226" s="17" t="str">
        <f ca="1">IF($D226="","",OFFSET('(2)出場選手'!$B$2,$A226,X$1))</f>
        <v/>
      </c>
      <c r="Y226" s="17" t="str">
        <f ca="1">IF($D226="","",OFFSET('(2)出場選手'!$B$2,$A226,Y$1))</f>
        <v/>
      </c>
      <c r="Z226" s="17" t="str">
        <f ca="1">IF($D226="","",OFFSET('(2)出場選手'!$B$2,$A226,Z$1))</f>
        <v/>
      </c>
    </row>
    <row r="227" spans="1:26" x14ac:dyDescent="0.15">
      <c r="A227" s="17">
        <f>TRUNC((ROWS($D$3:D227)-2)/Max_Entry_Count)+1</f>
        <v>75</v>
      </c>
      <c r="B227" s="17" t="str">
        <f ca="1">IF($A227&gt;=ROWS(Entries)-2,"",IF(OFFSET('(2)出場選手'!$B$2,$A227,B$1+3*(MOD(ROWS($D$3:D227)-2,Max_Entry_Count)))="","",MOD(ROWS($D$3:D227)-2,Max_Entry_Count)))</f>
        <v/>
      </c>
      <c r="D227" s="26" t="str">
        <f ca="1">IF(OR($A227&gt;=ROWS(Entries)-2,$B227=""),"",'(1)鑑'!$E$6&amp;"-"&amp;OFFSET('(2)出場選手'!$B$2,$A227,D$1))</f>
        <v/>
      </c>
      <c r="E227" s="26" t="str">
        <f ca="1">IF($D227="","",OFFSET('(2)出場選手'!$B$2,$A227,E$1))</f>
        <v/>
      </c>
      <c r="F227" s="26" t="str">
        <f ca="1">IF($D227="","",IF(OFFSET('(2)出場選手'!$B$2,$A227,F$1)="","",OFFSET('(2)出場選手'!$B$2,$A227,F$1)))</f>
        <v/>
      </c>
      <c r="G227" s="26" t="str">
        <f t="shared" ca="1" si="18"/>
        <v/>
      </c>
      <c r="H227" s="26" t="str">
        <f t="shared" ca="1" si="19"/>
        <v/>
      </c>
      <c r="I227" s="26" t="str">
        <f ca="1">IF($D227="","",IF(OFFSET('(2)出場選手'!$B$2,$A227,I$1)="","",OFFSET('(2)出場選手'!$B$2,$A227,I$1)))</f>
        <v/>
      </c>
      <c r="J227" s="26" t="str">
        <f ca="1">IF($D227="","",IF(OFFSET('(2)出場選手'!$B$2,$A227,J$1)="",'(1)鑑'!$E$6,OFFSET('(2)出場選手'!$B$2,$A227,J$1)))</f>
        <v/>
      </c>
      <c r="K227" s="26" t="str">
        <f ca="1">IF($D227="","",TRIM(ASC(IF(OFFSET('(2)出場選手'!$B$2,$A227,K$1)="",'(1)鑑'!$E$7,OFFSET('(2)出場選手'!$B$2,$A227,K$1)))))</f>
        <v/>
      </c>
      <c r="L227" s="26" t="str">
        <f ca="1">IF($D227="","",SUBSTITUTE(SUBSTITUTE(SUBSTITUTE(IF(OFFSET('(2)出場選手'!$B$2,$A227,L$1)="",'(1)鑑'!$E$8,OFFSET('(2)出場選手'!$B$2,$A227,L$1)),"県",""),"府",""),"東京都","東京"))</f>
        <v/>
      </c>
      <c r="M227" s="57" t="str">
        <f ca="1">IF($D227="","",IF(OFFSET('(2)出場選手'!$B$2,$A227,M$1)="","",OFFSET('(2)出場選手'!$B$2,$A227,M$1)))</f>
        <v/>
      </c>
      <c r="N227" s="26" t="str">
        <f ca="1">IF($D227="","",OFFSET('(2)出場選手'!$B$2,$A227,N$1+3*$B227))</f>
        <v/>
      </c>
      <c r="O227" s="26" t="str">
        <f ca="1">IF($D227="","",IF(OFFSET('(2)出場選手'!$B$2,$A227,O$1+3*$B227)="","",OFFSET('(2)出場選手'!$B$2,$A227,O$1+3*$B227)))</f>
        <v/>
      </c>
      <c r="P227" s="26" t="str">
        <f ca="1">IF($D227="","",IF(OFFSET('(2)出場選手'!$B$2,$A227,P$1+3*$B227)="","",OFFSET('(2)出場選手'!$B$2,$A227,P$1+3*$B227)))</f>
        <v/>
      </c>
      <c r="Q227" s="43" t="str">
        <f ca="1">IF(D227="","",VLOOKUP(N227,OFFSET(Competition_Events,0,1),11,FALSE)*IF($S227="リレー",IF(COUNTIF($T$3:$T227,$T227)&gt;1,0,1),1))</f>
        <v/>
      </c>
      <c r="R227" s="26" t="str">
        <f t="shared" ca="1" si="20"/>
        <v/>
      </c>
      <c r="S227" s="26" t="str">
        <f t="shared" ca="1" si="21"/>
        <v/>
      </c>
      <c r="T227" s="26" t="str">
        <f t="shared" ca="1" si="22"/>
        <v/>
      </c>
      <c r="U227" s="26" t="str">
        <f t="shared" ca="1" si="23"/>
        <v/>
      </c>
      <c r="W227" s="17" t="str">
        <f ca="1">IF($D227="","",OFFSET('(2)出場選手'!$B$2,$A227,W$1))</f>
        <v/>
      </c>
      <c r="X227" s="17" t="str">
        <f ca="1">IF($D227="","",OFFSET('(2)出場選手'!$B$2,$A227,X$1))</f>
        <v/>
      </c>
      <c r="Y227" s="17" t="str">
        <f ca="1">IF($D227="","",OFFSET('(2)出場選手'!$B$2,$A227,Y$1))</f>
        <v/>
      </c>
      <c r="Z227" s="17" t="str">
        <f ca="1">IF($D227="","",OFFSET('(2)出場選手'!$B$2,$A227,Z$1))</f>
        <v/>
      </c>
    </row>
    <row r="228" spans="1:26" x14ac:dyDescent="0.15">
      <c r="A228" s="17">
        <f>TRUNC((ROWS($D$3:D228)-2)/Max_Entry_Count)+1</f>
        <v>75</v>
      </c>
      <c r="B228" s="17" t="str">
        <f ca="1">IF($A228&gt;=ROWS(Entries)-2,"",IF(OFFSET('(2)出場選手'!$B$2,$A228,B$1+3*(MOD(ROWS($D$3:D228)-2,Max_Entry_Count)))="","",MOD(ROWS($D$3:D228)-2,Max_Entry_Count)))</f>
        <v/>
      </c>
      <c r="D228" s="26" t="str">
        <f ca="1">IF(OR($A228&gt;=ROWS(Entries)-2,$B228=""),"",'(1)鑑'!$E$6&amp;"-"&amp;OFFSET('(2)出場選手'!$B$2,$A228,D$1))</f>
        <v/>
      </c>
      <c r="E228" s="26" t="str">
        <f ca="1">IF($D228="","",OFFSET('(2)出場選手'!$B$2,$A228,E$1))</f>
        <v/>
      </c>
      <c r="F228" s="26" t="str">
        <f ca="1">IF($D228="","",IF(OFFSET('(2)出場選手'!$B$2,$A228,F$1)="","",OFFSET('(2)出場選手'!$B$2,$A228,F$1)))</f>
        <v/>
      </c>
      <c r="G228" s="26" t="str">
        <f t="shared" ca="1" si="18"/>
        <v/>
      </c>
      <c r="H228" s="26" t="str">
        <f t="shared" ca="1" si="19"/>
        <v/>
      </c>
      <c r="I228" s="26" t="str">
        <f ca="1">IF($D228="","",IF(OFFSET('(2)出場選手'!$B$2,$A228,I$1)="","",OFFSET('(2)出場選手'!$B$2,$A228,I$1)))</f>
        <v/>
      </c>
      <c r="J228" s="26" t="str">
        <f ca="1">IF($D228="","",IF(OFFSET('(2)出場選手'!$B$2,$A228,J$1)="",'(1)鑑'!$E$6,OFFSET('(2)出場選手'!$B$2,$A228,J$1)))</f>
        <v/>
      </c>
      <c r="K228" s="26" t="str">
        <f ca="1">IF($D228="","",TRIM(ASC(IF(OFFSET('(2)出場選手'!$B$2,$A228,K$1)="",'(1)鑑'!$E$7,OFFSET('(2)出場選手'!$B$2,$A228,K$1)))))</f>
        <v/>
      </c>
      <c r="L228" s="26" t="str">
        <f ca="1">IF($D228="","",SUBSTITUTE(SUBSTITUTE(SUBSTITUTE(IF(OFFSET('(2)出場選手'!$B$2,$A228,L$1)="",'(1)鑑'!$E$8,OFFSET('(2)出場選手'!$B$2,$A228,L$1)),"県",""),"府",""),"東京都","東京"))</f>
        <v/>
      </c>
      <c r="M228" s="57" t="str">
        <f ca="1">IF($D228="","",IF(OFFSET('(2)出場選手'!$B$2,$A228,M$1)="","",OFFSET('(2)出場選手'!$B$2,$A228,M$1)))</f>
        <v/>
      </c>
      <c r="N228" s="26" t="str">
        <f ca="1">IF($D228="","",OFFSET('(2)出場選手'!$B$2,$A228,N$1+3*$B228))</f>
        <v/>
      </c>
      <c r="O228" s="26" t="str">
        <f ca="1">IF($D228="","",IF(OFFSET('(2)出場選手'!$B$2,$A228,O$1+3*$B228)="","",OFFSET('(2)出場選手'!$B$2,$A228,O$1+3*$B228)))</f>
        <v/>
      </c>
      <c r="P228" s="26" t="str">
        <f ca="1">IF($D228="","",IF(OFFSET('(2)出場選手'!$B$2,$A228,P$1+3*$B228)="","",OFFSET('(2)出場選手'!$B$2,$A228,P$1+3*$B228)))</f>
        <v/>
      </c>
      <c r="Q228" s="43" t="str">
        <f ca="1">IF(D228="","",VLOOKUP(N228,OFFSET(Competition_Events,0,1),11,FALSE)*IF($S228="リレー",IF(COUNTIF($T$3:$T228,$T228)&gt;1,0,1),1))</f>
        <v/>
      </c>
      <c r="R228" s="26" t="str">
        <f t="shared" ca="1" si="20"/>
        <v/>
      </c>
      <c r="S228" s="26" t="str">
        <f t="shared" ca="1" si="21"/>
        <v/>
      </c>
      <c r="T228" s="26" t="str">
        <f t="shared" ca="1" si="22"/>
        <v/>
      </c>
      <c r="U228" s="26" t="str">
        <f t="shared" ref="U228:U252" ca="1" si="24">IF($D228="","",IFERROR(CHOOSE(VLOOKUP($R228,Competition_Events,6,FALSE),SUBSTITUTE(O228,"点","")*1,SUBSTITUTE(O228,"m",".")*100,SUBSTITUTE(SUBSTITUTE("0:"&amp;O228,"'",":"),"""",".")/"0:00:00.01"*-1,SUBSTITUTE(O228,"m",".")*100,SUBSTITUTE(SUBSTITUTE(O228,"'",":"),"""",".")/"0:00:00.01"*-1),-8640000))</f>
        <v/>
      </c>
      <c r="W228" s="17" t="str">
        <f ca="1">IF($D228="","",OFFSET('(2)出場選手'!$B$2,$A228,W$1))</f>
        <v/>
      </c>
      <c r="X228" s="17" t="str">
        <f ca="1">IF($D228="","",OFFSET('(2)出場選手'!$B$2,$A228,X$1))</f>
        <v/>
      </c>
      <c r="Y228" s="17" t="str">
        <f ca="1">IF($D228="","",OFFSET('(2)出場選手'!$B$2,$A228,Y$1))</f>
        <v/>
      </c>
      <c r="Z228" s="17" t="str">
        <f ca="1">IF($D228="","",OFFSET('(2)出場選手'!$B$2,$A228,Z$1))</f>
        <v/>
      </c>
    </row>
    <row r="229" spans="1:26" x14ac:dyDescent="0.15">
      <c r="A229" s="17">
        <f>TRUNC((ROWS($D$3:D229)-2)/Max_Entry_Count)+1</f>
        <v>76</v>
      </c>
      <c r="B229" s="17" t="str">
        <f ca="1">IF($A229&gt;=ROWS(Entries)-2,"",IF(OFFSET('(2)出場選手'!$B$2,$A229,B$1+3*(MOD(ROWS($D$3:D229)-2,Max_Entry_Count)))="","",MOD(ROWS($D$3:D229)-2,Max_Entry_Count)))</f>
        <v/>
      </c>
      <c r="D229" s="26" t="str">
        <f ca="1">IF(OR($A229&gt;=ROWS(Entries)-2,$B229=""),"",'(1)鑑'!$E$6&amp;"-"&amp;OFFSET('(2)出場選手'!$B$2,$A229,D$1))</f>
        <v/>
      </c>
      <c r="E229" s="26" t="str">
        <f ca="1">IF($D229="","",OFFSET('(2)出場選手'!$B$2,$A229,E$1))</f>
        <v/>
      </c>
      <c r="F229" s="26" t="str">
        <f ca="1">IF($D229="","",IF(OFFSET('(2)出場選手'!$B$2,$A229,F$1)="","",OFFSET('(2)出場選手'!$B$2,$A229,F$1)))</f>
        <v/>
      </c>
      <c r="G229" s="26" t="str">
        <f t="shared" ca="1" si="18"/>
        <v/>
      </c>
      <c r="H229" s="26" t="str">
        <f t="shared" ca="1" si="19"/>
        <v/>
      </c>
      <c r="I229" s="26" t="str">
        <f ca="1">IF($D229="","",IF(OFFSET('(2)出場選手'!$B$2,$A229,I$1)="","",OFFSET('(2)出場選手'!$B$2,$A229,I$1)))</f>
        <v/>
      </c>
      <c r="J229" s="26" t="str">
        <f ca="1">IF($D229="","",IF(OFFSET('(2)出場選手'!$B$2,$A229,J$1)="",'(1)鑑'!$E$6,OFFSET('(2)出場選手'!$B$2,$A229,J$1)))</f>
        <v/>
      </c>
      <c r="K229" s="26" t="str">
        <f ca="1">IF($D229="","",TRIM(ASC(IF(OFFSET('(2)出場選手'!$B$2,$A229,K$1)="",'(1)鑑'!$E$7,OFFSET('(2)出場選手'!$B$2,$A229,K$1)))))</f>
        <v/>
      </c>
      <c r="L229" s="26" t="str">
        <f ca="1">IF($D229="","",SUBSTITUTE(SUBSTITUTE(SUBSTITUTE(IF(OFFSET('(2)出場選手'!$B$2,$A229,L$1)="",'(1)鑑'!$E$8,OFFSET('(2)出場選手'!$B$2,$A229,L$1)),"県",""),"府",""),"東京都","東京"))</f>
        <v/>
      </c>
      <c r="M229" s="57" t="str">
        <f ca="1">IF($D229="","",IF(OFFSET('(2)出場選手'!$B$2,$A229,M$1)="","",OFFSET('(2)出場選手'!$B$2,$A229,M$1)))</f>
        <v/>
      </c>
      <c r="N229" s="26" t="str">
        <f ca="1">IF($D229="","",OFFSET('(2)出場選手'!$B$2,$A229,N$1+3*$B229))</f>
        <v/>
      </c>
      <c r="O229" s="26" t="str">
        <f ca="1">IF($D229="","",IF(OFFSET('(2)出場選手'!$B$2,$A229,O$1+3*$B229)="","",OFFSET('(2)出場選手'!$B$2,$A229,O$1+3*$B229)))</f>
        <v/>
      </c>
      <c r="P229" s="26" t="str">
        <f ca="1">IF($D229="","",IF(OFFSET('(2)出場選手'!$B$2,$A229,P$1+3*$B229)="","",OFFSET('(2)出場選手'!$B$2,$A229,P$1+3*$B229)))</f>
        <v/>
      </c>
      <c r="Q229" s="43" t="str">
        <f ca="1">IF(D229="","",VLOOKUP(N229,OFFSET(Competition_Events,0,1),11,FALSE)*IF($S229="リレー",IF(COUNTIF($T$3:$T229,$T229)&gt;1,0,1),1))</f>
        <v/>
      </c>
      <c r="R229" s="26" t="str">
        <f t="shared" ca="1" si="20"/>
        <v/>
      </c>
      <c r="S229" s="26" t="str">
        <f t="shared" ca="1" si="21"/>
        <v/>
      </c>
      <c r="T229" s="26" t="str">
        <f t="shared" ca="1" si="22"/>
        <v/>
      </c>
      <c r="U229" s="26" t="str">
        <f t="shared" ca="1" si="24"/>
        <v/>
      </c>
      <c r="W229" s="17" t="str">
        <f ca="1">IF($D229="","",OFFSET('(2)出場選手'!$B$2,$A229,W$1))</f>
        <v/>
      </c>
      <c r="X229" s="17" t="str">
        <f ca="1">IF($D229="","",OFFSET('(2)出場選手'!$B$2,$A229,X$1))</f>
        <v/>
      </c>
      <c r="Y229" s="17" t="str">
        <f ca="1">IF($D229="","",OFFSET('(2)出場選手'!$B$2,$A229,Y$1))</f>
        <v/>
      </c>
      <c r="Z229" s="17" t="str">
        <f ca="1">IF($D229="","",OFFSET('(2)出場選手'!$B$2,$A229,Z$1))</f>
        <v/>
      </c>
    </row>
    <row r="230" spans="1:26" x14ac:dyDescent="0.15">
      <c r="A230" s="17">
        <f>TRUNC((ROWS($D$3:D230)-2)/Max_Entry_Count)+1</f>
        <v>76</v>
      </c>
      <c r="B230" s="17" t="str">
        <f ca="1">IF($A230&gt;=ROWS(Entries)-2,"",IF(OFFSET('(2)出場選手'!$B$2,$A230,B$1+3*(MOD(ROWS($D$3:D230)-2,Max_Entry_Count)))="","",MOD(ROWS($D$3:D230)-2,Max_Entry_Count)))</f>
        <v/>
      </c>
      <c r="D230" s="26" t="str">
        <f ca="1">IF(OR($A230&gt;=ROWS(Entries)-2,$B230=""),"",'(1)鑑'!$E$6&amp;"-"&amp;OFFSET('(2)出場選手'!$B$2,$A230,D$1))</f>
        <v/>
      </c>
      <c r="E230" s="26" t="str">
        <f ca="1">IF($D230="","",OFFSET('(2)出場選手'!$B$2,$A230,E$1))</f>
        <v/>
      </c>
      <c r="F230" s="26" t="str">
        <f ca="1">IF($D230="","",IF(OFFSET('(2)出場選手'!$B$2,$A230,F$1)="","",OFFSET('(2)出場選手'!$B$2,$A230,F$1)))</f>
        <v/>
      </c>
      <c r="G230" s="26" t="str">
        <f t="shared" ca="1" si="18"/>
        <v/>
      </c>
      <c r="H230" s="26" t="str">
        <f t="shared" ca="1" si="19"/>
        <v/>
      </c>
      <c r="I230" s="26" t="str">
        <f ca="1">IF($D230="","",IF(OFFSET('(2)出場選手'!$B$2,$A230,I$1)="","",OFFSET('(2)出場選手'!$B$2,$A230,I$1)))</f>
        <v/>
      </c>
      <c r="J230" s="26" t="str">
        <f ca="1">IF($D230="","",IF(OFFSET('(2)出場選手'!$B$2,$A230,J$1)="",'(1)鑑'!$E$6,OFFSET('(2)出場選手'!$B$2,$A230,J$1)))</f>
        <v/>
      </c>
      <c r="K230" s="26" t="str">
        <f ca="1">IF($D230="","",TRIM(ASC(IF(OFFSET('(2)出場選手'!$B$2,$A230,K$1)="",'(1)鑑'!$E$7,OFFSET('(2)出場選手'!$B$2,$A230,K$1)))))</f>
        <v/>
      </c>
      <c r="L230" s="26" t="str">
        <f ca="1">IF($D230="","",SUBSTITUTE(SUBSTITUTE(SUBSTITUTE(IF(OFFSET('(2)出場選手'!$B$2,$A230,L$1)="",'(1)鑑'!$E$8,OFFSET('(2)出場選手'!$B$2,$A230,L$1)),"県",""),"府",""),"東京都","東京"))</f>
        <v/>
      </c>
      <c r="M230" s="57" t="str">
        <f ca="1">IF($D230="","",IF(OFFSET('(2)出場選手'!$B$2,$A230,M$1)="","",OFFSET('(2)出場選手'!$B$2,$A230,M$1)))</f>
        <v/>
      </c>
      <c r="N230" s="26" t="str">
        <f ca="1">IF($D230="","",OFFSET('(2)出場選手'!$B$2,$A230,N$1+3*$B230))</f>
        <v/>
      </c>
      <c r="O230" s="26" t="str">
        <f ca="1">IF($D230="","",IF(OFFSET('(2)出場選手'!$B$2,$A230,O$1+3*$B230)="","",OFFSET('(2)出場選手'!$B$2,$A230,O$1+3*$B230)))</f>
        <v/>
      </c>
      <c r="P230" s="26" t="str">
        <f ca="1">IF($D230="","",IF(OFFSET('(2)出場選手'!$B$2,$A230,P$1+3*$B230)="","",OFFSET('(2)出場選手'!$B$2,$A230,P$1+3*$B230)))</f>
        <v/>
      </c>
      <c r="Q230" s="43" t="str">
        <f ca="1">IF(D230="","",VLOOKUP(N230,OFFSET(Competition_Events,0,1),11,FALSE)*IF($S230="リレー",IF(COUNTIF($T$3:$T230,$T230)&gt;1,0,1),1))</f>
        <v/>
      </c>
      <c r="R230" s="26" t="str">
        <f t="shared" ca="1" si="20"/>
        <v/>
      </c>
      <c r="S230" s="26" t="str">
        <f t="shared" ca="1" si="21"/>
        <v/>
      </c>
      <c r="T230" s="26" t="str">
        <f t="shared" ca="1" si="22"/>
        <v/>
      </c>
      <c r="U230" s="26" t="str">
        <f t="shared" ca="1" si="24"/>
        <v/>
      </c>
      <c r="W230" s="17" t="str">
        <f ca="1">IF($D230="","",OFFSET('(2)出場選手'!$B$2,$A230,W$1))</f>
        <v/>
      </c>
      <c r="X230" s="17" t="str">
        <f ca="1">IF($D230="","",OFFSET('(2)出場選手'!$B$2,$A230,X$1))</f>
        <v/>
      </c>
      <c r="Y230" s="17" t="str">
        <f ca="1">IF($D230="","",OFFSET('(2)出場選手'!$B$2,$A230,Y$1))</f>
        <v/>
      </c>
      <c r="Z230" s="17" t="str">
        <f ca="1">IF($D230="","",OFFSET('(2)出場選手'!$B$2,$A230,Z$1))</f>
        <v/>
      </c>
    </row>
    <row r="231" spans="1:26" x14ac:dyDescent="0.15">
      <c r="A231" s="17">
        <f>TRUNC((ROWS($D$3:D231)-2)/Max_Entry_Count)+1</f>
        <v>76</v>
      </c>
      <c r="B231" s="17" t="str">
        <f ca="1">IF($A231&gt;=ROWS(Entries)-2,"",IF(OFFSET('(2)出場選手'!$B$2,$A231,B$1+3*(MOD(ROWS($D$3:D231)-2,Max_Entry_Count)))="","",MOD(ROWS($D$3:D231)-2,Max_Entry_Count)))</f>
        <v/>
      </c>
      <c r="D231" s="26" t="str">
        <f ca="1">IF(OR($A231&gt;=ROWS(Entries)-2,$B231=""),"",'(1)鑑'!$E$6&amp;"-"&amp;OFFSET('(2)出場選手'!$B$2,$A231,D$1))</f>
        <v/>
      </c>
      <c r="E231" s="26" t="str">
        <f ca="1">IF($D231="","",OFFSET('(2)出場選手'!$B$2,$A231,E$1))</f>
        <v/>
      </c>
      <c r="F231" s="26" t="str">
        <f ca="1">IF($D231="","",IF(OFFSET('(2)出場選手'!$B$2,$A231,F$1)="","",OFFSET('(2)出場選手'!$B$2,$A231,F$1)))</f>
        <v/>
      </c>
      <c r="G231" s="26" t="str">
        <f t="shared" ca="1" si="18"/>
        <v/>
      </c>
      <c r="H231" s="26" t="str">
        <f t="shared" ca="1" si="19"/>
        <v/>
      </c>
      <c r="I231" s="26" t="str">
        <f ca="1">IF($D231="","",IF(OFFSET('(2)出場選手'!$B$2,$A231,I$1)="","",OFFSET('(2)出場選手'!$B$2,$A231,I$1)))</f>
        <v/>
      </c>
      <c r="J231" s="26" t="str">
        <f ca="1">IF($D231="","",IF(OFFSET('(2)出場選手'!$B$2,$A231,J$1)="",'(1)鑑'!$E$6,OFFSET('(2)出場選手'!$B$2,$A231,J$1)))</f>
        <v/>
      </c>
      <c r="K231" s="26" t="str">
        <f ca="1">IF($D231="","",TRIM(ASC(IF(OFFSET('(2)出場選手'!$B$2,$A231,K$1)="",'(1)鑑'!$E$7,OFFSET('(2)出場選手'!$B$2,$A231,K$1)))))</f>
        <v/>
      </c>
      <c r="L231" s="26" t="str">
        <f ca="1">IF($D231="","",SUBSTITUTE(SUBSTITUTE(SUBSTITUTE(IF(OFFSET('(2)出場選手'!$B$2,$A231,L$1)="",'(1)鑑'!$E$8,OFFSET('(2)出場選手'!$B$2,$A231,L$1)),"県",""),"府",""),"東京都","東京"))</f>
        <v/>
      </c>
      <c r="M231" s="57" t="str">
        <f ca="1">IF($D231="","",IF(OFFSET('(2)出場選手'!$B$2,$A231,M$1)="","",OFFSET('(2)出場選手'!$B$2,$A231,M$1)))</f>
        <v/>
      </c>
      <c r="N231" s="26" t="str">
        <f ca="1">IF($D231="","",OFFSET('(2)出場選手'!$B$2,$A231,N$1+3*$B231))</f>
        <v/>
      </c>
      <c r="O231" s="26" t="str">
        <f ca="1">IF($D231="","",IF(OFFSET('(2)出場選手'!$B$2,$A231,O$1+3*$B231)="","",OFFSET('(2)出場選手'!$B$2,$A231,O$1+3*$B231)))</f>
        <v/>
      </c>
      <c r="P231" s="26" t="str">
        <f ca="1">IF($D231="","",IF(OFFSET('(2)出場選手'!$B$2,$A231,P$1+3*$B231)="","",OFFSET('(2)出場選手'!$B$2,$A231,P$1+3*$B231)))</f>
        <v/>
      </c>
      <c r="Q231" s="43" t="str">
        <f ca="1">IF(D231="","",VLOOKUP(N231,OFFSET(Competition_Events,0,1),11,FALSE)*IF($S231="リレー",IF(COUNTIF($T$3:$T231,$T231)&gt;1,0,1),1))</f>
        <v/>
      </c>
      <c r="R231" s="26" t="str">
        <f t="shared" ca="1" si="20"/>
        <v/>
      </c>
      <c r="S231" s="26" t="str">
        <f t="shared" ca="1" si="21"/>
        <v/>
      </c>
      <c r="T231" s="26" t="str">
        <f t="shared" ca="1" si="22"/>
        <v/>
      </c>
      <c r="U231" s="26" t="str">
        <f t="shared" ca="1" si="24"/>
        <v/>
      </c>
      <c r="W231" s="17" t="str">
        <f ca="1">IF($D231="","",OFFSET('(2)出場選手'!$B$2,$A231,W$1))</f>
        <v/>
      </c>
      <c r="X231" s="17" t="str">
        <f ca="1">IF($D231="","",OFFSET('(2)出場選手'!$B$2,$A231,X$1))</f>
        <v/>
      </c>
      <c r="Y231" s="17" t="str">
        <f ca="1">IF($D231="","",OFFSET('(2)出場選手'!$B$2,$A231,Y$1))</f>
        <v/>
      </c>
      <c r="Z231" s="17" t="str">
        <f ca="1">IF($D231="","",OFFSET('(2)出場選手'!$B$2,$A231,Z$1))</f>
        <v/>
      </c>
    </row>
    <row r="232" spans="1:26" x14ac:dyDescent="0.15">
      <c r="A232" s="17">
        <f>TRUNC((ROWS($D$3:D232)-2)/Max_Entry_Count)+1</f>
        <v>77</v>
      </c>
      <c r="B232" s="17" t="str">
        <f ca="1">IF($A232&gt;=ROWS(Entries)-2,"",IF(OFFSET('(2)出場選手'!$B$2,$A232,B$1+3*(MOD(ROWS($D$3:D232)-2,Max_Entry_Count)))="","",MOD(ROWS($D$3:D232)-2,Max_Entry_Count)))</f>
        <v/>
      </c>
      <c r="D232" s="26" t="str">
        <f ca="1">IF(OR($A232&gt;=ROWS(Entries)-2,$B232=""),"",'(1)鑑'!$E$6&amp;"-"&amp;OFFSET('(2)出場選手'!$B$2,$A232,D$1))</f>
        <v/>
      </c>
      <c r="E232" s="26" t="str">
        <f ca="1">IF($D232="","",OFFSET('(2)出場選手'!$B$2,$A232,E$1))</f>
        <v/>
      </c>
      <c r="F232" s="26" t="str">
        <f ca="1">IF($D232="","",IF(OFFSET('(2)出場選手'!$B$2,$A232,F$1)="","",OFFSET('(2)出場選手'!$B$2,$A232,F$1)))</f>
        <v/>
      </c>
      <c r="G232" s="26" t="str">
        <f t="shared" ca="1" si="18"/>
        <v/>
      </c>
      <c r="H232" s="26" t="str">
        <f t="shared" ca="1" si="19"/>
        <v/>
      </c>
      <c r="I232" s="26" t="str">
        <f ca="1">IF($D232="","",IF(OFFSET('(2)出場選手'!$B$2,$A232,I$1)="","",OFFSET('(2)出場選手'!$B$2,$A232,I$1)))</f>
        <v/>
      </c>
      <c r="J232" s="26" t="str">
        <f ca="1">IF($D232="","",IF(OFFSET('(2)出場選手'!$B$2,$A232,J$1)="",'(1)鑑'!$E$6,OFFSET('(2)出場選手'!$B$2,$A232,J$1)))</f>
        <v/>
      </c>
      <c r="K232" s="26" t="str">
        <f ca="1">IF($D232="","",TRIM(ASC(IF(OFFSET('(2)出場選手'!$B$2,$A232,K$1)="",'(1)鑑'!$E$7,OFFSET('(2)出場選手'!$B$2,$A232,K$1)))))</f>
        <v/>
      </c>
      <c r="L232" s="26" t="str">
        <f ca="1">IF($D232="","",SUBSTITUTE(SUBSTITUTE(SUBSTITUTE(IF(OFFSET('(2)出場選手'!$B$2,$A232,L$1)="",'(1)鑑'!$E$8,OFFSET('(2)出場選手'!$B$2,$A232,L$1)),"県",""),"府",""),"東京都","東京"))</f>
        <v/>
      </c>
      <c r="M232" s="57" t="str">
        <f ca="1">IF($D232="","",IF(OFFSET('(2)出場選手'!$B$2,$A232,M$1)="","",OFFSET('(2)出場選手'!$B$2,$A232,M$1)))</f>
        <v/>
      </c>
      <c r="N232" s="26" t="str">
        <f ca="1">IF($D232="","",OFFSET('(2)出場選手'!$B$2,$A232,N$1+3*$B232))</f>
        <v/>
      </c>
      <c r="O232" s="26" t="str">
        <f ca="1">IF($D232="","",IF(OFFSET('(2)出場選手'!$B$2,$A232,O$1+3*$B232)="","",OFFSET('(2)出場選手'!$B$2,$A232,O$1+3*$B232)))</f>
        <v/>
      </c>
      <c r="P232" s="26" t="str">
        <f ca="1">IF($D232="","",IF(OFFSET('(2)出場選手'!$B$2,$A232,P$1+3*$B232)="","",OFFSET('(2)出場選手'!$B$2,$A232,P$1+3*$B232)))</f>
        <v/>
      </c>
      <c r="Q232" s="43" t="str">
        <f ca="1">IF(D232="","",VLOOKUP(N232,OFFSET(Competition_Events,0,1),11,FALSE)*IF($S232="リレー",IF(COUNTIF($T$3:$T232,$T232)&gt;1,0,1),1))</f>
        <v/>
      </c>
      <c r="R232" s="26" t="str">
        <f t="shared" ca="1" si="20"/>
        <v/>
      </c>
      <c r="S232" s="26" t="str">
        <f t="shared" ca="1" si="21"/>
        <v/>
      </c>
      <c r="T232" s="26" t="str">
        <f t="shared" ca="1" si="22"/>
        <v/>
      </c>
      <c r="U232" s="26" t="str">
        <f t="shared" ca="1" si="24"/>
        <v/>
      </c>
      <c r="W232" s="17" t="str">
        <f ca="1">IF($D232="","",OFFSET('(2)出場選手'!$B$2,$A232,W$1))</f>
        <v/>
      </c>
      <c r="X232" s="17" t="str">
        <f ca="1">IF($D232="","",OFFSET('(2)出場選手'!$B$2,$A232,X$1))</f>
        <v/>
      </c>
      <c r="Y232" s="17" t="str">
        <f ca="1">IF($D232="","",OFFSET('(2)出場選手'!$B$2,$A232,Y$1))</f>
        <v/>
      </c>
      <c r="Z232" s="17" t="str">
        <f ca="1">IF($D232="","",OFFSET('(2)出場選手'!$B$2,$A232,Z$1))</f>
        <v/>
      </c>
    </row>
    <row r="233" spans="1:26" x14ac:dyDescent="0.15">
      <c r="A233" s="17">
        <f>TRUNC((ROWS($D$3:D233)-2)/Max_Entry_Count)+1</f>
        <v>77</v>
      </c>
      <c r="B233" s="17" t="str">
        <f ca="1">IF($A233&gt;=ROWS(Entries)-2,"",IF(OFFSET('(2)出場選手'!$B$2,$A233,B$1+3*(MOD(ROWS($D$3:D233)-2,Max_Entry_Count)))="","",MOD(ROWS($D$3:D233)-2,Max_Entry_Count)))</f>
        <v/>
      </c>
      <c r="D233" s="26" t="str">
        <f ca="1">IF(OR($A233&gt;=ROWS(Entries)-2,$B233=""),"",'(1)鑑'!$E$6&amp;"-"&amp;OFFSET('(2)出場選手'!$B$2,$A233,D$1))</f>
        <v/>
      </c>
      <c r="E233" s="26" t="str">
        <f ca="1">IF($D233="","",OFFSET('(2)出場選手'!$B$2,$A233,E$1))</f>
        <v/>
      </c>
      <c r="F233" s="26" t="str">
        <f ca="1">IF($D233="","",IF(OFFSET('(2)出場選手'!$B$2,$A233,F$1)="","",OFFSET('(2)出場選手'!$B$2,$A233,F$1)))</f>
        <v/>
      </c>
      <c r="G233" s="26" t="str">
        <f t="shared" ca="1" si="18"/>
        <v/>
      </c>
      <c r="H233" s="26" t="str">
        <f t="shared" ca="1" si="19"/>
        <v/>
      </c>
      <c r="I233" s="26" t="str">
        <f ca="1">IF($D233="","",IF(OFFSET('(2)出場選手'!$B$2,$A233,I$1)="","",OFFSET('(2)出場選手'!$B$2,$A233,I$1)))</f>
        <v/>
      </c>
      <c r="J233" s="26" t="str">
        <f ca="1">IF($D233="","",IF(OFFSET('(2)出場選手'!$B$2,$A233,J$1)="",'(1)鑑'!$E$6,OFFSET('(2)出場選手'!$B$2,$A233,J$1)))</f>
        <v/>
      </c>
      <c r="K233" s="26" t="str">
        <f ca="1">IF($D233="","",TRIM(ASC(IF(OFFSET('(2)出場選手'!$B$2,$A233,K$1)="",'(1)鑑'!$E$7,OFFSET('(2)出場選手'!$B$2,$A233,K$1)))))</f>
        <v/>
      </c>
      <c r="L233" s="26" t="str">
        <f ca="1">IF($D233="","",SUBSTITUTE(SUBSTITUTE(SUBSTITUTE(IF(OFFSET('(2)出場選手'!$B$2,$A233,L$1)="",'(1)鑑'!$E$8,OFFSET('(2)出場選手'!$B$2,$A233,L$1)),"県",""),"府",""),"東京都","東京"))</f>
        <v/>
      </c>
      <c r="M233" s="57" t="str">
        <f ca="1">IF($D233="","",IF(OFFSET('(2)出場選手'!$B$2,$A233,M$1)="","",OFFSET('(2)出場選手'!$B$2,$A233,M$1)))</f>
        <v/>
      </c>
      <c r="N233" s="26" t="str">
        <f ca="1">IF($D233="","",OFFSET('(2)出場選手'!$B$2,$A233,N$1+3*$B233))</f>
        <v/>
      </c>
      <c r="O233" s="26" t="str">
        <f ca="1">IF($D233="","",IF(OFFSET('(2)出場選手'!$B$2,$A233,O$1+3*$B233)="","",OFFSET('(2)出場選手'!$B$2,$A233,O$1+3*$B233)))</f>
        <v/>
      </c>
      <c r="P233" s="26" t="str">
        <f ca="1">IF($D233="","",IF(OFFSET('(2)出場選手'!$B$2,$A233,P$1+3*$B233)="","",OFFSET('(2)出場選手'!$B$2,$A233,P$1+3*$B233)))</f>
        <v/>
      </c>
      <c r="Q233" s="43" t="str">
        <f ca="1">IF(D233="","",VLOOKUP(N233,OFFSET(Competition_Events,0,1),11,FALSE)*IF($S233="リレー",IF(COUNTIF($T$3:$T233,$T233)&gt;1,0,1),1))</f>
        <v/>
      </c>
      <c r="R233" s="26" t="str">
        <f t="shared" ca="1" si="20"/>
        <v/>
      </c>
      <c r="S233" s="26" t="str">
        <f t="shared" ca="1" si="21"/>
        <v/>
      </c>
      <c r="T233" s="26" t="str">
        <f t="shared" ca="1" si="22"/>
        <v/>
      </c>
      <c r="U233" s="26" t="str">
        <f t="shared" ca="1" si="24"/>
        <v/>
      </c>
      <c r="W233" s="17" t="str">
        <f ca="1">IF($D233="","",OFFSET('(2)出場選手'!$B$2,$A233,W$1))</f>
        <v/>
      </c>
      <c r="X233" s="17" t="str">
        <f ca="1">IF($D233="","",OFFSET('(2)出場選手'!$B$2,$A233,X$1))</f>
        <v/>
      </c>
      <c r="Y233" s="17" t="str">
        <f ca="1">IF($D233="","",OFFSET('(2)出場選手'!$B$2,$A233,Y$1))</f>
        <v/>
      </c>
      <c r="Z233" s="17" t="str">
        <f ca="1">IF($D233="","",OFFSET('(2)出場選手'!$B$2,$A233,Z$1))</f>
        <v/>
      </c>
    </row>
    <row r="234" spans="1:26" x14ac:dyDescent="0.15">
      <c r="A234" s="17">
        <f>TRUNC((ROWS($D$3:D234)-2)/Max_Entry_Count)+1</f>
        <v>77</v>
      </c>
      <c r="B234" s="17" t="str">
        <f ca="1">IF($A234&gt;=ROWS(Entries)-2,"",IF(OFFSET('(2)出場選手'!$B$2,$A234,B$1+3*(MOD(ROWS($D$3:D234)-2,Max_Entry_Count)))="","",MOD(ROWS($D$3:D234)-2,Max_Entry_Count)))</f>
        <v/>
      </c>
      <c r="D234" s="26" t="str">
        <f ca="1">IF(OR($A234&gt;=ROWS(Entries)-2,$B234=""),"",'(1)鑑'!$E$6&amp;"-"&amp;OFFSET('(2)出場選手'!$B$2,$A234,D$1))</f>
        <v/>
      </c>
      <c r="E234" s="26" t="str">
        <f ca="1">IF($D234="","",OFFSET('(2)出場選手'!$B$2,$A234,E$1))</f>
        <v/>
      </c>
      <c r="F234" s="26" t="str">
        <f ca="1">IF($D234="","",IF(OFFSET('(2)出場選手'!$B$2,$A234,F$1)="","",OFFSET('(2)出場選手'!$B$2,$A234,F$1)))</f>
        <v/>
      </c>
      <c r="G234" s="26" t="str">
        <f t="shared" ca="1" si="18"/>
        <v/>
      </c>
      <c r="H234" s="26" t="str">
        <f t="shared" ca="1" si="19"/>
        <v/>
      </c>
      <c r="I234" s="26" t="str">
        <f ca="1">IF($D234="","",IF(OFFSET('(2)出場選手'!$B$2,$A234,I$1)="","",OFFSET('(2)出場選手'!$B$2,$A234,I$1)))</f>
        <v/>
      </c>
      <c r="J234" s="26" t="str">
        <f ca="1">IF($D234="","",IF(OFFSET('(2)出場選手'!$B$2,$A234,J$1)="",'(1)鑑'!$E$6,OFFSET('(2)出場選手'!$B$2,$A234,J$1)))</f>
        <v/>
      </c>
      <c r="K234" s="26" t="str">
        <f ca="1">IF($D234="","",TRIM(ASC(IF(OFFSET('(2)出場選手'!$B$2,$A234,K$1)="",'(1)鑑'!$E$7,OFFSET('(2)出場選手'!$B$2,$A234,K$1)))))</f>
        <v/>
      </c>
      <c r="L234" s="26" t="str">
        <f ca="1">IF($D234="","",SUBSTITUTE(SUBSTITUTE(SUBSTITUTE(IF(OFFSET('(2)出場選手'!$B$2,$A234,L$1)="",'(1)鑑'!$E$8,OFFSET('(2)出場選手'!$B$2,$A234,L$1)),"県",""),"府",""),"東京都","東京"))</f>
        <v/>
      </c>
      <c r="M234" s="57" t="str">
        <f ca="1">IF($D234="","",IF(OFFSET('(2)出場選手'!$B$2,$A234,M$1)="","",OFFSET('(2)出場選手'!$B$2,$A234,M$1)))</f>
        <v/>
      </c>
      <c r="N234" s="26" t="str">
        <f ca="1">IF($D234="","",OFFSET('(2)出場選手'!$B$2,$A234,N$1+3*$B234))</f>
        <v/>
      </c>
      <c r="O234" s="26" t="str">
        <f ca="1">IF($D234="","",IF(OFFSET('(2)出場選手'!$B$2,$A234,O$1+3*$B234)="","",OFFSET('(2)出場選手'!$B$2,$A234,O$1+3*$B234)))</f>
        <v/>
      </c>
      <c r="P234" s="26" t="str">
        <f ca="1">IF($D234="","",IF(OFFSET('(2)出場選手'!$B$2,$A234,P$1+3*$B234)="","",OFFSET('(2)出場選手'!$B$2,$A234,P$1+3*$B234)))</f>
        <v/>
      </c>
      <c r="Q234" s="43" t="str">
        <f ca="1">IF(D234="","",VLOOKUP(N234,OFFSET(Competition_Events,0,1),11,FALSE)*IF($S234="リレー",IF(COUNTIF($T$3:$T234,$T234)&gt;1,0,1),1))</f>
        <v/>
      </c>
      <c r="R234" s="26" t="str">
        <f t="shared" ca="1" si="20"/>
        <v/>
      </c>
      <c r="S234" s="26" t="str">
        <f t="shared" ca="1" si="21"/>
        <v/>
      </c>
      <c r="T234" s="26" t="str">
        <f t="shared" ca="1" si="22"/>
        <v/>
      </c>
      <c r="U234" s="26" t="str">
        <f t="shared" ca="1" si="24"/>
        <v/>
      </c>
      <c r="W234" s="17" t="str">
        <f ca="1">IF($D234="","",OFFSET('(2)出場選手'!$B$2,$A234,W$1))</f>
        <v/>
      </c>
      <c r="X234" s="17" t="str">
        <f ca="1">IF($D234="","",OFFSET('(2)出場選手'!$B$2,$A234,X$1))</f>
        <v/>
      </c>
      <c r="Y234" s="17" t="str">
        <f ca="1">IF($D234="","",OFFSET('(2)出場選手'!$B$2,$A234,Y$1))</f>
        <v/>
      </c>
      <c r="Z234" s="17" t="str">
        <f ca="1">IF($D234="","",OFFSET('(2)出場選手'!$B$2,$A234,Z$1))</f>
        <v/>
      </c>
    </row>
    <row r="235" spans="1:26" x14ac:dyDescent="0.15">
      <c r="A235" s="17">
        <f>TRUNC((ROWS($D$3:D235)-2)/Max_Entry_Count)+1</f>
        <v>78</v>
      </c>
      <c r="B235" s="17" t="str">
        <f ca="1">IF($A235&gt;=ROWS(Entries)-2,"",IF(OFFSET('(2)出場選手'!$B$2,$A235,B$1+3*(MOD(ROWS($D$3:D235)-2,Max_Entry_Count)))="","",MOD(ROWS($D$3:D235)-2,Max_Entry_Count)))</f>
        <v/>
      </c>
      <c r="D235" s="26" t="str">
        <f ca="1">IF(OR($A235&gt;=ROWS(Entries)-2,$B235=""),"",'(1)鑑'!$E$6&amp;"-"&amp;OFFSET('(2)出場選手'!$B$2,$A235,D$1))</f>
        <v/>
      </c>
      <c r="E235" s="26" t="str">
        <f ca="1">IF($D235="","",OFFSET('(2)出場選手'!$B$2,$A235,E$1))</f>
        <v/>
      </c>
      <c r="F235" s="26" t="str">
        <f ca="1">IF($D235="","",IF(OFFSET('(2)出場選手'!$B$2,$A235,F$1)="","",OFFSET('(2)出場選手'!$B$2,$A235,F$1)))</f>
        <v/>
      </c>
      <c r="G235" s="26" t="str">
        <f t="shared" ca="1" si="18"/>
        <v/>
      </c>
      <c r="H235" s="26" t="str">
        <f t="shared" ca="1" si="19"/>
        <v/>
      </c>
      <c r="I235" s="26" t="str">
        <f ca="1">IF($D235="","",IF(OFFSET('(2)出場選手'!$B$2,$A235,I$1)="","",OFFSET('(2)出場選手'!$B$2,$A235,I$1)))</f>
        <v/>
      </c>
      <c r="J235" s="26" t="str">
        <f ca="1">IF($D235="","",IF(OFFSET('(2)出場選手'!$B$2,$A235,J$1)="",'(1)鑑'!$E$6,OFFSET('(2)出場選手'!$B$2,$A235,J$1)))</f>
        <v/>
      </c>
      <c r="K235" s="26" t="str">
        <f ca="1">IF($D235="","",TRIM(ASC(IF(OFFSET('(2)出場選手'!$B$2,$A235,K$1)="",'(1)鑑'!$E$7,OFFSET('(2)出場選手'!$B$2,$A235,K$1)))))</f>
        <v/>
      </c>
      <c r="L235" s="26" t="str">
        <f ca="1">IF($D235="","",SUBSTITUTE(SUBSTITUTE(SUBSTITUTE(IF(OFFSET('(2)出場選手'!$B$2,$A235,L$1)="",'(1)鑑'!$E$8,OFFSET('(2)出場選手'!$B$2,$A235,L$1)),"県",""),"府",""),"東京都","東京"))</f>
        <v/>
      </c>
      <c r="M235" s="57" t="str">
        <f ca="1">IF($D235="","",IF(OFFSET('(2)出場選手'!$B$2,$A235,M$1)="","",OFFSET('(2)出場選手'!$B$2,$A235,M$1)))</f>
        <v/>
      </c>
      <c r="N235" s="26" t="str">
        <f ca="1">IF($D235="","",OFFSET('(2)出場選手'!$B$2,$A235,N$1+3*$B235))</f>
        <v/>
      </c>
      <c r="O235" s="26" t="str">
        <f ca="1">IF($D235="","",IF(OFFSET('(2)出場選手'!$B$2,$A235,O$1+3*$B235)="","",OFFSET('(2)出場選手'!$B$2,$A235,O$1+3*$B235)))</f>
        <v/>
      </c>
      <c r="P235" s="26" t="str">
        <f ca="1">IF($D235="","",IF(OFFSET('(2)出場選手'!$B$2,$A235,P$1+3*$B235)="","",OFFSET('(2)出場選手'!$B$2,$A235,P$1+3*$B235)))</f>
        <v/>
      </c>
      <c r="Q235" s="43" t="str">
        <f ca="1">IF(D235="","",VLOOKUP(N235,OFFSET(Competition_Events,0,1),11,FALSE)*IF($S235="リレー",IF(COUNTIF($T$3:$T235,$T235)&gt;1,0,1),1))</f>
        <v/>
      </c>
      <c r="R235" s="26" t="str">
        <f t="shared" ca="1" si="20"/>
        <v/>
      </c>
      <c r="S235" s="26" t="str">
        <f t="shared" ca="1" si="21"/>
        <v/>
      </c>
      <c r="T235" s="26" t="str">
        <f t="shared" ca="1" si="22"/>
        <v/>
      </c>
      <c r="U235" s="26" t="str">
        <f t="shared" ca="1" si="24"/>
        <v/>
      </c>
      <c r="W235" s="17" t="str">
        <f ca="1">IF($D235="","",OFFSET('(2)出場選手'!$B$2,$A235,W$1))</f>
        <v/>
      </c>
      <c r="X235" s="17" t="str">
        <f ca="1">IF($D235="","",OFFSET('(2)出場選手'!$B$2,$A235,X$1))</f>
        <v/>
      </c>
      <c r="Y235" s="17" t="str">
        <f ca="1">IF($D235="","",OFFSET('(2)出場選手'!$B$2,$A235,Y$1))</f>
        <v/>
      </c>
      <c r="Z235" s="17" t="str">
        <f ca="1">IF($D235="","",OFFSET('(2)出場選手'!$B$2,$A235,Z$1))</f>
        <v/>
      </c>
    </row>
    <row r="236" spans="1:26" x14ac:dyDescent="0.15">
      <c r="A236" s="17">
        <f>TRUNC((ROWS($D$3:D236)-2)/Max_Entry_Count)+1</f>
        <v>78</v>
      </c>
      <c r="B236" s="17" t="str">
        <f ca="1">IF($A236&gt;=ROWS(Entries)-2,"",IF(OFFSET('(2)出場選手'!$B$2,$A236,B$1+3*(MOD(ROWS($D$3:D236)-2,Max_Entry_Count)))="","",MOD(ROWS($D$3:D236)-2,Max_Entry_Count)))</f>
        <v/>
      </c>
      <c r="D236" s="26" t="str">
        <f ca="1">IF(OR($A236&gt;=ROWS(Entries)-2,$B236=""),"",'(1)鑑'!$E$6&amp;"-"&amp;OFFSET('(2)出場選手'!$B$2,$A236,D$1))</f>
        <v/>
      </c>
      <c r="E236" s="26" t="str">
        <f ca="1">IF($D236="","",OFFSET('(2)出場選手'!$B$2,$A236,E$1))</f>
        <v/>
      </c>
      <c r="F236" s="26" t="str">
        <f ca="1">IF($D236="","",IF(OFFSET('(2)出場選手'!$B$2,$A236,F$1)="","",OFFSET('(2)出場選手'!$B$2,$A236,F$1)))</f>
        <v/>
      </c>
      <c r="G236" s="26" t="str">
        <f t="shared" ca="1" si="18"/>
        <v/>
      </c>
      <c r="H236" s="26" t="str">
        <f t="shared" ca="1" si="19"/>
        <v/>
      </c>
      <c r="I236" s="26" t="str">
        <f ca="1">IF($D236="","",IF(OFFSET('(2)出場選手'!$B$2,$A236,I$1)="","",OFFSET('(2)出場選手'!$B$2,$A236,I$1)))</f>
        <v/>
      </c>
      <c r="J236" s="26" t="str">
        <f ca="1">IF($D236="","",IF(OFFSET('(2)出場選手'!$B$2,$A236,J$1)="",'(1)鑑'!$E$6,OFFSET('(2)出場選手'!$B$2,$A236,J$1)))</f>
        <v/>
      </c>
      <c r="K236" s="26" t="str">
        <f ca="1">IF($D236="","",TRIM(ASC(IF(OFFSET('(2)出場選手'!$B$2,$A236,K$1)="",'(1)鑑'!$E$7,OFFSET('(2)出場選手'!$B$2,$A236,K$1)))))</f>
        <v/>
      </c>
      <c r="L236" s="26" t="str">
        <f ca="1">IF($D236="","",SUBSTITUTE(SUBSTITUTE(SUBSTITUTE(IF(OFFSET('(2)出場選手'!$B$2,$A236,L$1)="",'(1)鑑'!$E$8,OFFSET('(2)出場選手'!$B$2,$A236,L$1)),"県",""),"府",""),"東京都","東京"))</f>
        <v/>
      </c>
      <c r="M236" s="57" t="str">
        <f ca="1">IF($D236="","",IF(OFFSET('(2)出場選手'!$B$2,$A236,M$1)="","",OFFSET('(2)出場選手'!$B$2,$A236,M$1)))</f>
        <v/>
      </c>
      <c r="N236" s="26" t="str">
        <f ca="1">IF($D236="","",OFFSET('(2)出場選手'!$B$2,$A236,N$1+3*$B236))</f>
        <v/>
      </c>
      <c r="O236" s="26" t="str">
        <f ca="1">IF($D236="","",IF(OFFSET('(2)出場選手'!$B$2,$A236,O$1+3*$B236)="","",OFFSET('(2)出場選手'!$B$2,$A236,O$1+3*$B236)))</f>
        <v/>
      </c>
      <c r="P236" s="26" t="str">
        <f ca="1">IF($D236="","",IF(OFFSET('(2)出場選手'!$B$2,$A236,P$1+3*$B236)="","",OFFSET('(2)出場選手'!$B$2,$A236,P$1+3*$B236)))</f>
        <v/>
      </c>
      <c r="Q236" s="43" t="str">
        <f ca="1">IF(D236="","",VLOOKUP(N236,OFFSET(Competition_Events,0,1),11,FALSE)*IF($S236="リレー",IF(COUNTIF($T$3:$T236,$T236)&gt;1,0,1),1))</f>
        <v/>
      </c>
      <c r="R236" s="26" t="str">
        <f t="shared" ca="1" si="20"/>
        <v/>
      </c>
      <c r="S236" s="26" t="str">
        <f t="shared" ca="1" si="21"/>
        <v/>
      </c>
      <c r="T236" s="26" t="str">
        <f t="shared" ca="1" si="22"/>
        <v/>
      </c>
      <c r="U236" s="26" t="str">
        <f t="shared" ca="1" si="24"/>
        <v/>
      </c>
      <c r="W236" s="17" t="str">
        <f ca="1">IF($D236="","",OFFSET('(2)出場選手'!$B$2,$A236,W$1))</f>
        <v/>
      </c>
      <c r="X236" s="17" t="str">
        <f ca="1">IF($D236="","",OFFSET('(2)出場選手'!$B$2,$A236,X$1))</f>
        <v/>
      </c>
      <c r="Y236" s="17" t="str">
        <f ca="1">IF($D236="","",OFFSET('(2)出場選手'!$B$2,$A236,Y$1))</f>
        <v/>
      </c>
      <c r="Z236" s="17" t="str">
        <f ca="1">IF($D236="","",OFFSET('(2)出場選手'!$B$2,$A236,Z$1))</f>
        <v/>
      </c>
    </row>
    <row r="237" spans="1:26" x14ac:dyDescent="0.15">
      <c r="A237" s="17">
        <f>TRUNC((ROWS($D$3:D237)-2)/Max_Entry_Count)+1</f>
        <v>78</v>
      </c>
      <c r="B237" s="17" t="str">
        <f ca="1">IF($A237&gt;=ROWS(Entries)-2,"",IF(OFFSET('(2)出場選手'!$B$2,$A237,B$1+3*(MOD(ROWS($D$3:D237)-2,Max_Entry_Count)))="","",MOD(ROWS($D$3:D237)-2,Max_Entry_Count)))</f>
        <v/>
      </c>
      <c r="D237" s="26" t="str">
        <f ca="1">IF(OR($A237&gt;=ROWS(Entries)-2,$B237=""),"",'(1)鑑'!$E$6&amp;"-"&amp;OFFSET('(2)出場選手'!$B$2,$A237,D$1))</f>
        <v/>
      </c>
      <c r="E237" s="26" t="str">
        <f ca="1">IF($D237="","",OFFSET('(2)出場選手'!$B$2,$A237,E$1))</f>
        <v/>
      </c>
      <c r="F237" s="26" t="str">
        <f ca="1">IF($D237="","",IF(OFFSET('(2)出場選手'!$B$2,$A237,F$1)="","",OFFSET('(2)出場選手'!$B$2,$A237,F$1)))</f>
        <v/>
      </c>
      <c r="G237" s="26" t="str">
        <f t="shared" ca="1" si="18"/>
        <v/>
      </c>
      <c r="H237" s="26" t="str">
        <f t="shared" ca="1" si="19"/>
        <v/>
      </c>
      <c r="I237" s="26" t="str">
        <f ca="1">IF($D237="","",IF(OFFSET('(2)出場選手'!$B$2,$A237,I$1)="","",OFFSET('(2)出場選手'!$B$2,$A237,I$1)))</f>
        <v/>
      </c>
      <c r="J237" s="26" t="str">
        <f ca="1">IF($D237="","",IF(OFFSET('(2)出場選手'!$B$2,$A237,J$1)="",'(1)鑑'!$E$6,OFFSET('(2)出場選手'!$B$2,$A237,J$1)))</f>
        <v/>
      </c>
      <c r="K237" s="26" t="str">
        <f ca="1">IF($D237="","",TRIM(ASC(IF(OFFSET('(2)出場選手'!$B$2,$A237,K$1)="",'(1)鑑'!$E$7,OFFSET('(2)出場選手'!$B$2,$A237,K$1)))))</f>
        <v/>
      </c>
      <c r="L237" s="26" t="str">
        <f ca="1">IF($D237="","",SUBSTITUTE(SUBSTITUTE(SUBSTITUTE(IF(OFFSET('(2)出場選手'!$B$2,$A237,L$1)="",'(1)鑑'!$E$8,OFFSET('(2)出場選手'!$B$2,$A237,L$1)),"県",""),"府",""),"東京都","東京"))</f>
        <v/>
      </c>
      <c r="M237" s="57" t="str">
        <f ca="1">IF($D237="","",IF(OFFSET('(2)出場選手'!$B$2,$A237,M$1)="","",OFFSET('(2)出場選手'!$B$2,$A237,M$1)))</f>
        <v/>
      </c>
      <c r="N237" s="26" t="str">
        <f ca="1">IF($D237="","",OFFSET('(2)出場選手'!$B$2,$A237,N$1+3*$B237))</f>
        <v/>
      </c>
      <c r="O237" s="26" t="str">
        <f ca="1">IF($D237="","",IF(OFFSET('(2)出場選手'!$B$2,$A237,O$1+3*$B237)="","",OFFSET('(2)出場選手'!$B$2,$A237,O$1+3*$B237)))</f>
        <v/>
      </c>
      <c r="P237" s="26" t="str">
        <f ca="1">IF($D237="","",IF(OFFSET('(2)出場選手'!$B$2,$A237,P$1+3*$B237)="","",OFFSET('(2)出場選手'!$B$2,$A237,P$1+3*$B237)))</f>
        <v/>
      </c>
      <c r="Q237" s="43" t="str">
        <f ca="1">IF(D237="","",VLOOKUP(N237,OFFSET(Competition_Events,0,1),11,FALSE)*IF($S237="リレー",IF(COUNTIF($T$3:$T237,$T237)&gt;1,0,1),1))</f>
        <v/>
      </c>
      <c r="R237" s="26" t="str">
        <f t="shared" ca="1" si="20"/>
        <v/>
      </c>
      <c r="S237" s="26" t="str">
        <f t="shared" ca="1" si="21"/>
        <v/>
      </c>
      <c r="T237" s="26" t="str">
        <f t="shared" ca="1" si="22"/>
        <v/>
      </c>
      <c r="U237" s="26" t="str">
        <f t="shared" ca="1" si="24"/>
        <v/>
      </c>
      <c r="W237" s="17" t="str">
        <f ca="1">IF($D237="","",OFFSET('(2)出場選手'!$B$2,$A237,W$1))</f>
        <v/>
      </c>
      <c r="X237" s="17" t="str">
        <f ca="1">IF($D237="","",OFFSET('(2)出場選手'!$B$2,$A237,X$1))</f>
        <v/>
      </c>
      <c r="Y237" s="17" t="str">
        <f ca="1">IF($D237="","",OFFSET('(2)出場選手'!$B$2,$A237,Y$1))</f>
        <v/>
      </c>
      <c r="Z237" s="17" t="str">
        <f ca="1">IF($D237="","",OFFSET('(2)出場選手'!$B$2,$A237,Z$1))</f>
        <v/>
      </c>
    </row>
    <row r="238" spans="1:26" x14ac:dyDescent="0.15">
      <c r="A238" s="17">
        <f>TRUNC((ROWS($D$3:D238)-2)/Max_Entry_Count)+1</f>
        <v>79</v>
      </c>
      <c r="B238" s="17" t="str">
        <f ca="1">IF($A238&gt;=ROWS(Entries)-2,"",IF(OFFSET('(2)出場選手'!$B$2,$A238,B$1+3*(MOD(ROWS($D$3:D238)-2,Max_Entry_Count)))="","",MOD(ROWS($D$3:D238)-2,Max_Entry_Count)))</f>
        <v/>
      </c>
      <c r="D238" s="26" t="str">
        <f ca="1">IF(OR($A238&gt;=ROWS(Entries)-2,$B238=""),"",'(1)鑑'!$E$6&amp;"-"&amp;OFFSET('(2)出場選手'!$B$2,$A238,D$1))</f>
        <v/>
      </c>
      <c r="E238" s="26" t="str">
        <f ca="1">IF($D238="","",OFFSET('(2)出場選手'!$B$2,$A238,E$1))</f>
        <v/>
      </c>
      <c r="F238" s="26" t="str">
        <f ca="1">IF($D238="","",IF(OFFSET('(2)出場選手'!$B$2,$A238,F$1)="","",OFFSET('(2)出場選手'!$B$2,$A238,F$1)))</f>
        <v/>
      </c>
      <c r="G238" s="26" t="str">
        <f t="shared" ca="1" si="18"/>
        <v/>
      </c>
      <c r="H238" s="26" t="str">
        <f t="shared" ca="1" si="19"/>
        <v/>
      </c>
      <c r="I238" s="26" t="str">
        <f ca="1">IF($D238="","",IF(OFFSET('(2)出場選手'!$B$2,$A238,I$1)="","",OFFSET('(2)出場選手'!$B$2,$A238,I$1)))</f>
        <v/>
      </c>
      <c r="J238" s="26" t="str">
        <f ca="1">IF($D238="","",IF(OFFSET('(2)出場選手'!$B$2,$A238,J$1)="",'(1)鑑'!$E$6,OFFSET('(2)出場選手'!$B$2,$A238,J$1)))</f>
        <v/>
      </c>
      <c r="K238" s="26" t="str">
        <f ca="1">IF($D238="","",TRIM(ASC(IF(OFFSET('(2)出場選手'!$B$2,$A238,K$1)="",'(1)鑑'!$E$7,OFFSET('(2)出場選手'!$B$2,$A238,K$1)))))</f>
        <v/>
      </c>
      <c r="L238" s="26" t="str">
        <f ca="1">IF($D238="","",SUBSTITUTE(SUBSTITUTE(SUBSTITUTE(IF(OFFSET('(2)出場選手'!$B$2,$A238,L$1)="",'(1)鑑'!$E$8,OFFSET('(2)出場選手'!$B$2,$A238,L$1)),"県",""),"府",""),"東京都","東京"))</f>
        <v/>
      </c>
      <c r="M238" s="57" t="str">
        <f ca="1">IF($D238="","",IF(OFFSET('(2)出場選手'!$B$2,$A238,M$1)="","",OFFSET('(2)出場選手'!$B$2,$A238,M$1)))</f>
        <v/>
      </c>
      <c r="N238" s="26" t="str">
        <f ca="1">IF($D238="","",OFFSET('(2)出場選手'!$B$2,$A238,N$1+3*$B238))</f>
        <v/>
      </c>
      <c r="O238" s="26" t="str">
        <f ca="1">IF($D238="","",IF(OFFSET('(2)出場選手'!$B$2,$A238,O$1+3*$B238)="","",OFFSET('(2)出場選手'!$B$2,$A238,O$1+3*$B238)))</f>
        <v/>
      </c>
      <c r="P238" s="26" t="str">
        <f ca="1">IF($D238="","",IF(OFFSET('(2)出場選手'!$B$2,$A238,P$1+3*$B238)="","",OFFSET('(2)出場選手'!$B$2,$A238,P$1+3*$B238)))</f>
        <v/>
      </c>
      <c r="Q238" s="43" t="str">
        <f ca="1">IF(D238="","",VLOOKUP(N238,OFFSET(Competition_Events,0,1),11,FALSE)*IF($S238="リレー",IF(COUNTIF($T$3:$T238,$T238)&gt;1,0,1),1))</f>
        <v/>
      </c>
      <c r="R238" s="26" t="str">
        <f t="shared" ca="1" si="20"/>
        <v/>
      </c>
      <c r="S238" s="26" t="str">
        <f t="shared" ca="1" si="21"/>
        <v/>
      </c>
      <c r="T238" s="26" t="str">
        <f t="shared" ca="1" si="22"/>
        <v/>
      </c>
      <c r="U238" s="26" t="str">
        <f t="shared" ca="1" si="24"/>
        <v/>
      </c>
      <c r="W238" s="17" t="str">
        <f ca="1">IF($D238="","",OFFSET('(2)出場選手'!$B$2,$A238,W$1))</f>
        <v/>
      </c>
      <c r="X238" s="17" t="str">
        <f ca="1">IF($D238="","",OFFSET('(2)出場選手'!$B$2,$A238,X$1))</f>
        <v/>
      </c>
      <c r="Y238" s="17" t="str">
        <f ca="1">IF($D238="","",OFFSET('(2)出場選手'!$B$2,$A238,Y$1))</f>
        <v/>
      </c>
      <c r="Z238" s="17" t="str">
        <f ca="1">IF($D238="","",OFFSET('(2)出場選手'!$B$2,$A238,Z$1))</f>
        <v/>
      </c>
    </row>
    <row r="239" spans="1:26" x14ac:dyDescent="0.15">
      <c r="A239" s="17">
        <f>TRUNC((ROWS($D$3:D239)-2)/Max_Entry_Count)+1</f>
        <v>79</v>
      </c>
      <c r="B239" s="17" t="str">
        <f ca="1">IF($A239&gt;=ROWS(Entries)-2,"",IF(OFFSET('(2)出場選手'!$B$2,$A239,B$1+3*(MOD(ROWS($D$3:D239)-2,Max_Entry_Count)))="","",MOD(ROWS($D$3:D239)-2,Max_Entry_Count)))</f>
        <v/>
      </c>
      <c r="D239" s="26" t="str">
        <f ca="1">IF(OR($A239&gt;=ROWS(Entries)-2,$B239=""),"",'(1)鑑'!$E$6&amp;"-"&amp;OFFSET('(2)出場選手'!$B$2,$A239,D$1))</f>
        <v/>
      </c>
      <c r="E239" s="26" t="str">
        <f ca="1">IF($D239="","",OFFSET('(2)出場選手'!$B$2,$A239,E$1))</f>
        <v/>
      </c>
      <c r="F239" s="26" t="str">
        <f ca="1">IF($D239="","",IF(OFFSET('(2)出場選手'!$B$2,$A239,F$1)="","",OFFSET('(2)出場選手'!$B$2,$A239,F$1)))</f>
        <v/>
      </c>
      <c r="G239" s="26" t="str">
        <f t="shared" ca="1" si="18"/>
        <v/>
      </c>
      <c r="H239" s="26" t="str">
        <f t="shared" ca="1" si="19"/>
        <v/>
      </c>
      <c r="I239" s="26" t="str">
        <f ca="1">IF($D239="","",IF(OFFSET('(2)出場選手'!$B$2,$A239,I$1)="","",OFFSET('(2)出場選手'!$B$2,$A239,I$1)))</f>
        <v/>
      </c>
      <c r="J239" s="26" t="str">
        <f ca="1">IF($D239="","",IF(OFFSET('(2)出場選手'!$B$2,$A239,J$1)="",'(1)鑑'!$E$6,OFFSET('(2)出場選手'!$B$2,$A239,J$1)))</f>
        <v/>
      </c>
      <c r="K239" s="26" t="str">
        <f ca="1">IF($D239="","",TRIM(ASC(IF(OFFSET('(2)出場選手'!$B$2,$A239,K$1)="",'(1)鑑'!$E$7,OFFSET('(2)出場選手'!$B$2,$A239,K$1)))))</f>
        <v/>
      </c>
      <c r="L239" s="26" t="str">
        <f ca="1">IF($D239="","",SUBSTITUTE(SUBSTITUTE(SUBSTITUTE(IF(OFFSET('(2)出場選手'!$B$2,$A239,L$1)="",'(1)鑑'!$E$8,OFFSET('(2)出場選手'!$B$2,$A239,L$1)),"県",""),"府",""),"東京都","東京"))</f>
        <v/>
      </c>
      <c r="M239" s="57" t="str">
        <f ca="1">IF($D239="","",IF(OFFSET('(2)出場選手'!$B$2,$A239,M$1)="","",OFFSET('(2)出場選手'!$B$2,$A239,M$1)))</f>
        <v/>
      </c>
      <c r="N239" s="26" t="str">
        <f ca="1">IF($D239="","",OFFSET('(2)出場選手'!$B$2,$A239,N$1+3*$B239))</f>
        <v/>
      </c>
      <c r="O239" s="26" t="str">
        <f ca="1">IF($D239="","",IF(OFFSET('(2)出場選手'!$B$2,$A239,O$1+3*$B239)="","",OFFSET('(2)出場選手'!$B$2,$A239,O$1+3*$B239)))</f>
        <v/>
      </c>
      <c r="P239" s="26" t="str">
        <f ca="1">IF($D239="","",IF(OFFSET('(2)出場選手'!$B$2,$A239,P$1+3*$B239)="","",OFFSET('(2)出場選手'!$B$2,$A239,P$1+3*$B239)))</f>
        <v/>
      </c>
      <c r="Q239" s="43" t="str">
        <f ca="1">IF(D239="","",VLOOKUP(N239,OFFSET(Competition_Events,0,1),11,FALSE)*IF($S239="リレー",IF(COUNTIF($T$3:$T239,$T239)&gt;1,0,1),1))</f>
        <v/>
      </c>
      <c r="R239" s="26" t="str">
        <f t="shared" ca="1" si="20"/>
        <v/>
      </c>
      <c r="S239" s="26" t="str">
        <f t="shared" ca="1" si="21"/>
        <v/>
      </c>
      <c r="T239" s="26" t="str">
        <f t="shared" ca="1" si="22"/>
        <v/>
      </c>
      <c r="U239" s="26" t="str">
        <f t="shared" ca="1" si="24"/>
        <v/>
      </c>
      <c r="W239" s="17" t="str">
        <f ca="1">IF($D239="","",OFFSET('(2)出場選手'!$B$2,$A239,W$1))</f>
        <v/>
      </c>
      <c r="X239" s="17" t="str">
        <f ca="1">IF($D239="","",OFFSET('(2)出場選手'!$B$2,$A239,X$1))</f>
        <v/>
      </c>
      <c r="Y239" s="17" t="str">
        <f ca="1">IF($D239="","",OFFSET('(2)出場選手'!$B$2,$A239,Y$1))</f>
        <v/>
      </c>
      <c r="Z239" s="17" t="str">
        <f ca="1">IF($D239="","",OFFSET('(2)出場選手'!$B$2,$A239,Z$1))</f>
        <v/>
      </c>
    </row>
    <row r="240" spans="1:26" x14ac:dyDescent="0.15">
      <c r="A240" s="17">
        <f>TRUNC((ROWS($D$3:D240)-2)/Max_Entry_Count)+1</f>
        <v>79</v>
      </c>
      <c r="B240" s="17" t="str">
        <f ca="1">IF($A240&gt;=ROWS(Entries)-2,"",IF(OFFSET('(2)出場選手'!$B$2,$A240,B$1+3*(MOD(ROWS($D$3:D240)-2,Max_Entry_Count)))="","",MOD(ROWS($D$3:D240)-2,Max_Entry_Count)))</f>
        <v/>
      </c>
      <c r="D240" s="26" t="str">
        <f ca="1">IF(OR($A240&gt;=ROWS(Entries)-2,$B240=""),"",'(1)鑑'!$E$6&amp;"-"&amp;OFFSET('(2)出場選手'!$B$2,$A240,D$1))</f>
        <v/>
      </c>
      <c r="E240" s="26" t="str">
        <f ca="1">IF($D240="","",OFFSET('(2)出場選手'!$B$2,$A240,E$1))</f>
        <v/>
      </c>
      <c r="F240" s="26" t="str">
        <f ca="1">IF($D240="","",IF(OFFSET('(2)出場選手'!$B$2,$A240,F$1)="","",OFFSET('(2)出場選手'!$B$2,$A240,F$1)))</f>
        <v/>
      </c>
      <c r="G240" s="26" t="str">
        <f t="shared" ca="1" si="18"/>
        <v/>
      </c>
      <c r="H240" s="26" t="str">
        <f t="shared" ca="1" si="19"/>
        <v/>
      </c>
      <c r="I240" s="26" t="str">
        <f ca="1">IF($D240="","",IF(OFFSET('(2)出場選手'!$B$2,$A240,I$1)="","",OFFSET('(2)出場選手'!$B$2,$A240,I$1)))</f>
        <v/>
      </c>
      <c r="J240" s="26" t="str">
        <f ca="1">IF($D240="","",IF(OFFSET('(2)出場選手'!$B$2,$A240,J$1)="",'(1)鑑'!$E$6,OFFSET('(2)出場選手'!$B$2,$A240,J$1)))</f>
        <v/>
      </c>
      <c r="K240" s="26" t="str">
        <f ca="1">IF($D240="","",TRIM(ASC(IF(OFFSET('(2)出場選手'!$B$2,$A240,K$1)="",'(1)鑑'!$E$7,OFFSET('(2)出場選手'!$B$2,$A240,K$1)))))</f>
        <v/>
      </c>
      <c r="L240" s="26" t="str">
        <f ca="1">IF($D240="","",SUBSTITUTE(SUBSTITUTE(SUBSTITUTE(IF(OFFSET('(2)出場選手'!$B$2,$A240,L$1)="",'(1)鑑'!$E$8,OFFSET('(2)出場選手'!$B$2,$A240,L$1)),"県",""),"府",""),"東京都","東京"))</f>
        <v/>
      </c>
      <c r="M240" s="57" t="str">
        <f ca="1">IF($D240="","",IF(OFFSET('(2)出場選手'!$B$2,$A240,M$1)="","",OFFSET('(2)出場選手'!$B$2,$A240,M$1)))</f>
        <v/>
      </c>
      <c r="N240" s="26" t="str">
        <f ca="1">IF($D240="","",OFFSET('(2)出場選手'!$B$2,$A240,N$1+3*$B240))</f>
        <v/>
      </c>
      <c r="O240" s="26" t="str">
        <f ca="1">IF($D240="","",IF(OFFSET('(2)出場選手'!$B$2,$A240,O$1+3*$B240)="","",OFFSET('(2)出場選手'!$B$2,$A240,O$1+3*$B240)))</f>
        <v/>
      </c>
      <c r="P240" s="26" t="str">
        <f ca="1">IF($D240="","",IF(OFFSET('(2)出場選手'!$B$2,$A240,P$1+3*$B240)="","",OFFSET('(2)出場選手'!$B$2,$A240,P$1+3*$B240)))</f>
        <v/>
      </c>
      <c r="Q240" s="43" t="str">
        <f ca="1">IF(D240="","",VLOOKUP(N240,OFFSET(Competition_Events,0,1),11,FALSE)*IF($S240="リレー",IF(COUNTIF($T$3:$T240,$T240)&gt;1,0,1),1))</f>
        <v/>
      </c>
      <c r="R240" s="26" t="str">
        <f t="shared" ca="1" si="20"/>
        <v/>
      </c>
      <c r="S240" s="26" t="str">
        <f t="shared" ca="1" si="21"/>
        <v/>
      </c>
      <c r="T240" s="26" t="str">
        <f t="shared" ca="1" si="22"/>
        <v/>
      </c>
      <c r="U240" s="26" t="str">
        <f t="shared" ca="1" si="24"/>
        <v/>
      </c>
      <c r="W240" s="17" t="str">
        <f ca="1">IF($D240="","",OFFSET('(2)出場選手'!$B$2,$A240,W$1))</f>
        <v/>
      </c>
      <c r="X240" s="17" t="str">
        <f ca="1">IF($D240="","",OFFSET('(2)出場選手'!$B$2,$A240,X$1))</f>
        <v/>
      </c>
      <c r="Y240" s="17" t="str">
        <f ca="1">IF($D240="","",OFFSET('(2)出場選手'!$B$2,$A240,Y$1))</f>
        <v/>
      </c>
      <c r="Z240" s="17" t="str">
        <f ca="1">IF($D240="","",OFFSET('(2)出場選手'!$B$2,$A240,Z$1))</f>
        <v/>
      </c>
    </row>
    <row r="241" spans="1:26" x14ac:dyDescent="0.15">
      <c r="A241" s="17">
        <f>TRUNC((ROWS($D$3:D241)-2)/Max_Entry_Count)+1</f>
        <v>80</v>
      </c>
      <c r="B241" s="17" t="str">
        <f ca="1">IF($A241&gt;=ROWS(Entries)-2,"",IF(OFFSET('(2)出場選手'!$B$2,$A241,B$1+3*(MOD(ROWS($D$3:D241)-2,Max_Entry_Count)))="","",MOD(ROWS($D$3:D241)-2,Max_Entry_Count)))</f>
        <v/>
      </c>
      <c r="D241" s="26" t="str">
        <f ca="1">IF(OR($A241&gt;=ROWS(Entries)-2,$B241=""),"",'(1)鑑'!$E$6&amp;"-"&amp;OFFSET('(2)出場選手'!$B$2,$A241,D$1))</f>
        <v/>
      </c>
      <c r="E241" s="26" t="str">
        <f ca="1">IF($D241="","",OFFSET('(2)出場選手'!$B$2,$A241,E$1))</f>
        <v/>
      </c>
      <c r="F241" s="26" t="str">
        <f ca="1">IF($D241="","",IF(OFFSET('(2)出場選手'!$B$2,$A241,F$1)="","",OFFSET('(2)出場選手'!$B$2,$A241,F$1)))</f>
        <v/>
      </c>
      <c r="G241" s="26" t="str">
        <f t="shared" ca="1" si="18"/>
        <v/>
      </c>
      <c r="H241" s="26" t="str">
        <f t="shared" ca="1" si="19"/>
        <v/>
      </c>
      <c r="I241" s="26" t="str">
        <f ca="1">IF($D241="","",IF(OFFSET('(2)出場選手'!$B$2,$A241,I$1)="","",OFFSET('(2)出場選手'!$B$2,$A241,I$1)))</f>
        <v/>
      </c>
      <c r="J241" s="26" t="str">
        <f ca="1">IF($D241="","",IF(OFFSET('(2)出場選手'!$B$2,$A241,J$1)="",'(1)鑑'!$E$6,OFFSET('(2)出場選手'!$B$2,$A241,J$1)))</f>
        <v/>
      </c>
      <c r="K241" s="26" t="str">
        <f ca="1">IF($D241="","",TRIM(ASC(IF(OFFSET('(2)出場選手'!$B$2,$A241,K$1)="",'(1)鑑'!$E$7,OFFSET('(2)出場選手'!$B$2,$A241,K$1)))))</f>
        <v/>
      </c>
      <c r="L241" s="26" t="str">
        <f ca="1">IF($D241="","",SUBSTITUTE(SUBSTITUTE(SUBSTITUTE(IF(OFFSET('(2)出場選手'!$B$2,$A241,L$1)="",'(1)鑑'!$E$8,OFFSET('(2)出場選手'!$B$2,$A241,L$1)),"県",""),"府",""),"東京都","東京"))</f>
        <v/>
      </c>
      <c r="M241" s="57" t="str">
        <f ca="1">IF($D241="","",IF(OFFSET('(2)出場選手'!$B$2,$A241,M$1)="","",OFFSET('(2)出場選手'!$B$2,$A241,M$1)))</f>
        <v/>
      </c>
      <c r="N241" s="26" t="str">
        <f ca="1">IF($D241="","",OFFSET('(2)出場選手'!$B$2,$A241,N$1+3*$B241))</f>
        <v/>
      </c>
      <c r="O241" s="26" t="str">
        <f ca="1">IF($D241="","",IF(OFFSET('(2)出場選手'!$B$2,$A241,O$1+3*$B241)="","",OFFSET('(2)出場選手'!$B$2,$A241,O$1+3*$B241)))</f>
        <v/>
      </c>
      <c r="P241" s="26" t="str">
        <f ca="1">IF($D241="","",IF(OFFSET('(2)出場選手'!$B$2,$A241,P$1+3*$B241)="","",OFFSET('(2)出場選手'!$B$2,$A241,P$1+3*$B241)))</f>
        <v/>
      </c>
      <c r="Q241" s="43" t="str">
        <f ca="1">IF(D241="","",VLOOKUP(N241,OFFSET(Competition_Events,0,1),11,FALSE)*IF($S241="リレー",IF(COUNTIF($T$3:$T241,$T241)&gt;1,0,1),1))</f>
        <v/>
      </c>
      <c r="R241" s="26" t="str">
        <f t="shared" ca="1" si="20"/>
        <v/>
      </c>
      <c r="S241" s="26" t="str">
        <f t="shared" ca="1" si="21"/>
        <v/>
      </c>
      <c r="T241" s="26" t="str">
        <f t="shared" ca="1" si="22"/>
        <v/>
      </c>
      <c r="U241" s="26" t="str">
        <f t="shared" ca="1" si="24"/>
        <v/>
      </c>
      <c r="W241" s="17" t="str">
        <f ca="1">IF($D241="","",OFFSET('(2)出場選手'!$B$2,$A241,W$1))</f>
        <v/>
      </c>
      <c r="X241" s="17" t="str">
        <f ca="1">IF($D241="","",OFFSET('(2)出場選手'!$B$2,$A241,X$1))</f>
        <v/>
      </c>
      <c r="Y241" s="17" t="str">
        <f ca="1">IF($D241="","",OFFSET('(2)出場選手'!$B$2,$A241,Y$1))</f>
        <v/>
      </c>
      <c r="Z241" s="17" t="str">
        <f ca="1">IF($D241="","",OFFSET('(2)出場選手'!$B$2,$A241,Z$1))</f>
        <v/>
      </c>
    </row>
    <row r="242" spans="1:26" x14ac:dyDescent="0.15">
      <c r="A242" s="17">
        <f>TRUNC((ROWS($D$3:D242)-2)/Max_Entry_Count)+1</f>
        <v>80</v>
      </c>
      <c r="B242" s="17" t="str">
        <f ca="1">IF($A242&gt;=ROWS(Entries)-2,"",IF(OFFSET('(2)出場選手'!$B$2,$A242,B$1+3*(MOD(ROWS($D$3:D242)-2,Max_Entry_Count)))="","",MOD(ROWS($D$3:D242)-2,Max_Entry_Count)))</f>
        <v/>
      </c>
      <c r="D242" s="26" t="str">
        <f ca="1">IF(OR($A242&gt;=ROWS(Entries)-2,$B242=""),"",'(1)鑑'!$E$6&amp;"-"&amp;OFFSET('(2)出場選手'!$B$2,$A242,D$1))</f>
        <v/>
      </c>
      <c r="E242" s="26" t="str">
        <f ca="1">IF($D242="","",OFFSET('(2)出場選手'!$B$2,$A242,E$1))</f>
        <v/>
      </c>
      <c r="F242" s="26" t="str">
        <f ca="1">IF($D242="","",IF(OFFSET('(2)出場選手'!$B$2,$A242,F$1)="","",OFFSET('(2)出場選手'!$B$2,$A242,F$1)))</f>
        <v/>
      </c>
      <c r="G242" s="26" t="str">
        <f t="shared" ca="1" si="18"/>
        <v/>
      </c>
      <c r="H242" s="26" t="str">
        <f t="shared" ca="1" si="19"/>
        <v/>
      </c>
      <c r="I242" s="26" t="str">
        <f ca="1">IF($D242="","",IF(OFFSET('(2)出場選手'!$B$2,$A242,I$1)="","",OFFSET('(2)出場選手'!$B$2,$A242,I$1)))</f>
        <v/>
      </c>
      <c r="J242" s="26" t="str">
        <f ca="1">IF($D242="","",IF(OFFSET('(2)出場選手'!$B$2,$A242,J$1)="",'(1)鑑'!$E$6,OFFSET('(2)出場選手'!$B$2,$A242,J$1)))</f>
        <v/>
      </c>
      <c r="K242" s="26" t="str">
        <f ca="1">IF($D242="","",TRIM(ASC(IF(OFFSET('(2)出場選手'!$B$2,$A242,K$1)="",'(1)鑑'!$E$7,OFFSET('(2)出場選手'!$B$2,$A242,K$1)))))</f>
        <v/>
      </c>
      <c r="L242" s="26" t="str">
        <f ca="1">IF($D242="","",SUBSTITUTE(SUBSTITUTE(SUBSTITUTE(IF(OFFSET('(2)出場選手'!$B$2,$A242,L$1)="",'(1)鑑'!$E$8,OFFSET('(2)出場選手'!$B$2,$A242,L$1)),"県",""),"府",""),"東京都","東京"))</f>
        <v/>
      </c>
      <c r="M242" s="57" t="str">
        <f ca="1">IF($D242="","",IF(OFFSET('(2)出場選手'!$B$2,$A242,M$1)="","",OFFSET('(2)出場選手'!$B$2,$A242,M$1)))</f>
        <v/>
      </c>
      <c r="N242" s="26" t="str">
        <f ca="1">IF($D242="","",OFFSET('(2)出場選手'!$B$2,$A242,N$1+3*$B242))</f>
        <v/>
      </c>
      <c r="O242" s="26" t="str">
        <f ca="1">IF($D242="","",IF(OFFSET('(2)出場選手'!$B$2,$A242,O$1+3*$B242)="","",OFFSET('(2)出場選手'!$B$2,$A242,O$1+3*$B242)))</f>
        <v/>
      </c>
      <c r="P242" s="26" t="str">
        <f ca="1">IF($D242="","",IF(OFFSET('(2)出場選手'!$B$2,$A242,P$1+3*$B242)="","",OFFSET('(2)出場選手'!$B$2,$A242,P$1+3*$B242)))</f>
        <v/>
      </c>
      <c r="Q242" s="43" t="str">
        <f ca="1">IF(D242="","",VLOOKUP(N242,OFFSET(Competition_Events,0,1),11,FALSE)*IF($S242="リレー",IF(COUNTIF($T$3:$T242,$T242)&gt;1,0,1),1))</f>
        <v/>
      </c>
      <c r="R242" s="26" t="str">
        <f t="shared" ca="1" si="20"/>
        <v/>
      </c>
      <c r="S242" s="26" t="str">
        <f t="shared" ca="1" si="21"/>
        <v/>
      </c>
      <c r="T242" s="26" t="str">
        <f t="shared" ca="1" si="22"/>
        <v/>
      </c>
      <c r="U242" s="26" t="str">
        <f t="shared" ca="1" si="24"/>
        <v/>
      </c>
      <c r="W242" s="17" t="str">
        <f ca="1">IF($D242="","",OFFSET('(2)出場選手'!$B$2,$A242,W$1))</f>
        <v/>
      </c>
      <c r="X242" s="17" t="str">
        <f ca="1">IF($D242="","",OFFSET('(2)出場選手'!$B$2,$A242,X$1))</f>
        <v/>
      </c>
      <c r="Y242" s="17" t="str">
        <f ca="1">IF($D242="","",OFFSET('(2)出場選手'!$B$2,$A242,Y$1))</f>
        <v/>
      </c>
      <c r="Z242" s="17" t="str">
        <f ca="1">IF($D242="","",OFFSET('(2)出場選手'!$B$2,$A242,Z$1))</f>
        <v/>
      </c>
    </row>
    <row r="243" spans="1:26" x14ac:dyDescent="0.15">
      <c r="A243" s="17">
        <f>TRUNC((ROWS($D$3:D243)-2)/Max_Entry_Count)+1</f>
        <v>80</v>
      </c>
      <c r="B243" s="17" t="str">
        <f ca="1">IF($A243&gt;=ROWS(Entries)-2,"",IF(OFFSET('(2)出場選手'!$B$2,$A243,B$1+3*(MOD(ROWS($D$3:D243)-2,Max_Entry_Count)))="","",MOD(ROWS($D$3:D243)-2,Max_Entry_Count)))</f>
        <v/>
      </c>
      <c r="D243" s="26" t="str">
        <f ca="1">IF(OR($A243&gt;=ROWS(Entries)-2,$B243=""),"",'(1)鑑'!$E$6&amp;"-"&amp;OFFSET('(2)出場選手'!$B$2,$A243,D$1))</f>
        <v/>
      </c>
      <c r="E243" s="26" t="str">
        <f ca="1">IF($D243="","",OFFSET('(2)出場選手'!$B$2,$A243,E$1))</f>
        <v/>
      </c>
      <c r="F243" s="26" t="str">
        <f ca="1">IF($D243="","",IF(OFFSET('(2)出場選手'!$B$2,$A243,F$1)="","",OFFSET('(2)出場選手'!$B$2,$A243,F$1)))</f>
        <v/>
      </c>
      <c r="G243" s="26" t="str">
        <f t="shared" ca="1" si="18"/>
        <v/>
      </c>
      <c r="H243" s="26" t="str">
        <f t="shared" ca="1" si="19"/>
        <v/>
      </c>
      <c r="I243" s="26" t="str">
        <f ca="1">IF($D243="","",IF(OFFSET('(2)出場選手'!$B$2,$A243,I$1)="","",OFFSET('(2)出場選手'!$B$2,$A243,I$1)))</f>
        <v/>
      </c>
      <c r="J243" s="26" t="str">
        <f ca="1">IF($D243="","",IF(OFFSET('(2)出場選手'!$B$2,$A243,J$1)="",'(1)鑑'!$E$6,OFFSET('(2)出場選手'!$B$2,$A243,J$1)))</f>
        <v/>
      </c>
      <c r="K243" s="26" t="str">
        <f ca="1">IF($D243="","",TRIM(ASC(IF(OFFSET('(2)出場選手'!$B$2,$A243,K$1)="",'(1)鑑'!$E$7,OFFSET('(2)出場選手'!$B$2,$A243,K$1)))))</f>
        <v/>
      </c>
      <c r="L243" s="26" t="str">
        <f ca="1">IF($D243="","",SUBSTITUTE(SUBSTITUTE(SUBSTITUTE(IF(OFFSET('(2)出場選手'!$B$2,$A243,L$1)="",'(1)鑑'!$E$8,OFFSET('(2)出場選手'!$B$2,$A243,L$1)),"県",""),"府",""),"東京都","東京"))</f>
        <v/>
      </c>
      <c r="M243" s="57" t="str">
        <f ca="1">IF($D243="","",IF(OFFSET('(2)出場選手'!$B$2,$A243,M$1)="","",OFFSET('(2)出場選手'!$B$2,$A243,M$1)))</f>
        <v/>
      </c>
      <c r="N243" s="26" t="str">
        <f ca="1">IF($D243="","",OFFSET('(2)出場選手'!$B$2,$A243,N$1+3*$B243))</f>
        <v/>
      </c>
      <c r="O243" s="26" t="str">
        <f ca="1">IF($D243="","",IF(OFFSET('(2)出場選手'!$B$2,$A243,O$1+3*$B243)="","",OFFSET('(2)出場選手'!$B$2,$A243,O$1+3*$B243)))</f>
        <v/>
      </c>
      <c r="P243" s="26" t="str">
        <f ca="1">IF($D243="","",IF(OFFSET('(2)出場選手'!$B$2,$A243,P$1+3*$B243)="","",OFFSET('(2)出場選手'!$B$2,$A243,P$1+3*$B243)))</f>
        <v/>
      </c>
      <c r="Q243" s="43" t="str">
        <f ca="1">IF(D243="","",VLOOKUP(N243,OFFSET(Competition_Events,0,1),11,FALSE)*IF($S243="リレー",IF(COUNTIF($T$3:$T243,$T243)&gt;1,0,1),1))</f>
        <v/>
      </c>
      <c r="R243" s="26" t="str">
        <f t="shared" ca="1" si="20"/>
        <v/>
      </c>
      <c r="S243" s="26" t="str">
        <f t="shared" ca="1" si="21"/>
        <v/>
      </c>
      <c r="T243" s="26" t="str">
        <f t="shared" ca="1" si="22"/>
        <v/>
      </c>
      <c r="U243" s="26" t="str">
        <f t="shared" ca="1" si="24"/>
        <v/>
      </c>
      <c r="W243" s="17" t="str">
        <f ca="1">IF($D243="","",OFFSET('(2)出場選手'!$B$2,$A243,W$1))</f>
        <v/>
      </c>
      <c r="X243" s="17" t="str">
        <f ca="1">IF($D243="","",OFFSET('(2)出場選手'!$B$2,$A243,X$1))</f>
        <v/>
      </c>
      <c r="Y243" s="17" t="str">
        <f ca="1">IF($D243="","",OFFSET('(2)出場選手'!$B$2,$A243,Y$1))</f>
        <v/>
      </c>
      <c r="Z243" s="17" t="str">
        <f ca="1">IF($D243="","",OFFSET('(2)出場選手'!$B$2,$A243,Z$1))</f>
        <v/>
      </c>
    </row>
    <row r="244" spans="1:26" x14ac:dyDescent="0.15">
      <c r="A244" s="17">
        <f>TRUNC((ROWS($D$3:D244)-2)/Max_Entry_Count)+1</f>
        <v>81</v>
      </c>
      <c r="B244" s="17" t="str">
        <f ca="1">IF($A244&gt;=ROWS(Entries)-2,"",IF(OFFSET('(2)出場選手'!$B$2,$A244,B$1+3*(MOD(ROWS($D$3:D244)-2,Max_Entry_Count)))="","",MOD(ROWS($D$3:D244)-2,Max_Entry_Count)))</f>
        <v/>
      </c>
      <c r="D244" s="26" t="str">
        <f ca="1">IF(OR($A244&gt;=ROWS(Entries)-2,$B244=""),"",'(1)鑑'!$E$6&amp;"-"&amp;OFFSET('(2)出場選手'!$B$2,$A244,D$1))</f>
        <v/>
      </c>
      <c r="E244" s="26" t="str">
        <f ca="1">IF($D244="","",OFFSET('(2)出場選手'!$B$2,$A244,E$1))</f>
        <v/>
      </c>
      <c r="F244" s="26" t="str">
        <f ca="1">IF($D244="","",IF(OFFSET('(2)出場選手'!$B$2,$A244,F$1)="","",OFFSET('(2)出場選手'!$B$2,$A244,F$1)))</f>
        <v/>
      </c>
      <c r="G244" s="26" t="str">
        <f t="shared" ca="1" si="18"/>
        <v/>
      </c>
      <c r="H244" s="26" t="str">
        <f t="shared" ca="1" si="19"/>
        <v/>
      </c>
      <c r="I244" s="26" t="str">
        <f ca="1">IF($D244="","",IF(OFFSET('(2)出場選手'!$B$2,$A244,I$1)="","",OFFSET('(2)出場選手'!$B$2,$A244,I$1)))</f>
        <v/>
      </c>
      <c r="J244" s="26" t="str">
        <f ca="1">IF($D244="","",IF(OFFSET('(2)出場選手'!$B$2,$A244,J$1)="",'(1)鑑'!$E$6,OFFSET('(2)出場選手'!$B$2,$A244,J$1)))</f>
        <v/>
      </c>
      <c r="K244" s="26" t="str">
        <f ca="1">IF($D244="","",TRIM(ASC(IF(OFFSET('(2)出場選手'!$B$2,$A244,K$1)="",'(1)鑑'!$E$7,OFFSET('(2)出場選手'!$B$2,$A244,K$1)))))</f>
        <v/>
      </c>
      <c r="L244" s="26" t="str">
        <f ca="1">IF($D244="","",SUBSTITUTE(SUBSTITUTE(SUBSTITUTE(IF(OFFSET('(2)出場選手'!$B$2,$A244,L$1)="",'(1)鑑'!$E$8,OFFSET('(2)出場選手'!$B$2,$A244,L$1)),"県",""),"府",""),"東京都","東京"))</f>
        <v/>
      </c>
      <c r="M244" s="57" t="str">
        <f ca="1">IF($D244="","",IF(OFFSET('(2)出場選手'!$B$2,$A244,M$1)="","",OFFSET('(2)出場選手'!$B$2,$A244,M$1)))</f>
        <v/>
      </c>
      <c r="N244" s="26" t="str">
        <f ca="1">IF($D244="","",OFFSET('(2)出場選手'!$B$2,$A244,N$1+3*$B244))</f>
        <v/>
      </c>
      <c r="O244" s="26" t="str">
        <f ca="1">IF($D244="","",IF(OFFSET('(2)出場選手'!$B$2,$A244,O$1+3*$B244)="","",OFFSET('(2)出場選手'!$B$2,$A244,O$1+3*$B244)))</f>
        <v/>
      </c>
      <c r="P244" s="26" t="str">
        <f ca="1">IF($D244="","",IF(OFFSET('(2)出場選手'!$B$2,$A244,P$1+3*$B244)="","",OFFSET('(2)出場選手'!$B$2,$A244,P$1+3*$B244)))</f>
        <v/>
      </c>
      <c r="Q244" s="43" t="str">
        <f ca="1">IF(D244="","",VLOOKUP(N244,OFFSET(Competition_Events,0,1),11,FALSE)*IF($S244="リレー",IF(COUNTIF($T$3:$T244,$T244)&gt;1,0,1),1))</f>
        <v/>
      </c>
      <c r="R244" s="26" t="str">
        <f t="shared" ca="1" si="20"/>
        <v/>
      </c>
      <c r="S244" s="26" t="str">
        <f t="shared" ca="1" si="21"/>
        <v/>
      </c>
      <c r="T244" s="26" t="str">
        <f t="shared" ca="1" si="22"/>
        <v/>
      </c>
      <c r="U244" s="26" t="str">
        <f t="shared" ca="1" si="24"/>
        <v/>
      </c>
      <c r="W244" s="17" t="str">
        <f ca="1">IF($D244="","",OFFSET('(2)出場選手'!$B$2,$A244,W$1))</f>
        <v/>
      </c>
      <c r="X244" s="17" t="str">
        <f ca="1">IF($D244="","",OFFSET('(2)出場選手'!$B$2,$A244,X$1))</f>
        <v/>
      </c>
      <c r="Y244" s="17" t="str">
        <f ca="1">IF($D244="","",OFFSET('(2)出場選手'!$B$2,$A244,Y$1))</f>
        <v/>
      </c>
      <c r="Z244" s="17" t="str">
        <f ca="1">IF($D244="","",OFFSET('(2)出場選手'!$B$2,$A244,Z$1))</f>
        <v/>
      </c>
    </row>
    <row r="245" spans="1:26" x14ac:dyDescent="0.15">
      <c r="A245" s="17">
        <f>TRUNC((ROWS($D$3:D245)-2)/Max_Entry_Count)+1</f>
        <v>81</v>
      </c>
      <c r="B245" s="17" t="str">
        <f ca="1">IF($A245&gt;=ROWS(Entries)-2,"",IF(OFFSET('(2)出場選手'!$B$2,$A245,B$1+3*(MOD(ROWS($D$3:D245)-2,Max_Entry_Count)))="","",MOD(ROWS($D$3:D245)-2,Max_Entry_Count)))</f>
        <v/>
      </c>
      <c r="D245" s="26" t="str">
        <f ca="1">IF(OR($A245&gt;=ROWS(Entries)-2,$B245=""),"",'(1)鑑'!$E$6&amp;"-"&amp;OFFSET('(2)出場選手'!$B$2,$A245,D$1))</f>
        <v/>
      </c>
      <c r="E245" s="26" t="str">
        <f ca="1">IF($D245="","",OFFSET('(2)出場選手'!$B$2,$A245,E$1))</f>
        <v/>
      </c>
      <c r="F245" s="26" t="str">
        <f ca="1">IF($D245="","",IF(OFFSET('(2)出場選手'!$B$2,$A245,F$1)="","",OFFSET('(2)出場選手'!$B$2,$A245,F$1)))</f>
        <v/>
      </c>
      <c r="G245" s="26" t="str">
        <f t="shared" ca="1" si="18"/>
        <v/>
      </c>
      <c r="H245" s="26" t="str">
        <f t="shared" ca="1" si="19"/>
        <v/>
      </c>
      <c r="I245" s="26" t="str">
        <f ca="1">IF($D245="","",IF(OFFSET('(2)出場選手'!$B$2,$A245,I$1)="","",OFFSET('(2)出場選手'!$B$2,$A245,I$1)))</f>
        <v/>
      </c>
      <c r="J245" s="26" t="str">
        <f ca="1">IF($D245="","",IF(OFFSET('(2)出場選手'!$B$2,$A245,J$1)="",'(1)鑑'!$E$6,OFFSET('(2)出場選手'!$B$2,$A245,J$1)))</f>
        <v/>
      </c>
      <c r="K245" s="26" t="str">
        <f ca="1">IF($D245="","",TRIM(ASC(IF(OFFSET('(2)出場選手'!$B$2,$A245,K$1)="",'(1)鑑'!$E$7,OFFSET('(2)出場選手'!$B$2,$A245,K$1)))))</f>
        <v/>
      </c>
      <c r="L245" s="26" t="str">
        <f ca="1">IF($D245="","",SUBSTITUTE(SUBSTITUTE(SUBSTITUTE(IF(OFFSET('(2)出場選手'!$B$2,$A245,L$1)="",'(1)鑑'!$E$8,OFFSET('(2)出場選手'!$B$2,$A245,L$1)),"県",""),"府",""),"東京都","東京"))</f>
        <v/>
      </c>
      <c r="M245" s="57" t="str">
        <f ca="1">IF($D245="","",IF(OFFSET('(2)出場選手'!$B$2,$A245,M$1)="","",OFFSET('(2)出場選手'!$B$2,$A245,M$1)))</f>
        <v/>
      </c>
      <c r="N245" s="26" t="str">
        <f ca="1">IF($D245="","",OFFSET('(2)出場選手'!$B$2,$A245,N$1+3*$B245))</f>
        <v/>
      </c>
      <c r="O245" s="26" t="str">
        <f ca="1">IF($D245="","",IF(OFFSET('(2)出場選手'!$B$2,$A245,O$1+3*$B245)="","",OFFSET('(2)出場選手'!$B$2,$A245,O$1+3*$B245)))</f>
        <v/>
      </c>
      <c r="P245" s="26" t="str">
        <f ca="1">IF($D245="","",IF(OFFSET('(2)出場選手'!$B$2,$A245,P$1+3*$B245)="","",OFFSET('(2)出場選手'!$B$2,$A245,P$1+3*$B245)))</f>
        <v/>
      </c>
      <c r="Q245" s="43" t="str">
        <f ca="1">IF(D245="","",VLOOKUP(N245,OFFSET(Competition_Events,0,1),11,FALSE)*IF($S245="リレー",IF(COUNTIF($T$3:$T245,$T245)&gt;1,0,1),1))</f>
        <v/>
      </c>
      <c r="R245" s="26" t="str">
        <f t="shared" ca="1" si="20"/>
        <v/>
      </c>
      <c r="S245" s="26" t="str">
        <f t="shared" ca="1" si="21"/>
        <v/>
      </c>
      <c r="T245" s="26" t="str">
        <f t="shared" ca="1" si="22"/>
        <v/>
      </c>
      <c r="U245" s="26" t="str">
        <f t="shared" ca="1" si="24"/>
        <v/>
      </c>
      <c r="W245" s="17" t="str">
        <f ca="1">IF($D245="","",OFFSET('(2)出場選手'!$B$2,$A245,W$1))</f>
        <v/>
      </c>
      <c r="X245" s="17" t="str">
        <f ca="1">IF($D245="","",OFFSET('(2)出場選手'!$B$2,$A245,X$1))</f>
        <v/>
      </c>
      <c r="Y245" s="17" t="str">
        <f ca="1">IF($D245="","",OFFSET('(2)出場選手'!$B$2,$A245,Y$1))</f>
        <v/>
      </c>
      <c r="Z245" s="17" t="str">
        <f ca="1">IF($D245="","",OFFSET('(2)出場選手'!$B$2,$A245,Z$1))</f>
        <v/>
      </c>
    </row>
    <row r="246" spans="1:26" x14ac:dyDescent="0.15">
      <c r="A246" s="17">
        <f>TRUNC((ROWS($D$3:D246)-2)/Max_Entry_Count)+1</f>
        <v>81</v>
      </c>
      <c r="B246" s="17" t="str">
        <f ca="1">IF($A246&gt;=ROWS(Entries)-2,"",IF(OFFSET('(2)出場選手'!$B$2,$A246,B$1+3*(MOD(ROWS($D$3:D246)-2,Max_Entry_Count)))="","",MOD(ROWS($D$3:D246)-2,Max_Entry_Count)))</f>
        <v/>
      </c>
      <c r="D246" s="26" t="str">
        <f ca="1">IF(OR($A246&gt;=ROWS(Entries)-2,$B246=""),"",'(1)鑑'!$E$6&amp;"-"&amp;OFFSET('(2)出場選手'!$B$2,$A246,D$1))</f>
        <v/>
      </c>
      <c r="E246" s="26" t="str">
        <f ca="1">IF($D246="","",OFFSET('(2)出場選手'!$B$2,$A246,E$1))</f>
        <v/>
      </c>
      <c r="F246" s="26" t="str">
        <f ca="1">IF($D246="","",IF(OFFSET('(2)出場選手'!$B$2,$A246,F$1)="","",OFFSET('(2)出場選手'!$B$2,$A246,F$1)))</f>
        <v/>
      </c>
      <c r="G246" s="26" t="str">
        <f t="shared" ca="1" si="18"/>
        <v/>
      </c>
      <c r="H246" s="26" t="str">
        <f t="shared" ca="1" si="19"/>
        <v/>
      </c>
      <c r="I246" s="26" t="str">
        <f ca="1">IF($D246="","",IF(OFFSET('(2)出場選手'!$B$2,$A246,I$1)="","",OFFSET('(2)出場選手'!$B$2,$A246,I$1)))</f>
        <v/>
      </c>
      <c r="J246" s="26" t="str">
        <f ca="1">IF($D246="","",IF(OFFSET('(2)出場選手'!$B$2,$A246,J$1)="",'(1)鑑'!$E$6,OFFSET('(2)出場選手'!$B$2,$A246,J$1)))</f>
        <v/>
      </c>
      <c r="K246" s="26" t="str">
        <f ca="1">IF($D246="","",TRIM(ASC(IF(OFFSET('(2)出場選手'!$B$2,$A246,K$1)="",'(1)鑑'!$E$7,OFFSET('(2)出場選手'!$B$2,$A246,K$1)))))</f>
        <v/>
      </c>
      <c r="L246" s="26" t="str">
        <f ca="1">IF($D246="","",SUBSTITUTE(SUBSTITUTE(SUBSTITUTE(IF(OFFSET('(2)出場選手'!$B$2,$A246,L$1)="",'(1)鑑'!$E$8,OFFSET('(2)出場選手'!$B$2,$A246,L$1)),"県",""),"府",""),"東京都","東京"))</f>
        <v/>
      </c>
      <c r="M246" s="57" t="str">
        <f ca="1">IF($D246="","",IF(OFFSET('(2)出場選手'!$B$2,$A246,M$1)="","",OFFSET('(2)出場選手'!$B$2,$A246,M$1)))</f>
        <v/>
      </c>
      <c r="N246" s="26" t="str">
        <f ca="1">IF($D246="","",OFFSET('(2)出場選手'!$B$2,$A246,N$1+3*$B246))</f>
        <v/>
      </c>
      <c r="O246" s="26" t="str">
        <f ca="1">IF($D246="","",IF(OFFSET('(2)出場選手'!$B$2,$A246,O$1+3*$B246)="","",OFFSET('(2)出場選手'!$B$2,$A246,O$1+3*$B246)))</f>
        <v/>
      </c>
      <c r="P246" s="26" t="str">
        <f ca="1">IF($D246="","",IF(OFFSET('(2)出場選手'!$B$2,$A246,P$1+3*$B246)="","",OFFSET('(2)出場選手'!$B$2,$A246,P$1+3*$B246)))</f>
        <v/>
      </c>
      <c r="Q246" s="43" t="str">
        <f ca="1">IF(D246="","",VLOOKUP(N246,OFFSET(Competition_Events,0,1),11,FALSE)*IF($S246="リレー",IF(COUNTIF($T$3:$T246,$T246)&gt;1,0,1),1))</f>
        <v/>
      </c>
      <c r="R246" s="26" t="str">
        <f t="shared" ca="1" si="20"/>
        <v/>
      </c>
      <c r="S246" s="26" t="str">
        <f t="shared" ca="1" si="21"/>
        <v/>
      </c>
      <c r="T246" s="26" t="str">
        <f t="shared" ca="1" si="22"/>
        <v/>
      </c>
      <c r="U246" s="26" t="str">
        <f t="shared" ca="1" si="24"/>
        <v/>
      </c>
      <c r="W246" s="17" t="str">
        <f ca="1">IF($D246="","",OFFSET('(2)出場選手'!$B$2,$A246,W$1))</f>
        <v/>
      </c>
      <c r="X246" s="17" t="str">
        <f ca="1">IF($D246="","",OFFSET('(2)出場選手'!$B$2,$A246,X$1))</f>
        <v/>
      </c>
      <c r="Y246" s="17" t="str">
        <f ca="1">IF($D246="","",OFFSET('(2)出場選手'!$B$2,$A246,Y$1))</f>
        <v/>
      </c>
      <c r="Z246" s="17" t="str">
        <f ca="1">IF($D246="","",OFFSET('(2)出場選手'!$B$2,$A246,Z$1))</f>
        <v/>
      </c>
    </row>
    <row r="247" spans="1:26" x14ac:dyDescent="0.15">
      <c r="A247" s="17">
        <f>TRUNC((ROWS($D$3:D247)-2)/Max_Entry_Count)+1</f>
        <v>82</v>
      </c>
      <c r="B247" s="17" t="str">
        <f ca="1">IF($A247&gt;=ROWS(Entries)-2,"",IF(OFFSET('(2)出場選手'!$B$2,$A247,B$1+3*(MOD(ROWS($D$3:D247)-2,Max_Entry_Count)))="","",MOD(ROWS($D$3:D247)-2,Max_Entry_Count)))</f>
        <v/>
      </c>
      <c r="D247" s="26" t="str">
        <f ca="1">IF(OR($A247&gt;=ROWS(Entries)-2,$B247=""),"",'(1)鑑'!$E$6&amp;"-"&amp;OFFSET('(2)出場選手'!$B$2,$A247,D$1))</f>
        <v/>
      </c>
      <c r="E247" s="26" t="str">
        <f ca="1">IF($D247="","",OFFSET('(2)出場選手'!$B$2,$A247,E$1))</f>
        <v/>
      </c>
      <c r="F247" s="26" t="str">
        <f ca="1">IF($D247="","",IF(OFFSET('(2)出場選手'!$B$2,$A247,F$1)="","",OFFSET('(2)出場選手'!$B$2,$A247,F$1)))</f>
        <v/>
      </c>
      <c r="G247" s="26" t="str">
        <f t="shared" ca="1" si="18"/>
        <v/>
      </c>
      <c r="H247" s="26" t="str">
        <f t="shared" ca="1" si="19"/>
        <v/>
      </c>
      <c r="I247" s="26" t="str">
        <f ca="1">IF($D247="","",IF(OFFSET('(2)出場選手'!$B$2,$A247,I$1)="","",OFFSET('(2)出場選手'!$B$2,$A247,I$1)))</f>
        <v/>
      </c>
      <c r="J247" s="26" t="str">
        <f ca="1">IF($D247="","",IF(OFFSET('(2)出場選手'!$B$2,$A247,J$1)="",'(1)鑑'!$E$6,OFFSET('(2)出場選手'!$B$2,$A247,J$1)))</f>
        <v/>
      </c>
      <c r="K247" s="26" t="str">
        <f ca="1">IF($D247="","",TRIM(ASC(IF(OFFSET('(2)出場選手'!$B$2,$A247,K$1)="",'(1)鑑'!$E$7,OFFSET('(2)出場選手'!$B$2,$A247,K$1)))))</f>
        <v/>
      </c>
      <c r="L247" s="26" t="str">
        <f ca="1">IF($D247="","",SUBSTITUTE(SUBSTITUTE(SUBSTITUTE(IF(OFFSET('(2)出場選手'!$B$2,$A247,L$1)="",'(1)鑑'!$E$8,OFFSET('(2)出場選手'!$B$2,$A247,L$1)),"県",""),"府",""),"東京都","東京"))</f>
        <v/>
      </c>
      <c r="M247" s="57" t="str">
        <f ca="1">IF($D247="","",IF(OFFSET('(2)出場選手'!$B$2,$A247,M$1)="","",OFFSET('(2)出場選手'!$B$2,$A247,M$1)))</f>
        <v/>
      </c>
      <c r="N247" s="26" t="str">
        <f ca="1">IF($D247="","",OFFSET('(2)出場選手'!$B$2,$A247,N$1+3*$B247))</f>
        <v/>
      </c>
      <c r="O247" s="26" t="str">
        <f ca="1">IF($D247="","",IF(OFFSET('(2)出場選手'!$B$2,$A247,O$1+3*$B247)="","",OFFSET('(2)出場選手'!$B$2,$A247,O$1+3*$B247)))</f>
        <v/>
      </c>
      <c r="P247" s="26" t="str">
        <f ca="1">IF($D247="","",IF(OFFSET('(2)出場選手'!$B$2,$A247,P$1+3*$B247)="","",OFFSET('(2)出場選手'!$B$2,$A247,P$1+3*$B247)))</f>
        <v/>
      </c>
      <c r="Q247" s="43" t="str">
        <f ca="1">IF(D247="","",VLOOKUP(N247,OFFSET(Competition_Events,0,1),11,FALSE)*IF($S247="リレー",IF(COUNTIF($T$3:$T247,$T247)&gt;1,0,1),1))</f>
        <v/>
      </c>
      <c r="R247" s="26" t="str">
        <f t="shared" ca="1" si="20"/>
        <v/>
      </c>
      <c r="S247" s="26" t="str">
        <f t="shared" ca="1" si="21"/>
        <v/>
      </c>
      <c r="T247" s="26" t="str">
        <f t="shared" ca="1" si="22"/>
        <v/>
      </c>
      <c r="U247" s="26" t="str">
        <f t="shared" ca="1" si="24"/>
        <v/>
      </c>
      <c r="W247" s="17" t="str">
        <f ca="1">IF($D247="","",OFFSET('(2)出場選手'!$B$2,$A247,W$1))</f>
        <v/>
      </c>
      <c r="X247" s="17" t="str">
        <f ca="1">IF($D247="","",OFFSET('(2)出場選手'!$B$2,$A247,X$1))</f>
        <v/>
      </c>
      <c r="Y247" s="17" t="str">
        <f ca="1">IF($D247="","",OFFSET('(2)出場選手'!$B$2,$A247,Y$1))</f>
        <v/>
      </c>
      <c r="Z247" s="17" t="str">
        <f ca="1">IF($D247="","",OFFSET('(2)出場選手'!$B$2,$A247,Z$1))</f>
        <v/>
      </c>
    </row>
    <row r="248" spans="1:26" x14ac:dyDescent="0.15">
      <c r="A248" s="17">
        <f>TRUNC((ROWS($D$3:D248)-2)/Max_Entry_Count)+1</f>
        <v>82</v>
      </c>
      <c r="B248" s="17" t="str">
        <f ca="1">IF($A248&gt;=ROWS(Entries)-2,"",IF(OFFSET('(2)出場選手'!$B$2,$A248,B$1+3*(MOD(ROWS($D$3:D248)-2,Max_Entry_Count)))="","",MOD(ROWS($D$3:D248)-2,Max_Entry_Count)))</f>
        <v/>
      </c>
      <c r="D248" s="26" t="str">
        <f ca="1">IF(OR($A248&gt;=ROWS(Entries)-2,$B248=""),"",'(1)鑑'!$E$6&amp;"-"&amp;OFFSET('(2)出場選手'!$B$2,$A248,D$1))</f>
        <v/>
      </c>
      <c r="E248" s="26" t="str">
        <f ca="1">IF($D248="","",OFFSET('(2)出場選手'!$B$2,$A248,E$1))</f>
        <v/>
      </c>
      <c r="F248" s="26" t="str">
        <f ca="1">IF($D248="","",IF(OFFSET('(2)出場選手'!$B$2,$A248,F$1)="","",OFFSET('(2)出場選手'!$B$2,$A248,F$1)))</f>
        <v/>
      </c>
      <c r="G248" s="26" t="str">
        <f t="shared" ca="1" si="18"/>
        <v/>
      </c>
      <c r="H248" s="26" t="str">
        <f t="shared" ca="1" si="19"/>
        <v/>
      </c>
      <c r="I248" s="26" t="str">
        <f ca="1">IF($D248="","",IF(OFFSET('(2)出場選手'!$B$2,$A248,I$1)="","",OFFSET('(2)出場選手'!$B$2,$A248,I$1)))</f>
        <v/>
      </c>
      <c r="J248" s="26" t="str">
        <f ca="1">IF($D248="","",IF(OFFSET('(2)出場選手'!$B$2,$A248,J$1)="",'(1)鑑'!$E$6,OFFSET('(2)出場選手'!$B$2,$A248,J$1)))</f>
        <v/>
      </c>
      <c r="K248" s="26" t="str">
        <f ca="1">IF($D248="","",TRIM(ASC(IF(OFFSET('(2)出場選手'!$B$2,$A248,K$1)="",'(1)鑑'!$E$7,OFFSET('(2)出場選手'!$B$2,$A248,K$1)))))</f>
        <v/>
      </c>
      <c r="L248" s="26" t="str">
        <f ca="1">IF($D248="","",SUBSTITUTE(SUBSTITUTE(SUBSTITUTE(IF(OFFSET('(2)出場選手'!$B$2,$A248,L$1)="",'(1)鑑'!$E$8,OFFSET('(2)出場選手'!$B$2,$A248,L$1)),"県",""),"府",""),"東京都","東京"))</f>
        <v/>
      </c>
      <c r="M248" s="57" t="str">
        <f ca="1">IF($D248="","",IF(OFFSET('(2)出場選手'!$B$2,$A248,M$1)="","",OFFSET('(2)出場選手'!$B$2,$A248,M$1)))</f>
        <v/>
      </c>
      <c r="N248" s="26" t="str">
        <f ca="1">IF($D248="","",OFFSET('(2)出場選手'!$B$2,$A248,N$1+3*$B248))</f>
        <v/>
      </c>
      <c r="O248" s="26" t="str">
        <f ca="1">IF($D248="","",IF(OFFSET('(2)出場選手'!$B$2,$A248,O$1+3*$B248)="","",OFFSET('(2)出場選手'!$B$2,$A248,O$1+3*$B248)))</f>
        <v/>
      </c>
      <c r="P248" s="26" t="str">
        <f ca="1">IF($D248="","",IF(OFFSET('(2)出場選手'!$B$2,$A248,P$1+3*$B248)="","",OFFSET('(2)出場選手'!$B$2,$A248,P$1+3*$B248)))</f>
        <v/>
      </c>
      <c r="Q248" s="43" t="str">
        <f ca="1">IF(D248="","",VLOOKUP(N248,OFFSET(Competition_Events,0,1),11,FALSE)*IF($S248="リレー",IF(COUNTIF($T$3:$T248,$T248)&gt;1,0,1),1))</f>
        <v/>
      </c>
      <c r="R248" s="26" t="str">
        <f t="shared" ca="1" si="20"/>
        <v/>
      </c>
      <c r="S248" s="26" t="str">
        <f t="shared" ca="1" si="21"/>
        <v/>
      </c>
      <c r="T248" s="26" t="str">
        <f t="shared" ca="1" si="22"/>
        <v/>
      </c>
      <c r="U248" s="26" t="str">
        <f t="shared" ca="1" si="24"/>
        <v/>
      </c>
      <c r="W248" s="17" t="str">
        <f ca="1">IF($D248="","",OFFSET('(2)出場選手'!$B$2,$A248,W$1))</f>
        <v/>
      </c>
      <c r="X248" s="17" t="str">
        <f ca="1">IF($D248="","",OFFSET('(2)出場選手'!$B$2,$A248,X$1))</f>
        <v/>
      </c>
      <c r="Y248" s="17" t="str">
        <f ca="1">IF($D248="","",OFFSET('(2)出場選手'!$B$2,$A248,Y$1))</f>
        <v/>
      </c>
      <c r="Z248" s="17" t="str">
        <f ca="1">IF($D248="","",OFFSET('(2)出場選手'!$B$2,$A248,Z$1))</f>
        <v/>
      </c>
    </row>
    <row r="249" spans="1:26" x14ac:dyDescent="0.15">
      <c r="A249" s="17">
        <f>TRUNC((ROWS($D$3:D249)-2)/Max_Entry_Count)+1</f>
        <v>82</v>
      </c>
      <c r="B249" s="17" t="str">
        <f ca="1">IF($A249&gt;=ROWS(Entries)-2,"",IF(OFFSET('(2)出場選手'!$B$2,$A249,B$1+3*(MOD(ROWS($D$3:D249)-2,Max_Entry_Count)))="","",MOD(ROWS($D$3:D249)-2,Max_Entry_Count)))</f>
        <v/>
      </c>
      <c r="D249" s="26" t="str">
        <f ca="1">IF(OR($A249&gt;=ROWS(Entries)-2,$B249=""),"",'(1)鑑'!$E$6&amp;"-"&amp;OFFSET('(2)出場選手'!$B$2,$A249,D$1))</f>
        <v/>
      </c>
      <c r="E249" s="26" t="str">
        <f ca="1">IF($D249="","",OFFSET('(2)出場選手'!$B$2,$A249,E$1))</f>
        <v/>
      </c>
      <c r="F249" s="26" t="str">
        <f ca="1">IF($D249="","",IF(OFFSET('(2)出場選手'!$B$2,$A249,F$1)="","",OFFSET('(2)出場選手'!$B$2,$A249,F$1)))</f>
        <v/>
      </c>
      <c r="G249" s="26" t="str">
        <f t="shared" ca="1" si="18"/>
        <v/>
      </c>
      <c r="H249" s="26" t="str">
        <f t="shared" ca="1" si="19"/>
        <v/>
      </c>
      <c r="I249" s="26" t="str">
        <f ca="1">IF($D249="","",IF(OFFSET('(2)出場選手'!$B$2,$A249,I$1)="","",OFFSET('(2)出場選手'!$B$2,$A249,I$1)))</f>
        <v/>
      </c>
      <c r="J249" s="26" t="str">
        <f ca="1">IF($D249="","",IF(OFFSET('(2)出場選手'!$B$2,$A249,J$1)="",'(1)鑑'!$E$6,OFFSET('(2)出場選手'!$B$2,$A249,J$1)))</f>
        <v/>
      </c>
      <c r="K249" s="26" t="str">
        <f ca="1">IF($D249="","",TRIM(ASC(IF(OFFSET('(2)出場選手'!$B$2,$A249,K$1)="",'(1)鑑'!$E$7,OFFSET('(2)出場選手'!$B$2,$A249,K$1)))))</f>
        <v/>
      </c>
      <c r="L249" s="26" t="str">
        <f ca="1">IF($D249="","",SUBSTITUTE(SUBSTITUTE(SUBSTITUTE(IF(OFFSET('(2)出場選手'!$B$2,$A249,L$1)="",'(1)鑑'!$E$8,OFFSET('(2)出場選手'!$B$2,$A249,L$1)),"県",""),"府",""),"東京都","東京"))</f>
        <v/>
      </c>
      <c r="M249" s="57" t="str">
        <f ca="1">IF($D249="","",IF(OFFSET('(2)出場選手'!$B$2,$A249,M$1)="","",OFFSET('(2)出場選手'!$B$2,$A249,M$1)))</f>
        <v/>
      </c>
      <c r="N249" s="26" t="str">
        <f ca="1">IF($D249="","",OFFSET('(2)出場選手'!$B$2,$A249,N$1+3*$B249))</f>
        <v/>
      </c>
      <c r="O249" s="26" t="str">
        <f ca="1">IF($D249="","",IF(OFFSET('(2)出場選手'!$B$2,$A249,O$1+3*$B249)="","",OFFSET('(2)出場選手'!$B$2,$A249,O$1+3*$B249)))</f>
        <v/>
      </c>
      <c r="P249" s="26" t="str">
        <f ca="1">IF($D249="","",IF(OFFSET('(2)出場選手'!$B$2,$A249,P$1+3*$B249)="","",OFFSET('(2)出場選手'!$B$2,$A249,P$1+3*$B249)))</f>
        <v/>
      </c>
      <c r="Q249" s="43" t="str">
        <f ca="1">IF(D249="","",VLOOKUP(N249,OFFSET(Competition_Events,0,1),11,FALSE)*IF($S249="リレー",IF(COUNTIF($T$3:$T249,$T249)&gt;1,0,1),1))</f>
        <v/>
      </c>
      <c r="R249" s="26" t="str">
        <f t="shared" ca="1" si="20"/>
        <v/>
      </c>
      <c r="S249" s="26" t="str">
        <f t="shared" ca="1" si="21"/>
        <v/>
      </c>
      <c r="T249" s="26" t="str">
        <f t="shared" ca="1" si="22"/>
        <v/>
      </c>
      <c r="U249" s="26" t="str">
        <f t="shared" ca="1" si="24"/>
        <v/>
      </c>
      <c r="W249" s="17" t="str">
        <f ca="1">IF($D249="","",OFFSET('(2)出場選手'!$B$2,$A249,W$1))</f>
        <v/>
      </c>
      <c r="X249" s="17" t="str">
        <f ca="1">IF($D249="","",OFFSET('(2)出場選手'!$B$2,$A249,X$1))</f>
        <v/>
      </c>
      <c r="Y249" s="17" t="str">
        <f ca="1">IF($D249="","",OFFSET('(2)出場選手'!$B$2,$A249,Y$1))</f>
        <v/>
      </c>
      <c r="Z249" s="17" t="str">
        <f ca="1">IF($D249="","",OFFSET('(2)出場選手'!$B$2,$A249,Z$1))</f>
        <v/>
      </c>
    </row>
    <row r="250" spans="1:26" x14ac:dyDescent="0.15">
      <c r="A250" s="17">
        <f>TRUNC((ROWS($D$3:D250)-2)/Max_Entry_Count)+1</f>
        <v>83</v>
      </c>
      <c r="B250" s="17" t="str">
        <f ca="1">IF($A250&gt;=ROWS(Entries)-2,"",IF(OFFSET('(2)出場選手'!$B$2,$A250,B$1+3*(MOD(ROWS($D$3:D250)-2,Max_Entry_Count)))="","",MOD(ROWS($D$3:D250)-2,Max_Entry_Count)))</f>
        <v/>
      </c>
      <c r="D250" s="26" t="str">
        <f ca="1">IF(OR($A250&gt;=ROWS(Entries)-2,$B250=""),"",'(1)鑑'!$E$6&amp;"-"&amp;OFFSET('(2)出場選手'!$B$2,$A250,D$1))</f>
        <v/>
      </c>
      <c r="E250" s="26" t="str">
        <f ca="1">IF($D250="","",OFFSET('(2)出場選手'!$B$2,$A250,E$1))</f>
        <v/>
      </c>
      <c r="F250" s="26" t="str">
        <f ca="1">IF($D250="","",IF(OFFSET('(2)出場選手'!$B$2,$A250,F$1)="","",OFFSET('(2)出場選手'!$B$2,$A250,F$1)))</f>
        <v/>
      </c>
      <c r="G250" s="26" t="str">
        <f t="shared" ca="1" si="18"/>
        <v/>
      </c>
      <c r="H250" s="26" t="str">
        <f t="shared" ca="1" si="19"/>
        <v/>
      </c>
      <c r="I250" s="26" t="str">
        <f ca="1">IF($D250="","",IF(OFFSET('(2)出場選手'!$B$2,$A250,I$1)="","",OFFSET('(2)出場選手'!$B$2,$A250,I$1)))</f>
        <v/>
      </c>
      <c r="J250" s="26" t="str">
        <f ca="1">IF($D250="","",IF(OFFSET('(2)出場選手'!$B$2,$A250,J$1)="",'(1)鑑'!$E$6,OFFSET('(2)出場選手'!$B$2,$A250,J$1)))</f>
        <v/>
      </c>
      <c r="K250" s="26" t="str">
        <f ca="1">IF($D250="","",TRIM(ASC(IF(OFFSET('(2)出場選手'!$B$2,$A250,K$1)="",'(1)鑑'!$E$7,OFFSET('(2)出場選手'!$B$2,$A250,K$1)))))</f>
        <v/>
      </c>
      <c r="L250" s="26" t="str">
        <f ca="1">IF($D250="","",SUBSTITUTE(SUBSTITUTE(SUBSTITUTE(IF(OFFSET('(2)出場選手'!$B$2,$A250,L$1)="",'(1)鑑'!$E$8,OFFSET('(2)出場選手'!$B$2,$A250,L$1)),"県",""),"府",""),"東京都","東京"))</f>
        <v/>
      </c>
      <c r="M250" s="57" t="str">
        <f ca="1">IF($D250="","",IF(OFFSET('(2)出場選手'!$B$2,$A250,M$1)="","",OFFSET('(2)出場選手'!$B$2,$A250,M$1)))</f>
        <v/>
      </c>
      <c r="N250" s="26" t="str">
        <f ca="1">IF($D250="","",OFFSET('(2)出場選手'!$B$2,$A250,N$1+3*$B250))</f>
        <v/>
      </c>
      <c r="O250" s="26" t="str">
        <f ca="1">IF($D250="","",IF(OFFSET('(2)出場選手'!$B$2,$A250,O$1+3*$B250)="","",OFFSET('(2)出場選手'!$B$2,$A250,O$1+3*$B250)))</f>
        <v/>
      </c>
      <c r="P250" s="26" t="str">
        <f ca="1">IF($D250="","",IF(OFFSET('(2)出場選手'!$B$2,$A250,P$1+3*$B250)="","",OFFSET('(2)出場選手'!$B$2,$A250,P$1+3*$B250)))</f>
        <v/>
      </c>
      <c r="Q250" s="43" t="str">
        <f ca="1">IF(D250="","",VLOOKUP(N250,OFFSET(Competition_Events,0,1),11,FALSE)*IF($S250="リレー",IF(COUNTIF($T$3:$T250,$T250)&gt;1,0,1),1))</f>
        <v/>
      </c>
      <c r="R250" s="26" t="str">
        <f t="shared" ca="1" si="20"/>
        <v/>
      </c>
      <c r="S250" s="26" t="str">
        <f t="shared" ca="1" si="21"/>
        <v/>
      </c>
      <c r="T250" s="26" t="str">
        <f t="shared" ca="1" si="22"/>
        <v/>
      </c>
      <c r="U250" s="26" t="str">
        <f t="shared" ca="1" si="24"/>
        <v/>
      </c>
      <c r="W250" s="17" t="str">
        <f ca="1">IF($D250="","",OFFSET('(2)出場選手'!$B$2,$A250,W$1))</f>
        <v/>
      </c>
      <c r="X250" s="17" t="str">
        <f ca="1">IF($D250="","",OFFSET('(2)出場選手'!$B$2,$A250,X$1))</f>
        <v/>
      </c>
      <c r="Y250" s="17" t="str">
        <f ca="1">IF($D250="","",OFFSET('(2)出場選手'!$B$2,$A250,Y$1))</f>
        <v/>
      </c>
      <c r="Z250" s="17" t="str">
        <f ca="1">IF($D250="","",OFFSET('(2)出場選手'!$B$2,$A250,Z$1))</f>
        <v/>
      </c>
    </row>
    <row r="251" spans="1:26" x14ac:dyDescent="0.15">
      <c r="A251" s="17">
        <f>TRUNC((ROWS($D$3:D251)-2)/Max_Entry_Count)+1</f>
        <v>83</v>
      </c>
      <c r="B251" s="17" t="str">
        <f ca="1">IF($A251&gt;=ROWS(Entries)-2,"",IF(OFFSET('(2)出場選手'!$B$2,$A251,B$1+3*(MOD(ROWS($D$3:D251)-2,Max_Entry_Count)))="","",MOD(ROWS($D$3:D251)-2,Max_Entry_Count)))</f>
        <v/>
      </c>
      <c r="D251" s="26" t="str">
        <f ca="1">IF(OR($A251&gt;=ROWS(Entries)-2,$B251=""),"",'(1)鑑'!$E$6&amp;"-"&amp;OFFSET('(2)出場選手'!$B$2,$A251,D$1))</f>
        <v/>
      </c>
      <c r="E251" s="26" t="str">
        <f ca="1">IF($D251="","",OFFSET('(2)出場選手'!$B$2,$A251,E$1))</f>
        <v/>
      </c>
      <c r="F251" s="26" t="str">
        <f ca="1">IF($D251="","",IF(OFFSET('(2)出場選手'!$B$2,$A251,F$1)="","",OFFSET('(2)出場選手'!$B$2,$A251,F$1)))</f>
        <v/>
      </c>
      <c r="G251" s="26" t="str">
        <f t="shared" ca="1" si="18"/>
        <v/>
      </c>
      <c r="H251" s="26" t="str">
        <f t="shared" ca="1" si="19"/>
        <v/>
      </c>
      <c r="I251" s="26" t="str">
        <f ca="1">IF($D251="","",IF(OFFSET('(2)出場選手'!$B$2,$A251,I$1)="","",OFFSET('(2)出場選手'!$B$2,$A251,I$1)))</f>
        <v/>
      </c>
      <c r="J251" s="26" t="str">
        <f ca="1">IF($D251="","",IF(OFFSET('(2)出場選手'!$B$2,$A251,J$1)="",'(1)鑑'!$E$6,OFFSET('(2)出場選手'!$B$2,$A251,J$1)))</f>
        <v/>
      </c>
      <c r="K251" s="26" t="str">
        <f ca="1">IF($D251="","",TRIM(ASC(IF(OFFSET('(2)出場選手'!$B$2,$A251,K$1)="",'(1)鑑'!$E$7,OFFSET('(2)出場選手'!$B$2,$A251,K$1)))))</f>
        <v/>
      </c>
      <c r="L251" s="26" t="str">
        <f ca="1">IF($D251="","",SUBSTITUTE(SUBSTITUTE(SUBSTITUTE(IF(OFFSET('(2)出場選手'!$B$2,$A251,L$1)="",'(1)鑑'!$E$8,OFFSET('(2)出場選手'!$B$2,$A251,L$1)),"県",""),"府",""),"東京都","東京"))</f>
        <v/>
      </c>
      <c r="M251" s="57" t="str">
        <f ca="1">IF($D251="","",IF(OFFSET('(2)出場選手'!$B$2,$A251,M$1)="","",OFFSET('(2)出場選手'!$B$2,$A251,M$1)))</f>
        <v/>
      </c>
      <c r="N251" s="26" t="str">
        <f ca="1">IF($D251="","",OFFSET('(2)出場選手'!$B$2,$A251,N$1+3*$B251))</f>
        <v/>
      </c>
      <c r="O251" s="26" t="str">
        <f ca="1">IF($D251="","",IF(OFFSET('(2)出場選手'!$B$2,$A251,O$1+3*$B251)="","",OFFSET('(2)出場選手'!$B$2,$A251,O$1+3*$B251)))</f>
        <v/>
      </c>
      <c r="P251" s="26" t="str">
        <f ca="1">IF($D251="","",IF(OFFSET('(2)出場選手'!$B$2,$A251,P$1+3*$B251)="","",OFFSET('(2)出場選手'!$B$2,$A251,P$1+3*$B251)))</f>
        <v/>
      </c>
      <c r="Q251" s="43" t="str">
        <f ca="1">IF(D251="","",VLOOKUP(N251,OFFSET(Competition_Events,0,1),11,FALSE)*IF($S251="リレー",IF(COUNTIF($T$3:$T251,$T251)&gt;1,0,1),1))</f>
        <v/>
      </c>
      <c r="R251" s="26" t="str">
        <f t="shared" ca="1" si="20"/>
        <v/>
      </c>
      <c r="S251" s="26" t="str">
        <f t="shared" ca="1" si="21"/>
        <v/>
      </c>
      <c r="T251" s="26" t="str">
        <f t="shared" ca="1" si="22"/>
        <v/>
      </c>
      <c r="U251" s="26" t="str">
        <f t="shared" ca="1" si="24"/>
        <v/>
      </c>
      <c r="W251" s="17" t="str">
        <f ca="1">IF($D251="","",OFFSET('(2)出場選手'!$B$2,$A251,W$1))</f>
        <v/>
      </c>
      <c r="X251" s="17" t="str">
        <f ca="1">IF($D251="","",OFFSET('(2)出場選手'!$B$2,$A251,X$1))</f>
        <v/>
      </c>
      <c r="Y251" s="17" t="str">
        <f ca="1">IF($D251="","",OFFSET('(2)出場選手'!$B$2,$A251,Y$1))</f>
        <v/>
      </c>
      <c r="Z251" s="17" t="str">
        <f ca="1">IF($D251="","",OFFSET('(2)出場選手'!$B$2,$A251,Z$1))</f>
        <v/>
      </c>
    </row>
    <row r="252" spans="1:26" x14ac:dyDescent="0.15">
      <c r="A252" s="17">
        <f>TRUNC((ROWS($D$3:D252)-2)/Max_Entry_Count)+1</f>
        <v>83</v>
      </c>
      <c r="B252" s="17" t="str">
        <f ca="1">IF($A252&gt;=ROWS(Entries)-2,"",IF(OFFSET('(2)出場選手'!$B$2,$A252,B$1+3*(MOD(ROWS($D$3:D252)-2,Max_Entry_Count)))="","",MOD(ROWS($D$3:D252)-2,Max_Entry_Count)))</f>
        <v/>
      </c>
      <c r="D252" s="26" t="str">
        <f ca="1">IF(OR($A252&gt;=ROWS(Entries)-2,$B252=""),"",'(1)鑑'!$E$6&amp;"-"&amp;OFFSET('(2)出場選手'!$B$2,$A252,D$1))</f>
        <v/>
      </c>
      <c r="E252" s="26" t="str">
        <f ca="1">IF($D252="","",OFFSET('(2)出場選手'!$B$2,$A252,E$1))</f>
        <v/>
      </c>
      <c r="F252" s="26" t="str">
        <f ca="1">IF($D252="","",IF(OFFSET('(2)出場選手'!$B$2,$A252,F$1)="","",OFFSET('(2)出場選手'!$B$2,$A252,F$1)))</f>
        <v/>
      </c>
      <c r="G252" s="26" t="str">
        <f t="shared" ca="1" si="18"/>
        <v/>
      </c>
      <c r="H252" s="26" t="str">
        <f t="shared" ca="1" si="19"/>
        <v/>
      </c>
      <c r="I252" s="26" t="str">
        <f ca="1">IF($D252="","",IF(OFFSET('(2)出場選手'!$B$2,$A252,I$1)="","",OFFSET('(2)出場選手'!$B$2,$A252,I$1)))</f>
        <v/>
      </c>
      <c r="J252" s="26" t="str">
        <f ca="1">IF($D252="","",IF(OFFSET('(2)出場選手'!$B$2,$A252,J$1)="",'(1)鑑'!$E$6,OFFSET('(2)出場選手'!$B$2,$A252,J$1)))</f>
        <v/>
      </c>
      <c r="K252" s="26" t="str">
        <f ca="1">IF($D252="","",TRIM(ASC(IF(OFFSET('(2)出場選手'!$B$2,$A252,K$1)="",'(1)鑑'!$E$7,OFFSET('(2)出場選手'!$B$2,$A252,K$1)))))</f>
        <v/>
      </c>
      <c r="L252" s="26" t="str">
        <f ca="1">IF($D252="","",SUBSTITUTE(SUBSTITUTE(SUBSTITUTE(IF(OFFSET('(2)出場選手'!$B$2,$A252,L$1)="",'(1)鑑'!$E$8,OFFSET('(2)出場選手'!$B$2,$A252,L$1)),"県",""),"府",""),"東京都","東京"))</f>
        <v/>
      </c>
      <c r="M252" s="57" t="str">
        <f ca="1">IF($D252="","",IF(OFFSET('(2)出場選手'!$B$2,$A252,M$1)="","",OFFSET('(2)出場選手'!$B$2,$A252,M$1)))</f>
        <v/>
      </c>
      <c r="N252" s="26" t="str">
        <f ca="1">IF($D252="","",OFFSET('(2)出場選手'!$B$2,$A252,N$1+3*$B252))</f>
        <v/>
      </c>
      <c r="O252" s="26" t="str">
        <f ca="1">IF($D252="","",IF(OFFSET('(2)出場選手'!$B$2,$A252,O$1+3*$B252)="","",OFFSET('(2)出場選手'!$B$2,$A252,O$1+3*$B252)))</f>
        <v/>
      </c>
      <c r="P252" s="26" t="str">
        <f ca="1">IF($D252="","",IF(OFFSET('(2)出場選手'!$B$2,$A252,P$1+3*$B252)="","",OFFSET('(2)出場選手'!$B$2,$A252,P$1+3*$B252)))</f>
        <v/>
      </c>
      <c r="Q252" s="43" t="str">
        <f ca="1">IF(D252="","",VLOOKUP(N252,OFFSET(Competition_Events,0,1),11,FALSE)*IF($S252="リレー",IF(COUNTIF($T$3:$T252,$T252)&gt;1,0,1),1))</f>
        <v/>
      </c>
      <c r="R252" s="26" t="str">
        <f t="shared" ca="1" si="20"/>
        <v/>
      </c>
      <c r="S252" s="26" t="str">
        <f t="shared" ca="1" si="21"/>
        <v/>
      </c>
      <c r="T252" s="26" t="str">
        <f t="shared" ca="1" si="22"/>
        <v/>
      </c>
      <c r="U252" s="26" t="str">
        <f t="shared" ca="1" si="24"/>
        <v/>
      </c>
      <c r="W252" s="17" t="str">
        <f ca="1">IF($D252="","",OFFSET('(2)出場選手'!$B$2,$A252,W$1))</f>
        <v/>
      </c>
      <c r="X252" s="17" t="str">
        <f ca="1">IF($D252="","",OFFSET('(2)出場選手'!$B$2,$A252,X$1))</f>
        <v/>
      </c>
      <c r="Y252" s="17" t="str">
        <f ca="1">IF($D252="","",OFFSET('(2)出場選手'!$B$2,$A252,Y$1))</f>
        <v/>
      </c>
      <c r="Z252" s="17" t="str">
        <f ca="1">IF($D252="","",OFFSET('(2)出場選手'!$B$2,$A252,Z$1))</f>
        <v/>
      </c>
    </row>
    <row r="253" spans="1:26" x14ac:dyDescent="0.15">
      <c r="A253" s="17">
        <f>TRUNC((ROWS($D$3:D253)-2)/Max_Entry_Count)+1</f>
        <v>84</v>
      </c>
      <c r="B253" s="17" t="str">
        <f ca="1">IF($A253&gt;=ROWS(Entries)-2,"",IF(OFFSET('(2)出場選手'!$B$2,$A253,B$1+3*(MOD(ROWS($D$3:D253)-2,Max_Entry_Count)))="","",MOD(ROWS($D$3:D253)-2,Max_Entry_Count)))</f>
        <v/>
      </c>
      <c r="D253" s="26" t="str">
        <f ca="1">IF(OR($A253&gt;=ROWS(Entries)-2,$B253=""),"",'(1)鑑'!$E$6&amp;"-"&amp;OFFSET('(2)出場選手'!$B$2,$A253,D$1))</f>
        <v/>
      </c>
      <c r="E253" s="26" t="str">
        <f ca="1">IF($D253="","",OFFSET('(2)出場選手'!$B$2,$A253,E$1))</f>
        <v/>
      </c>
      <c r="F253" s="26" t="str">
        <f ca="1">IF($D253="","",IF(OFFSET('(2)出場選手'!$B$2,$A253,F$1)="","",OFFSET('(2)出場選手'!$B$2,$A253,F$1)))</f>
        <v/>
      </c>
      <c r="G253" s="26" t="str">
        <f t="shared" ca="1" si="18"/>
        <v/>
      </c>
      <c r="H253" s="26" t="str">
        <f t="shared" ca="1" si="19"/>
        <v/>
      </c>
      <c r="I253" s="26" t="str">
        <f ca="1">IF($D253="","",IF(OFFSET('(2)出場選手'!$B$2,$A253,I$1)="","",OFFSET('(2)出場選手'!$B$2,$A253,I$1)))</f>
        <v/>
      </c>
      <c r="J253" s="26" t="str">
        <f ca="1">IF($D253="","",IF(OFFSET('(2)出場選手'!$B$2,$A253,J$1)="",'(1)鑑'!$E$6,OFFSET('(2)出場選手'!$B$2,$A253,J$1)))</f>
        <v/>
      </c>
      <c r="K253" s="26" t="str">
        <f ca="1">IF($D253="","",TRIM(ASC(IF(OFFSET('(2)出場選手'!$B$2,$A253,K$1)="",'(1)鑑'!$E$7,OFFSET('(2)出場選手'!$B$2,$A253,K$1)))))</f>
        <v/>
      </c>
      <c r="L253" s="26" t="str">
        <f ca="1">IF($D253="","",SUBSTITUTE(SUBSTITUTE(SUBSTITUTE(IF(OFFSET('(2)出場選手'!$B$2,$A253,L$1)="",'(1)鑑'!$E$8,OFFSET('(2)出場選手'!$B$2,$A253,L$1)),"県",""),"府",""),"東京都","東京"))</f>
        <v/>
      </c>
      <c r="M253" s="57" t="str">
        <f ca="1">IF($D253="","",IF(OFFSET('(2)出場選手'!$B$2,$A253,M$1)="","",OFFSET('(2)出場選手'!$B$2,$A253,M$1)))</f>
        <v/>
      </c>
      <c r="N253" s="26" t="str">
        <f ca="1">IF($D253="","",OFFSET('(2)出場選手'!$B$2,$A253,N$1+3*$B253))</f>
        <v/>
      </c>
      <c r="O253" s="26" t="str">
        <f ca="1">IF($D253="","",IF(OFFSET('(2)出場選手'!$B$2,$A253,O$1+3*$B253)="","",OFFSET('(2)出場選手'!$B$2,$A253,O$1+3*$B253)))</f>
        <v/>
      </c>
      <c r="P253" s="26" t="str">
        <f ca="1">IF($D253="","",IF(OFFSET('(2)出場選手'!$B$2,$A253,P$1+3*$B253)="","",OFFSET('(2)出場選手'!$B$2,$A253,P$1+3*$B253)))</f>
        <v/>
      </c>
      <c r="Q253" s="43" t="str">
        <f ca="1">IF(D253="","",VLOOKUP(N253,OFFSET(Competition_Events,0,1),11,FALSE)*IF($S253="リレー",IF(COUNTIF($T$3:$T253,$T253)&gt;1,0,1),1))</f>
        <v/>
      </c>
      <c r="R253" s="26" t="str">
        <f t="shared" ca="1" si="20"/>
        <v/>
      </c>
      <c r="S253" s="26" t="str">
        <f t="shared" ca="1" si="21"/>
        <v/>
      </c>
      <c r="T253" s="26" t="str">
        <f t="shared" ca="1" si="22"/>
        <v/>
      </c>
      <c r="U253" s="26" t="str">
        <f t="shared" ref="U253:U316" ca="1" si="25">IF($D253="","",IFERROR(CHOOSE(VLOOKUP($R253,Competition_Events,6,FALSE),SUBSTITUTE(O253,"点","")*1,SUBSTITUTE(O253,"m",".")*100,SUBSTITUTE(SUBSTITUTE("0:"&amp;O253,"'",":"),"""",".")/"0:00:00.01"*-1,SUBSTITUTE(O253,"m",".")*100,SUBSTITUTE(SUBSTITUTE(O253,"'",":"),"""",".")/"0:00:00.01"*-1),-8640000))</f>
        <v/>
      </c>
      <c r="W253" s="17" t="str">
        <f ca="1">IF($D253="","",OFFSET('(2)出場選手'!$B$2,$A253,W$1))</f>
        <v/>
      </c>
      <c r="X253" s="17" t="str">
        <f ca="1">IF($D253="","",OFFSET('(2)出場選手'!$B$2,$A253,X$1))</f>
        <v/>
      </c>
      <c r="Y253" s="17" t="str">
        <f ca="1">IF($D253="","",OFFSET('(2)出場選手'!$B$2,$A253,Y$1))</f>
        <v/>
      </c>
      <c r="Z253" s="17" t="str">
        <f ca="1">IF($D253="","",OFFSET('(2)出場選手'!$B$2,$A253,Z$1))</f>
        <v/>
      </c>
    </row>
    <row r="254" spans="1:26" x14ac:dyDescent="0.15">
      <c r="A254" s="17">
        <f>TRUNC((ROWS($D$3:D254)-2)/Max_Entry_Count)+1</f>
        <v>84</v>
      </c>
      <c r="B254" s="17" t="str">
        <f ca="1">IF($A254&gt;=ROWS(Entries)-2,"",IF(OFFSET('(2)出場選手'!$B$2,$A254,B$1+3*(MOD(ROWS($D$3:D254)-2,Max_Entry_Count)))="","",MOD(ROWS($D$3:D254)-2,Max_Entry_Count)))</f>
        <v/>
      </c>
      <c r="D254" s="26" t="str">
        <f ca="1">IF(OR($A254&gt;=ROWS(Entries)-2,$B254=""),"",'(1)鑑'!$E$6&amp;"-"&amp;OFFSET('(2)出場選手'!$B$2,$A254,D$1))</f>
        <v/>
      </c>
      <c r="E254" s="26" t="str">
        <f ca="1">IF($D254="","",OFFSET('(2)出場選手'!$B$2,$A254,E$1))</f>
        <v/>
      </c>
      <c r="F254" s="26" t="str">
        <f ca="1">IF($D254="","",IF(OFFSET('(2)出場選手'!$B$2,$A254,F$1)="","",OFFSET('(2)出場選手'!$B$2,$A254,F$1)))</f>
        <v/>
      </c>
      <c r="G254" s="26" t="str">
        <f t="shared" ca="1" si="18"/>
        <v/>
      </c>
      <c r="H254" s="26" t="str">
        <f t="shared" ca="1" si="19"/>
        <v/>
      </c>
      <c r="I254" s="26" t="str">
        <f ca="1">IF($D254="","",IF(OFFSET('(2)出場選手'!$B$2,$A254,I$1)="","",OFFSET('(2)出場選手'!$B$2,$A254,I$1)))</f>
        <v/>
      </c>
      <c r="J254" s="26" t="str">
        <f ca="1">IF($D254="","",IF(OFFSET('(2)出場選手'!$B$2,$A254,J$1)="",'(1)鑑'!$E$6,OFFSET('(2)出場選手'!$B$2,$A254,J$1)))</f>
        <v/>
      </c>
      <c r="K254" s="26" t="str">
        <f ca="1">IF($D254="","",TRIM(ASC(IF(OFFSET('(2)出場選手'!$B$2,$A254,K$1)="",'(1)鑑'!$E$7,OFFSET('(2)出場選手'!$B$2,$A254,K$1)))))</f>
        <v/>
      </c>
      <c r="L254" s="26" t="str">
        <f ca="1">IF($D254="","",SUBSTITUTE(SUBSTITUTE(SUBSTITUTE(IF(OFFSET('(2)出場選手'!$B$2,$A254,L$1)="",'(1)鑑'!$E$8,OFFSET('(2)出場選手'!$B$2,$A254,L$1)),"県",""),"府",""),"東京都","東京"))</f>
        <v/>
      </c>
      <c r="M254" s="57" t="str">
        <f ca="1">IF($D254="","",IF(OFFSET('(2)出場選手'!$B$2,$A254,M$1)="","",OFFSET('(2)出場選手'!$B$2,$A254,M$1)))</f>
        <v/>
      </c>
      <c r="N254" s="26" t="str">
        <f ca="1">IF($D254="","",OFFSET('(2)出場選手'!$B$2,$A254,N$1+3*$B254))</f>
        <v/>
      </c>
      <c r="O254" s="26" t="str">
        <f ca="1">IF($D254="","",IF(OFFSET('(2)出場選手'!$B$2,$A254,O$1+3*$B254)="","",OFFSET('(2)出場選手'!$B$2,$A254,O$1+3*$B254)))</f>
        <v/>
      </c>
      <c r="P254" s="26" t="str">
        <f ca="1">IF($D254="","",IF(OFFSET('(2)出場選手'!$B$2,$A254,P$1+3*$B254)="","",OFFSET('(2)出場選手'!$B$2,$A254,P$1+3*$B254)))</f>
        <v/>
      </c>
      <c r="Q254" s="43" t="str">
        <f ca="1">IF(D254="","",VLOOKUP(N254,OFFSET(Competition_Events,0,1),11,FALSE)*IF($S254="リレー",IF(COUNTIF($T$3:$T254,$T254)&gt;1,0,1),1))</f>
        <v/>
      </c>
      <c r="R254" s="26" t="str">
        <f t="shared" ca="1" si="20"/>
        <v/>
      </c>
      <c r="S254" s="26" t="str">
        <f t="shared" ca="1" si="21"/>
        <v/>
      </c>
      <c r="T254" s="26" t="str">
        <f t="shared" ca="1" si="22"/>
        <v/>
      </c>
      <c r="U254" s="26" t="str">
        <f t="shared" ca="1" si="25"/>
        <v/>
      </c>
      <c r="W254" s="17" t="str">
        <f ca="1">IF($D254="","",OFFSET('(2)出場選手'!$B$2,$A254,W$1))</f>
        <v/>
      </c>
      <c r="X254" s="17" t="str">
        <f ca="1">IF($D254="","",OFFSET('(2)出場選手'!$B$2,$A254,X$1))</f>
        <v/>
      </c>
      <c r="Y254" s="17" t="str">
        <f ca="1">IF($D254="","",OFFSET('(2)出場選手'!$B$2,$A254,Y$1))</f>
        <v/>
      </c>
      <c r="Z254" s="17" t="str">
        <f ca="1">IF($D254="","",OFFSET('(2)出場選手'!$B$2,$A254,Z$1))</f>
        <v/>
      </c>
    </row>
    <row r="255" spans="1:26" x14ac:dyDescent="0.15">
      <c r="A255" s="17">
        <f>TRUNC((ROWS($D$3:D255)-2)/Max_Entry_Count)+1</f>
        <v>84</v>
      </c>
      <c r="B255" s="17" t="str">
        <f ca="1">IF($A255&gt;=ROWS(Entries)-2,"",IF(OFFSET('(2)出場選手'!$B$2,$A255,B$1+3*(MOD(ROWS($D$3:D255)-2,Max_Entry_Count)))="","",MOD(ROWS($D$3:D255)-2,Max_Entry_Count)))</f>
        <v/>
      </c>
      <c r="D255" s="26" t="str">
        <f ca="1">IF(OR($A255&gt;=ROWS(Entries)-2,$B255=""),"",'(1)鑑'!$E$6&amp;"-"&amp;OFFSET('(2)出場選手'!$B$2,$A255,D$1))</f>
        <v/>
      </c>
      <c r="E255" s="26" t="str">
        <f ca="1">IF($D255="","",OFFSET('(2)出場選手'!$B$2,$A255,E$1))</f>
        <v/>
      </c>
      <c r="F255" s="26" t="str">
        <f ca="1">IF($D255="","",IF(OFFSET('(2)出場選手'!$B$2,$A255,F$1)="","",OFFSET('(2)出場選手'!$B$2,$A255,F$1)))</f>
        <v/>
      </c>
      <c r="G255" s="26" t="str">
        <f t="shared" ca="1" si="18"/>
        <v/>
      </c>
      <c r="H255" s="26" t="str">
        <f t="shared" ca="1" si="19"/>
        <v/>
      </c>
      <c r="I255" s="26" t="str">
        <f ca="1">IF($D255="","",IF(OFFSET('(2)出場選手'!$B$2,$A255,I$1)="","",OFFSET('(2)出場選手'!$B$2,$A255,I$1)))</f>
        <v/>
      </c>
      <c r="J255" s="26" t="str">
        <f ca="1">IF($D255="","",IF(OFFSET('(2)出場選手'!$B$2,$A255,J$1)="",'(1)鑑'!$E$6,OFFSET('(2)出場選手'!$B$2,$A255,J$1)))</f>
        <v/>
      </c>
      <c r="K255" s="26" t="str">
        <f ca="1">IF($D255="","",TRIM(ASC(IF(OFFSET('(2)出場選手'!$B$2,$A255,K$1)="",'(1)鑑'!$E$7,OFFSET('(2)出場選手'!$B$2,$A255,K$1)))))</f>
        <v/>
      </c>
      <c r="L255" s="26" t="str">
        <f ca="1">IF($D255="","",SUBSTITUTE(SUBSTITUTE(SUBSTITUTE(IF(OFFSET('(2)出場選手'!$B$2,$A255,L$1)="",'(1)鑑'!$E$8,OFFSET('(2)出場選手'!$B$2,$A255,L$1)),"県",""),"府",""),"東京都","東京"))</f>
        <v/>
      </c>
      <c r="M255" s="57" t="str">
        <f ca="1">IF($D255="","",IF(OFFSET('(2)出場選手'!$B$2,$A255,M$1)="","",OFFSET('(2)出場選手'!$B$2,$A255,M$1)))</f>
        <v/>
      </c>
      <c r="N255" s="26" t="str">
        <f ca="1">IF($D255="","",OFFSET('(2)出場選手'!$B$2,$A255,N$1+3*$B255))</f>
        <v/>
      </c>
      <c r="O255" s="26" t="str">
        <f ca="1">IF($D255="","",IF(OFFSET('(2)出場選手'!$B$2,$A255,O$1+3*$B255)="","",OFFSET('(2)出場選手'!$B$2,$A255,O$1+3*$B255)))</f>
        <v/>
      </c>
      <c r="P255" s="26" t="str">
        <f ca="1">IF($D255="","",IF(OFFSET('(2)出場選手'!$B$2,$A255,P$1+3*$B255)="","",OFFSET('(2)出場選手'!$B$2,$A255,P$1+3*$B255)))</f>
        <v/>
      </c>
      <c r="Q255" s="43" t="str">
        <f ca="1">IF(D255="","",VLOOKUP(N255,OFFSET(Competition_Events,0,1),11,FALSE)*IF($S255="リレー",IF(COUNTIF($T$3:$T255,$T255)&gt;1,0,1),1))</f>
        <v/>
      </c>
      <c r="R255" s="26" t="str">
        <f t="shared" ca="1" si="20"/>
        <v/>
      </c>
      <c r="S255" s="26" t="str">
        <f t="shared" ca="1" si="21"/>
        <v/>
      </c>
      <c r="T255" s="26" t="str">
        <f t="shared" ca="1" si="22"/>
        <v/>
      </c>
      <c r="U255" s="26" t="str">
        <f t="shared" ca="1" si="25"/>
        <v/>
      </c>
      <c r="W255" s="17" t="str">
        <f ca="1">IF($D255="","",OFFSET('(2)出場選手'!$B$2,$A255,W$1))</f>
        <v/>
      </c>
      <c r="X255" s="17" t="str">
        <f ca="1">IF($D255="","",OFFSET('(2)出場選手'!$B$2,$A255,X$1))</f>
        <v/>
      </c>
      <c r="Y255" s="17" t="str">
        <f ca="1">IF($D255="","",OFFSET('(2)出場選手'!$B$2,$A255,Y$1))</f>
        <v/>
      </c>
      <c r="Z255" s="17" t="str">
        <f ca="1">IF($D255="","",OFFSET('(2)出場選手'!$B$2,$A255,Z$1))</f>
        <v/>
      </c>
    </row>
    <row r="256" spans="1:26" x14ac:dyDescent="0.15">
      <c r="A256" s="17">
        <f>TRUNC((ROWS($D$3:D256)-2)/Max_Entry_Count)+1</f>
        <v>85</v>
      </c>
      <c r="B256" s="17" t="str">
        <f ca="1">IF($A256&gt;=ROWS(Entries)-2,"",IF(OFFSET('(2)出場選手'!$B$2,$A256,B$1+3*(MOD(ROWS($D$3:D256)-2,Max_Entry_Count)))="","",MOD(ROWS($D$3:D256)-2,Max_Entry_Count)))</f>
        <v/>
      </c>
      <c r="D256" s="26" t="str">
        <f ca="1">IF(OR($A256&gt;=ROWS(Entries)-2,$B256=""),"",'(1)鑑'!$E$6&amp;"-"&amp;OFFSET('(2)出場選手'!$B$2,$A256,D$1))</f>
        <v/>
      </c>
      <c r="E256" s="26" t="str">
        <f ca="1">IF($D256="","",OFFSET('(2)出場選手'!$B$2,$A256,E$1))</f>
        <v/>
      </c>
      <c r="F256" s="26" t="str">
        <f ca="1">IF($D256="","",IF(OFFSET('(2)出場選手'!$B$2,$A256,F$1)="","",OFFSET('(2)出場選手'!$B$2,$A256,F$1)))</f>
        <v/>
      </c>
      <c r="G256" s="26" t="str">
        <f t="shared" ca="1" si="18"/>
        <v/>
      </c>
      <c r="H256" s="26" t="str">
        <f t="shared" ca="1" si="19"/>
        <v/>
      </c>
      <c r="I256" s="26" t="str">
        <f ca="1">IF($D256="","",IF(OFFSET('(2)出場選手'!$B$2,$A256,I$1)="","",OFFSET('(2)出場選手'!$B$2,$A256,I$1)))</f>
        <v/>
      </c>
      <c r="J256" s="26" t="str">
        <f ca="1">IF($D256="","",IF(OFFSET('(2)出場選手'!$B$2,$A256,J$1)="",'(1)鑑'!$E$6,OFFSET('(2)出場選手'!$B$2,$A256,J$1)))</f>
        <v/>
      </c>
      <c r="K256" s="26" t="str">
        <f ca="1">IF($D256="","",TRIM(ASC(IF(OFFSET('(2)出場選手'!$B$2,$A256,K$1)="",'(1)鑑'!$E$7,OFFSET('(2)出場選手'!$B$2,$A256,K$1)))))</f>
        <v/>
      </c>
      <c r="L256" s="26" t="str">
        <f ca="1">IF($D256="","",SUBSTITUTE(SUBSTITUTE(SUBSTITUTE(IF(OFFSET('(2)出場選手'!$B$2,$A256,L$1)="",'(1)鑑'!$E$8,OFFSET('(2)出場選手'!$B$2,$A256,L$1)),"県",""),"府",""),"東京都","東京"))</f>
        <v/>
      </c>
      <c r="M256" s="57" t="str">
        <f ca="1">IF($D256="","",IF(OFFSET('(2)出場選手'!$B$2,$A256,M$1)="","",OFFSET('(2)出場選手'!$B$2,$A256,M$1)))</f>
        <v/>
      </c>
      <c r="N256" s="26" t="str">
        <f ca="1">IF($D256="","",OFFSET('(2)出場選手'!$B$2,$A256,N$1+3*$B256))</f>
        <v/>
      </c>
      <c r="O256" s="26" t="str">
        <f ca="1">IF($D256="","",IF(OFFSET('(2)出場選手'!$B$2,$A256,O$1+3*$B256)="","",OFFSET('(2)出場選手'!$B$2,$A256,O$1+3*$B256)))</f>
        <v/>
      </c>
      <c r="P256" s="26" t="str">
        <f ca="1">IF($D256="","",IF(OFFSET('(2)出場選手'!$B$2,$A256,P$1+3*$B256)="","",OFFSET('(2)出場選手'!$B$2,$A256,P$1+3*$B256)))</f>
        <v/>
      </c>
      <c r="Q256" s="43" t="str">
        <f ca="1">IF(D256="","",VLOOKUP(N256,OFFSET(Competition_Events,0,1),11,FALSE)*IF($S256="リレー",IF(COUNTIF($T$3:$T256,$T256)&gt;1,0,1),1))</f>
        <v/>
      </c>
      <c r="R256" s="26" t="str">
        <f t="shared" ca="1" si="20"/>
        <v/>
      </c>
      <c r="S256" s="26" t="str">
        <f t="shared" ca="1" si="21"/>
        <v/>
      </c>
      <c r="T256" s="26" t="str">
        <f t="shared" ca="1" si="22"/>
        <v/>
      </c>
      <c r="U256" s="26" t="str">
        <f t="shared" ca="1" si="25"/>
        <v/>
      </c>
      <c r="W256" s="17" t="str">
        <f ca="1">IF($D256="","",OFFSET('(2)出場選手'!$B$2,$A256,W$1))</f>
        <v/>
      </c>
      <c r="X256" s="17" t="str">
        <f ca="1">IF($D256="","",OFFSET('(2)出場選手'!$B$2,$A256,X$1))</f>
        <v/>
      </c>
      <c r="Y256" s="17" t="str">
        <f ca="1">IF($D256="","",OFFSET('(2)出場選手'!$B$2,$A256,Y$1))</f>
        <v/>
      </c>
      <c r="Z256" s="17" t="str">
        <f ca="1">IF($D256="","",OFFSET('(2)出場選手'!$B$2,$A256,Z$1))</f>
        <v/>
      </c>
    </row>
    <row r="257" spans="1:26" x14ac:dyDescent="0.15">
      <c r="A257" s="17">
        <f>TRUNC((ROWS($D$3:D257)-2)/Max_Entry_Count)+1</f>
        <v>85</v>
      </c>
      <c r="B257" s="17" t="str">
        <f ca="1">IF($A257&gt;=ROWS(Entries)-2,"",IF(OFFSET('(2)出場選手'!$B$2,$A257,B$1+3*(MOD(ROWS($D$3:D257)-2,Max_Entry_Count)))="","",MOD(ROWS($D$3:D257)-2,Max_Entry_Count)))</f>
        <v/>
      </c>
      <c r="D257" s="26" t="str">
        <f ca="1">IF(OR($A257&gt;=ROWS(Entries)-2,$B257=""),"",'(1)鑑'!$E$6&amp;"-"&amp;OFFSET('(2)出場選手'!$B$2,$A257,D$1))</f>
        <v/>
      </c>
      <c r="E257" s="26" t="str">
        <f ca="1">IF($D257="","",OFFSET('(2)出場選手'!$B$2,$A257,E$1))</f>
        <v/>
      </c>
      <c r="F257" s="26" t="str">
        <f ca="1">IF($D257="","",IF(OFFSET('(2)出場選手'!$B$2,$A257,F$1)="","",OFFSET('(2)出場選手'!$B$2,$A257,F$1)))</f>
        <v/>
      </c>
      <c r="G257" s="26" t="str">
        <f t="shared" ca="1" si="18"/>
        <v/>
      </c>
      <c r="H257" s="26" t="str">
        <f t="shared" ca="1" si="19"/>
        <v/>
      </c>
      <c r="I257" s="26" t="str">
        <f ca="1">IF($D257="","",IF(OFFSET('(2)出場選手'!$B$2,$A257,I$1)="","",OFFSET('(2)出場選手'!$B$2,$A257,I$1)))</f>
        <v/>
      </c>
      <c r="J257" s="26" t="str">
        <f ca="1">IF($D257="","",IF(OFFSET('(2)出場選手'!$B$2,$A257,J$1)="",'(1)鑑'!$E$6,OFFSET('(2)出場選手'!$B$2,$A257,J$1)))</f>
        <v/>
      </c>
      <c r="K257" s="26" t="str">
        <f ca="1">IF($D257="","",TRIM(ASC(IF(OFFSET('(2)出場選手'!$B$2,$A257,K$1)="",'(1)鑑'!$E$7,OFFSET('(2)出場選手'!$B$2,$A257,K$1)))))</f>
        <v/>
      </c>
      <c r="L257" s="26" t="str">
        <f ca="1">IF($D257="","",SUBSTITUTE(SUBSTITUTE(SUBSTITUTE(IF(OFFSET('(2)出場選手'!$B$2,$A257,L$1)="",'(1)鑑'!$E$8,OFFSET('(2)出場選手'!$B$2,$A257,L$1)),"県",""),"府",""),"東京都","東京"))</f>
        <v/>
      </c>
      <c r="M257" s="57" t="str">
        <f ca="1">IF($D257="","",IF(OFFSET('(2)出場選手'!$B$2,$A257,M$1)="","",OFFSET('(2)出場選手'!$B$2,$A257,M$1)))</f>
        <v/>
      </c>
      <c r="N257" s="26" t="str">
        <f ca="1">IF($D257="","",OFFSET('(2)出場選手'!$B$2,$A257,N$1+3*$B257))</f>
        <v/>
      </c>
      <c r="O257" s="26" t="str">
        <f ca="1">IF($D257="","",IF(OFFSET('(2)出場選手'!$B$2,$A257,O$1+3*$B257)="","",OFFSET('(2)出場選手'!$B$2,$A257,O$1+3*$B257)))</f>
        <v/>
      </c>
      <c r="P257" s="26" t="str">
        <f ca="1">IF($D257="","",IF(OFFSET('(2)出場選手'!$B$2,$A257,P$1+3*$B257)="","",OFFSET('(2)出場選手'!$B$2,$A257,P$1+3*$B257)))</f>
        <v/>
      </c>
      <c r="Q257" s="43" t="str">
        <f ca="1">IF(D257="","",VLOOKUP(N257,OFFSET(Competition_Events,0,1),11,FALSE)*IF($S257="リレー",IF(COUNTIF($T$3:$T257,$T257)&gt;1,0,1),1))</f>
        <v/>
      </c>
      <c r="R257" s="26" t="str">
        <f t="shared" ca="1" si="20"/>
        <v/>
      </c>
      <c r="S257" s="26" t="str">
        <f t="shared" ca="1" si="21"/>
        <v/>
      </c>
      <c r="T257" s="26" t="str">
        <f t="shared" ca="1" si="22"/>
        <v/>
      </c>
      <c r="U257" s="26" t="str">
        <f t="shared" ca="1" si="25"/>
        <v/>
      </c>
      <c r="W257" s="17" t="str">
        <f ca="1">IF($D257="","",OFFSET('(2)出場選手'!$B$2,$A257,W$1))</f>
        <v/>
      </c>
      <c r="X257" s="17" t="str">
        <f ca="1">IF($D257="","",OFFSET('(2)出場選手'!$B$2,$A257,X$1))</f>
        <v/>
      </c>
      <c r="Y257" s="17" t="str">
        <f ca="1">IF($D257="","",OFFSET('(2)出場選手'!$B$2,$A257,Y$1))</f>
        <v/>
      </c>
      <c r="Z257" s="17" t="str">
        <f ca="1">IF($D257="","",OFFSET('(2)出場選手'!$B$2,$A257,Z$1))</f>
        <v/>
      </c>
    </row>
    <row r="258" spans="1:26" x14ac:dyDescent="0.15">
      <c r="A258" s="17">
        <f>TRUNC((ROWS($D$3:D258)-2)/Max_Entry_Count)+1</f>
        <v>85</v>
      </c>
      <c r="B258" s="17" t="str">
        <f ca="1">IF($A258&gt;=ROWS(Entries)-2,"",IF(OFFSET('(2)出場選手'!$B$2,$A258,B$1+3*(MOD(ROWS($D$3:D258)-2,Max_Entry_Count)))="","",MOD(ROWS($D$3:D258)-2,Max_Entry_Count)))</f>
        <v/>
      </c>
      <c r="D258" s="26" t="str">
        <f ca="1">IF(OR($A258&gt;=ROWS(Entries)-2,$B258=""),"",'(1)鑑'!$E$6&amp;"-"&amp;OFFSET('(2)出場選手'!$B$2,$A258,D$1))</f>
        <v/>
      </c>
      <c r="E258" s="26" t="str">
        <f ca="1">IF($D258="","",OFFSET('(2)出場選手'!$B$2,$A258,E$1))</f>
        <v/>
      </c>
      <c r="F258" s="26" t="str">
        <f ca="1">IF($D258="","",IF(OFFSET('(2)出場選手'!$B$2,$A258,F$1)="","",OFFSET('(2)出場選手'!$B$2,$A258,F$1)))</f>
        <v/>
      </c>
      <c r="G258" s="26" t="str">
        <f t="shared" ca="1" si="18"/>
        <v/>
      </c>
      <c r="H258" s="26" t="str">
        <f t="shared" ca="1" si="19"/>
        <v/>
      </c>
      <c r="I258" s="26" t="str">
        <f ca="1">IF($D258="","",IF(OFFSET('(2)出場選手'!$B$2,$A258,I$1)="","",OFFSET('(2)出場選手'!$B$2,$A258,I$1)))</f>
        <v/>
      </c>
      <c r="J258" s="26" t="str">
        <f ca="1">IF($D258="","",IF(OFFSET('(2)出場選手'!$B$2,$A258,J$1)="",'(1)鑑'!$E$6,OFFSET('(2)出場選手'!$B$2,$A258,J$1)))</f>
        <v/>
      </c>
      <c r="K258" s="26" t="str">
        <f ca="1">IF($D258="","",TRIM(ASC(IF(OFFSET('(2)出場選手'!$B$2,$A258,K$1)="",'(1)鑑'!$E$7,OFFSET('(2)出場選手'!$B$2,$A258,K$1)))))</f>
        <v/>
      </c>
      <c r="L258" s="26" t="str">
        <f ca="1">IF($D258="","",SUBSTITUTE(SUBSTITUTE(SUBSTITUTE(IF(OFFSET('(2)出場選手'!$B$2,$A258,L$1)="",'(1)鑑'!$E$8,OFFSET('(2)出場選手'!$B$2,$A258,L$1)),"県",""),"府",""),"東京都","東京"))</f>
        <v/>
      </c>
      <c r="M258" s="57" t="str">
        <f ca="1">IF($D258="","",IF(OFFSET('(2)出場選手'!$B$2,$A258,M$1)="","",OFFSET('(2)出場選手'!$B$2,$A258,M$1)))</f>
        <v/>
      </c>
      <c r="N258" s="26" t="str">
        <f ca="1">IF($D258="","",OFFSET('(2)出場選手'!$B$2,$A258,N$1+3*$B258))</f>
        <v/>
      </c>
      <c r="O258" s="26" t="str">
        <f ca="1">IF($D258="","",IF(OFFSET('(2)出場選手'!$B$2,$A258,O$1+3*$B258)="","",OFFSET('(2)出場選手'!$B$2,$A258,O$1+3*$B258)))</f>
        <v/>
      </c>
      <c r="P258" s="26" t="str">
        <f ca="1">IF($D258="","",IF(OFFSET('(2)出場選手'!$B$2,$A258,P$1+3*$B258)="","",OFFSET('(2)出場選手'!$B$2,$A258,P$1+3*$B258)))</f>
        <v/>
      </c>
      <c r="Q258" s="43" t="str">
        <f ca="1">IF(D258="","",VLOOKUP(N258,OFFSET(Competition_Events,0,1),11,FALSE)*IF($S258="リレー",IF(COUNTIF($T$3:$T258,$T258)&gt;1,0,1),1))</f>
        <v/>
      </c>
      <c r="R258" s="26" t="str">
        <f t="shared" ca="1" si="20"/>
        <v/>
      </c>
      <c r="S258" s="26" t="str">
        <f t="shared" ca="1" si="21"/>
        <v/>
      </c>
      <c r="T258" s="26" t="str">
        <f t="shared" ca="1" si="22"/>
        <v/>
      </c>
      <c r="U258" s="26" t="str">
        <f t="shared" ca="1" si="25"/>
        <v/>
      </c>
      <c r="W258" s="17" t="str">
        <f ca="1">IF($D258="","",OFFSET('(2)出場選手'!$B$2,$A258,W$1))</f>
        <v/>
      </c>
      <c r="X258" s="17" t="str">
        <f ca="1">IF($D258="","",OFFSET('(2)出場選手'!$B$2,$A258,X$1))</f>
        <v/>
      </c>
      <c r="Y258" s="17" t="str">
        <f ca="1">IF($D258="","",OFFSET('(2)出場選手'!$B$2,$A258,Y$1))</f>
        <v/>
      </c>
      <c r="Z258" s="17" t="str">
        <f ca="1">IF($D258="","",OFFSET('(2)出場選手'!$B$2,$A258,Z$1))</f>
        <v/>
      </c>
    </row>
    <row r="259" spans="1:26" x14ac:dyDescent="0.15">
      <c r="A259" s="17">
        <f>TRUNC((ROWS($D$3:D259)-2)/Max_Entry_Count)+1</f>
        <v>86</v>
      </c>
      <c r="B259" s="17" t="str">
        <f ca="1">IF($A259&gt;=ROWS(Entries)-2,"",IF(OFFSET('(2)出場選手'!$B$2,$A259,B$1+3*(MOD(ROWS($D$3:D259)-2,Max_Entry_Count)))="","",MOD(ROWS($D$3:D259)-2,Max_Entry_Count)))</f>
        <v/>
      </c>
      <c r="D259" s="26" t="str">
        <f ca="1">IF(OR($A259&gt;=ROWS(Entries)-2,$B259=""),"",'(1)鑑'!$E$6&amp;"-"&amp;OFFSET('(2)出場選手'!$B$2,$A259,D$1))</f>
        <v/>
      </c>
      <c r="E259" s="26" t="str">
        <f ca="1">IF($D259="","",OFFSET('(2)出場選手'!$B$2,$A259,E$1))</f>
        <v/>
      </c>
      <c r="F259" s="26" t="str">
        <f ca="1">IF($D259="","",IF(OFFSET('(2)出場選手'!$B$2,$A259,F$1)="","",OFFSET('(2)出場選手'!$B$2,$A259,F$1)))</f>
        <v/>
      </c>
      <c r="G259" s="26" t="str">
        <f t="shared" ca="1" si="18"/>
        <v/>
      </c>
      <c r="H259" s="26" t="str">
        <f t="shared" ca="1" si="19"/>
        <v/>
      </c>
      <c r="I259" s="26" t="str">
        <f ca="1">IF($D259="","",IF(OFFSET('(2)出場選手'!$B$2,$A259,I$1)="","",OFFSET('(2)出場選手'!$B$2,$A259,I$1)))</f>
        <v/>
      </c>
      <c r="J259" s="26" t="str">
        <f ca="1">IF($D259="","",IF(OFFSET('(2)出場選手'!$B$2,$A259,J$1)="",'(1)鑑'!$E$6,OFFSET('(2)出場選手'!$B$2,$A259,J$1)))</f>
        <v/>
      </c>
      <c r="K259" s="26" t="str">
        <f ca="1">IF($D259="","",TRIM(ASC(IF(OFFSET('(2)出場選手'!$B$2,$A259,K$1)="",'(1)鑑'!$E$7,OFFSET('(2)出場選手'!$B$2,$A259,K$1)))))</f>
        <v/>
      </c>
      <c r="L259" s="26" t="str">
        <f ca="1">IF($D259="","",SUBSTITUTE(SUBSTITUTE(SUBSTITUTE(IF(OFFSET('(2)出場選手'!$B$2,$A259,L$1)="",'(1)鑑'!$E$8,OFFSET('(2)出場選手'!$B$2,$A259,L$1)),"県",""),"府",""),"東京都","東京"))</f>
        <v/>
      </c>
      <c r="M259" s="57" t="str">
        <f ca="1">IF($D259="","",IF(OFFSET('(2)出場選手'!$B$2,$A259,M$1)="","",OFFSET('(2)出場選手'!$B$2,$A259,M$1)))</f>
        <v/>
      </c>
      <c r="N259" s="26" t="str">
        <f ca="1">IF($D259="","",OFFSET('(2)出場選手'!$B$2,$A259,N$1+3*$B259))</f>
        <v/>
      </c>
      <c r="O259" s="26" t="str">
        <f ca="1">IF($D259="","",IF(OFFSET('(2)出場選手'!$B$2,$A259,O$1+3*$B259)="","",OFFSET('(2)出場選手'!$B$2,$A259,O$1+3*$B259)))</f>
        <v/>
      </c>
      <c r="P259" s="26" t="str">
        <f ca="1">IF($D259="","",IF(OFFSET('(2)出場選手'!$B$2,$A259,P$1+3*$B259)="","",OFFSET('(2)出場選手'!$B$2,$A259,P$1+3*$B259)))</f>
        <v/>
      </c>
      <c r="Q259" s="43" t="str">
        <f ca="1">IF(D259="","",VLOOKUP(N259,OFFSET(Competition_Events,0,1),11,FALSE)*IF($S259="リレー",IF(COUNTIF($T$3:$T259,$T259)&gt;1,0,1),1))</f>
        <v/>
      </c>
      <c r="R259" s="26" t="str">
        <f t="shared" ca="1" si="20"/>
        <v/>
      </c>
      <c r="S259" s="26" t="str">
        <f t="shared" ca="1" si="21"/>
        <v/>
      </c>
      <c r="T259" s="26" t="str">
        <f t="shared" ca="1" si="22"/>
        <v/>
      </c>
      <c r="U259" s="26" t="str">
        <f t="shared" ca="1" si="25"/>
        <v/>
      </c>
      <c r="W259" s="17" t="str">
        <f ca="1">IF($D259="","",OFFSET('(2)出場選手'!$B$2,$A259,W$1))</f>
        <v/>
      </c>
      <c r="X259" s="17" t="str">
        <f ca="1">IF($D259="","",OFFSET('(2)出場選手'!$B$2,$A259,X$1))</f>
        <v/>
      </c>
      <c r="Y259" s="17" t="str">
        <f ca="1">IF($D259="","",OFFSET('(2)出場選手'!$B$2,$A259,Y$1))</f>
        <v/>
      </c>
      <c r="Z259" s="17" t="str">
        <f ca="1">IF($D259="","",OFFSET('(2)出場選手'!$B$2,$A259,Z$1))</f>
        <v/>
      </c>
    </row>
    <row r="260" spans="1:26" x14ac:dyDescent="0.15">
      <c r="A260" s="17">
        <f>TRUNC((ROWS($D$3:D260)-2)/Max_Entry_Count)+1</f>
        <v>86</v>
      </c>
      <c r="B260" s="17" t="str">
        <f ca="1">IF($A260&gt;=ROWS(Entries)-2,"",IF(OFFSET('(2)出場選手'!$B$2,$A260,B$1+3*(MOD(ROWS($D$3:D260)-2,Max_Entry_Count)))="","",MOD(ROWS($D$3:D260)-2,Max_Entry_Count)))</f>
        <v/>
      </c>
      <c r="D260" s="26" t="str">
        <f ca="1">IF(OR($A260&gt;=ROWS(Entries)-2,$B260=""),"",'(1)鑑'!$E$6&amp;"-"&amp;OFFSET('(2)出場選手'!$B$2,$A260,D$1))</f>
        <v/>
      </c>
      <c r="E260" s="26" t="str">
        <f ca="1">IF($D260="","",OFFSET('(2)出場選手'!$B$2,$A260,E$1))</f>
        <v/>
      </c>
      <c r="F260" s="26" t="str">
        <f ca="1">IF($D260="","",IF(OFFSET('(2)出場選手'!$B$2,$A260,F$1)="","",OFFSET('(2)出場選手'!$B$2,$A260,F$1)))</f>
        <v/>
      </c>
      <c r="G260" s="26" t="str">
        <f t="shared" ca="1" si="18"/>
        <v/>
      </c>
      <c r="H260" s="26" t="str">
        <f t="shared" ref="H260:H323" ca="1" si="26">IF($D260="","",ASC(TRIM($Y260)&amp;"　"&amp;TRIM($Z260)))</f>
        <v/>
      </c>
      <c r="I260" s="26" t="str">
        <f ca="1">IF($D260="","",IF(OFFSET('(2)出場選手'!$B$2,$A260,I$1)="","",OFFSET('(2)出場選手'!$B$2,$A260,I$1)))</f>
        <v/>
      </c>
      <c r="J260" s="26" t="str">
        <f ca="1">IF($D260="","",IF(OFFSET('(2)出場選手'!$B$2,$A260,J$1)="",'(1)鑑'!$E$6,OFFSET('(2)出場選手'!$B$2,$A260,J$1)))</f>
        <v/>
      </c>
      <c r="K260" s="26" t="str">
        <f ca="1">IF($D260="","",TRIM(ASC(IF(OFFSET('(2)出場選手'!$B$2,$A260,K$1)="",'(1)鑑'!$E$7,OFFSET('(2)出場選手'!$B$2,$A260,K$1)))))</f>
        <v/>
      </c>
      <c r="L260" s="26" t="str">
        <f ca="1">IF($D260="","",SUBSTITUTE(SUBSTITUTE(SUBSTITUTE(IF(OFFSET('(2)出場選手'!$B$2,$A260,L$1)="",'(1)鑑'!$E$8,OFFSET('(2)出場選手'!$B$2,$A260,L$1)),"県",""),"府",""),"東京都","東京"))</f>
        <v/>
      </c>
      <c r="M260" s="57" t="str">
        <f ca="1">IF($D260="","",IF(OFFSET('(2)出場選手'!$B$2,$A260,M$1)="","",OFFSET('(2)出場選手'!$B$2,$A260,M$1)))</f>
        <v/>
      </c>
      <c r="N260" s="26" t="str">
        <f ca="1">IF($D260="","",OFFSET('(2)出場選手'!$B$2,$A260,N$1+3*$B260))</f>
        <v/>
      </c>
      <c r="O260" s="26" t="str">
        <f ca="1">IF($D260="","",IF(OFFSET('(2)出場選手'!$B$2,$A260,O$1+3*$B260)="","",OFFSET('(2)出場選手'!$B$2,$A260,O$1+3*$B260)))</f>
        <v/>
      </c>
      <c r="P260" s="26" t="str">
        <f ca="1">IF($D260="","",IF(OFFSET('(2)出場選手'!$B$2,$A260,P$1+3*$B260)="","",OFFSET('(2)出場選手'!$B$2,$A260,P$1+3*$B260)))</f>
        <v/>
      </c>
      <c r="Q260" s="43" t="str">
        <f ca="1">IF(D260="","",VLOOKUP(N260,OFFSET(Competition_Events,0,1),11,FALSE)*IF($S260="リレー",IF(COUNTIF($T$3:$T260,$T260)&gt;1,0,1),1))</f>
        <v/>
      </c>
      <c r="R260" s="26" t="str">
        <f t="shared" ca="1" si="20"/>
        <v/>
      </c>
      <c r="S260" s="26" t="str">
        <f t="shared" ca="1" si="21"/>
        <v/>
      </c>
      <c r="T260" s="26" t="str">
        <f t="shared" ca="1" si="22"/>
        <v/>
      </c>
      <c r="U260" s="26" t="str">
        <f t="shared" ca="1" si="25"/>
        <v/>
      </c>
      <c r="W260" s="17" t="str">
        <f ca="1">IF($D260="","",OFFSET('(2)出場選手'!$B$2,$A260,W$1))</f>
        <v/>
      </c>
      <c r="X260" s="17" t="str">
        <f ca="1">IF($D260="","",OFFSET('(2)出場選手'!$B$2,$A260,X$1))</f>
        <v/>
      </c>
      <c r="Y260" s="17" t="str">
        <f ca="1">IF($D260="","",OFFSET('(2)出場選手'!$B$2,$A260,Y$1))</f>
        <v/>
      </c>
      <c r="Z260" s="17" t="str">
        <f ca="1">IF($D260="","",OFFSET('(2)出場選手'!$B$2,$A260,Z$1))</f>
        <v/>
      </c>
    </row>
    <row r="261" spans="1:26" x14ac:dyDescent="0.15">
      <c r="A261" s="17">
        <f>TRUNC((ROWS($D$3:D261)-2)/Max_Entry_Count)+1</f>
        <v>86</v>
      </c>
      <c r="B261" s="17" t="str">
        <f ca="1">IF($A261&gt;=ROWS(Entries)-2,"",IF(OFFSET('(2)出場選手'!$B$2,$A261,B$1+3*(MOD(ROWS($D$3:D261)-2,Max_Entry_Count)))="","",MOD(ROWS($D$3:D261)-2,Max_Entry_Count)))</f>
        <v/>
      </c>
      <c r="D261" s="26" t="str">
        <f ca="1">IF(OR($A261&gt;=ROWS(Entries)-2,$B261=""),"",'(1)鑑'!$E$6&amp;"-"&amp;OFFSET('(2)出場選手'!$B$2,$A261,D$1))</f>
        <v/>
      </c>
      <c r="E261" s="26" t="str">
        <f ca="1">IF($D261="","",OFFSET('(2)出場選手'!$B$2,$A261,E$1))</f>
        <v/>
      </c>
      <c r="F261" s="26" t="str">
        <f ca="1">IF($D261="","",IF(OFFSET('(2)出場選手'!$B$2,$A261,F$1)="","",OFFSET('(2)出場選手'!$B$2,$A261,F$1)))</f>
        <v/>
      </c>
      <c r="G261" s="26" t="str">
        <f t="shared" ca="1" si="18"/>
        <v/>
      </c>
      <c r="H261" s="26" t="str">
        <f t="shared" ca="1" si="26"/>
        <v/>
      </c>
      <c r="I261" s="26" t="str">
        <f ca="1">IF($D261="","",IF(OFFSET('(2)出場選手'!$B$2,$A261,I$1)="","",OFFSET('(2)出場選手'!$B$2,$A261,I$1)))</f>
        <v/>
      </c>
      <c r="J261" s="26" t="str">
        <f ca="1">IF($D261="","",IF(OFFSET('(2)出場選手'!$B$2,$A261,J$1)="",'(1)鑑'!$E$6,OFFSET('(2)出場選手'!$B$2,$A261,J$1)))</f>
        <v/>
      </c>
      <c r="K261" s="26" t="str">
        <f ca="1">IF($D261="","",TRIM(ASC(IF(OFFSET('(2)出場選手'!$B$2,$A261,K$1)="",'(1)鑑'!$E$7,OFFSET('(2)出場選手'!$B$2,$A261,K$1)))))</f>
        <v/>
      </c>
      <c r="L261" s="26" t="str">
        <f ca="1">IF($D261="","",SUBSTITUTE(SUBSTITUTE(SUBSTITUTE(IF(OFFSET('(2)出場選手'!$B$2,$A261,L$1)="",'(1)鑑'!$E$8,OFFSET('(2)出場選手'!$B$2,$A261,L$1)),"県",""),"府",""),"東京都","東京"))</f>
        <v/>
      </c>
      <c r="M261" s="57" t="str">
        <f ca="1">IF($D261="","",IF(OFFSET('(2)出場選手'!$B$2,$A261,M$1)="","",OFFSET('(2)出場選手'!$B$2,$A261,M$1)))</f>
        <v/>
      </c>
      <c r="N261" s="26" t="str">
        <f ca="1">IF($D261="","",OFFSET('(2)出場選手'!$B$2,$A261,N$1+3*$B261))</f>
        <v/>
      </c>
      <c r="O261" s="26" t="str">
        <f ca="1">IF($D261="","",IF(OFFSET('(2)出場選手'!$B$2,$A261,O$1+3*$B261)="","",OFFSET('(2)出場選手'!$B$2,$A261,O$1+3*$B261)))</f>
        <v/>
      </c>
      <c r="P261" s="26" t="str">
        <f ca="1">IF($D261="","",IF(OFFSET('(2)出場選手'!$B$2,$A261,P$1+3*$B261)="","",OFFSET('(2)出場選手'!$B$2,$A261,P$1+3*$B261)))</f>
        <v/>
      </c>
      <c r="Q261" s="43" t="str">
        <f ca="1">IF(D261="","",VLOOKUP(N261,OFFSET(Competition_Events,0,1),11,FALSE)*IF($S261="リレー",IF(COUNTIF($T$3:$T261,$T261)&gt;1,0,1),1))</f>
        <v/>
      </c>
      <c r="R261" s="26" t="str">
        <f t="shared" ca="1" si="20"/>
        <v/>
      </c>
      <c r="S261" s="26" t="str">
        <f t="shared" ca="1" si="21"/>
        <v/>
      </c>
      <c r="T261" s="26" t="str">
        <f t="shared" ca="1" si="22"/>
        <v/>
      </c>
      <c r="U261" s="26" t="str">
        <f t="shared" ca="1" si="25"/>
        <v/>
      </c>
      <c r="W261" s="17" t="str">
        <f ca="1">IF($D261="","",OFFSET('(2)出場選手'!$B$2,$A261,W$1))</f>
        <v/>
      </c>
      <c r="X261" s="17" t="str">
        <f ca="1">IF($D261="","",OFFSET('(2)出場選手'!$B$2,$A261,X$1))</f>
        <v/>
      </c>
      <c r="Y261" s="17" t="str">
        <f ca="1">IF($D261="","",OFFSET('(2)出場選手'!$B$2,$A261,Y$1))</f>
        <v/>
      </c>
      <c r="Z261" s="17" t="str">
        <f ca="1">IF($D261="","",OFFSET('(2)出場選手'!$B$2,$A261,Z$1))</f>
        <v/>
      </c>
    </row>
    <row r="262" spans="1:26" x14ac:dyDescent="0.15">
      <c r="A262" s="17">
        <f>TRUNC((ROWS($D$3:D262)-2)/Max_Entry_Count)+1</f>
        <v>87</v>
      </c>
      <c r="B262" s="17" t="str">
        <f ca="1">IF($A262&gt;=ROWS(Entries)-2,"",IF(OFFSET('(2)出場選手'!$B$2,$A262,B$1+3*(MOD(ROWS($D$3:D262)-2,Max_Entry_Count)))="","",MOD(ROWS($D$3:D262)-2,Max_Entry_Count)))</f>
        <v/>
      </c>
      <c r="D262" s="26" t="str">
        <f ca="1">IF(OR($A262&gt;=ROWS(Entries)-2,$B262=""),"",'(1)鑑'!$E$6&amp;"-"&amp;OFFSET('(2)出場選手'!$B$2,$A262,D$1))</f>
        <v/>
      </c>
      <c r="E262" s="26" t="str">
        <f ca="1">IF($D262="","",OFFSET('(2)出場選手'!$B$2,$A262,E$1))</f>
        <v/>
      </c>
      <c r="F262" s="26" t="str">
        <f ca="1">IF($D262="","",IF(OFFSET('(2)出場選手'!$B$2,$A262,F$1)="","",OFFSET('(2)出場選手'!$B$2,$A262,F$1)))</f>
        <v/>
      </c>
      <c r="G262" s="26" t="str">
        <f t="shared" ca="1" si="18"/>
        <v/>
      </c>
      <c r="H262" s="26" t="str">
        <f t="shared" ca="1" si="26"/>
        <v/>
      </c>
      <c r="I262" s="26" t="str">
        <f ca="1">IF($D262="","",IF(OFFSET('(2)出場選手'!$B$2,$A262,I$1)="","",OFFSET('(2)出場選手'!$B$2,$A262,I$1)))</f>
        <v/>
      </c>
      <c r="J262" s="26" t="str">
        <f ca="1">IF($D262="","",IF(OFFSET('(2)出場選手'!$B$2,$A262,J$1)="",'(1)鑑'!$E$6,OFFSET('(2)出場選手'!$B$2,$A262,J$1)))</f>
        <v/>
      </c>
      <c r="K262" s="26" t="str">
        <f ca="1">IF($D262="","",TRIM(ASC(IF(OFFSET('(2)出場選手'!$B$2,$A262,K$1)="",'(1)鑑'!$E$7,OFFSET('(2)出場選手'!$B$2,$A262,K$1)))))</f>
        <v/>
      </c>
      <c r="L262" s="26" t="str">
        <f ca="1">IF($D262="","",SUBSTITUTE(SUBSTITUTE(SUBSTITUTE(IF(OFFSET('(2)出場選手'!$B$2,$A262,L$1)="",'(1)鑑'!$E$8,OFFSET('(2)出場選手'!$B$2,$A262,L$1)),"県",""),"府",""),"東京都","東京"))</f>
        <v/>
      </c>
      <c r="M262" s="57" t="str">
        <f ca="1">IF($D262="","",IF(OFFSET('(2)出場選手'!$B$2,$A262,M$1)="","",OFFSET('(2)出場選手'!$B$2,$A262,M$1)))</f>
        <v/>
      </c>
      <c r="N262" s="26" t="str">
        <f ca="1">IF($D262="","",OFFSET('(2)出場選手'!$B$2,$A262,N$1+3*$B262))</f>
        <v/>
      </c>
      <c r="O262" s="26" t="str">
        <f ca="1">IF($D262="","",IF(OFFSET('(2)出場選手'!$B$2,$A262,O$1+3*$B262)="","",OFFSET('(2)出場選手'!$B$2,$A262,O$1+3*$B262)))</f>
        <v/>
      </c>
      <c r="P262" s="26" t="str">
        <f ca="1">IF($D262="","",IF(OFFSET('(2)出場選手'!$B$2,$A262,P$1+3*$B262)="","",OFFSET('(2)出場選手'!$B$2,$A262,P$1+3*$B262)))</f>
        <v/>
      </c>
      <c r="Q262" s="43" t="str">
        <f ca="1">IF(D262="","",VLOOKUP(N262,OFFSET(Competition_Events,0,1),11,FALSE)*IF($S262="リレー",IF(COUNTIF($T$3:$T262,$T262)&gt;1,0,1),1))</f>
        <v/>
      </c>
      <c r="R262" s="26" t="str">
        <f t="shared" ca="1" si="20"/>
        <v/>
      </c>
      <c r="S262" s="26" t="str">
        <f t="shared" ca="1" si="21"/>
        <v/>
      </c>
      <c r="T262" s="26" t="str">
        <f t="shared" ca="1" si="22"/>
        <v/>
      </c>
      <c r="U262" s="26" t="str">
        <f t="shared" ca="1" si="25"/>
        <v/>
      </c>
      <c r="W262" s="17" t="str">
        <f ca="1">IF($D262="","",OFFSET('(2)出場選手'!$B$2,$A262,W$1))</f>
        <v/>
      </c>
      <c r="X262" s="17" t="str">
        <f ca="1">IF($D262="","",OFFSET('(2)出場選手'!$B$2,$A262,X$1))</f>
        <v/>
      </c>
      <c r="Y262" s="17" t="str">
        <f ca="1">IF($D262="","",OFFSET('(2)出場選手'!$B$2,$A262,Y$1))</f>
        <v/>
      </c>
      <c r="Z262" s="17" t="str">
        <f ca="1">IF($D262="","",OFFSET('(2)出場選手'!$B$2,$A262,Z$1))</f>
        <v/>
      </c>
    </row>
    <row r="263" spans="1:26" x14ac:dyDescent="0.15">
      <c r="A263" s="17">
        <f>TRUNC((ROWS($D$3:D263)-2)/Max_Entry_Count)+1</f>
        <v>87</v>
      </c>
      <c r="B263" s="17" t="str">
        <f ca="1">IF($A263&gt;=ROWS(Entries)-2,"",IF(OFFSET('(2)出場選手'!$B$2,$A263,B$1+3*(MOD(ROWS($D$3:D263)-2,Max_Entry_Count)))="","",MOD(ROWS($D$3:D263)-2,Max_Entry_Count)))</f>
        <v/>
      </c>
      <c r="D263" s="26" t="str">
        <f ca="1">IF(OR($A263&gt;=ROWS(Entries)-2,$B263=""),"",'(1)鑑'!$E$6&amp;"-"&amp;OFFSET('(2)出場選手'!$B$2,$A263,D$1))</f>
        <v/>
      </c>
      <c r="E263" s="26" t="str">
        <f ca="1">IF($D263="","",OFFSET('(2)出場選手'!$B$2,$A263,E$1))</f>
        <v/>
      </c>
      <c r="F263" s="26" t="str">
        <f ca="1">IF($D263="","",IF(OFFSET('(2)出場選手'!$B$2,$A263,F$1)="","",OFFSET('(2)出場選手'!$B$2,$A263,F$1)))</f>
        <v/>
      </c>
      <c r="G263" s="26" t="str">
        <f t="shared" ca="1" si="18"/>
        <v/>
      </c>
      <c r="H263" s="26" t="str">
        <f t="shared" ca="1" si="26"/>
        <v/>
      </c>
      <c r="I263" s="26" t="str">
        <f ca="1">IF($D263="","",IF(OFFSET('(2)出場選手'!$B$2,$A263,I$1)="","",OFFSET('(2)出場選手'!$B$2,$A263,I$1)))</f>
        <v/>
      </c>
      <c r="J263" s="26" t="str">
        <f ca="1">IF($D263="","",IF(OFFSET('(2)出場選手'!$B$2,$A263,J$1)="",'(1)鑑'!$E$6,OFFSET('(2)出場選手'!$B$2,$A263,J$1)))</f>
        <v/>
      </c>
      <c r="K263" s="26" t="str">
        <f ca="1">IF($D263="","",TRIM(ASC(IF(OFFSET('(2)出場選手'!$B$2,$A263,K$1)="",'(1)鑑'!$E$7,OFFSET('(2)出場選手'!$B$2,$A263,K$1)))))</f>
        <v/>
      </c>
      <c r="L263" s="26" t="str">
        <f ca="1">IF($D263="","",SUBSTITUTE(SUBSTITUTE(SUBSTITUTE(IF(OFFSET('(2)出場選手'!$B$2,$A263,L$1)="",'(1)鑑'!$E$8,OFFSET('(2)出場選手'!$B$2,$A263,L$1)),"県",""),"府",""),"東京都","東京"))</f>
        <v/>
      </c>
      <c r="M263" s="57" t="str">
        <f ca="1">IF($D263="","",IF(OFFSET('(2)出場選手'!$B$2,$A263,M$1)="","",OFFSET('(2)出場選手'!$B$2,$A263,M$1)))</f>
        <v/>
      </c>
      <c r="N263" s="26" t="str">
        <f ca="1">IF($D263="","",OFFSET('(2)出場選手'!$B$2,$A263,N$1+3*$B263))</f>
        <v/>
      </c>
      <c r="O263" s="26" t="str">
        <f ca="1">IF($D263="","",IF(OFFSET('(2)出場選手'!$B$2,$A263,O$1+3*$B263)="","",OFFSET('(2)出場選手'!$B$2,$A263,O$1+3*$B263)))</f>
        <v/>
      </c>
      <c r="P263" s="26" t="str">
        <f ca="1">IF($D263="","",IF(OFFSET('(2)出場選手'!$B$2,$A263,P$1+3*$B263)="","",OFFSET('(2)出場選手'!$B$2,$A263,P$1+3*$B263)))</f>
        <v/>
      </c>
      <c r="Q263" s="43" t="str">
        <f ca="1">IF(D263="","",VLOOKUP(N263,OFFSET(Competition_Events,0,1),11,FALSE)*IF($S263="リレー",IF(COUNTIF($T$3:$T263,$T263)&gt;1,0,1),1))</f>
        <v/>
      </c>
      <c r="R263" s="26" t="str">
        <f t="shared" ca="1" si="20"/>
        <v/>
      </c>
      <c r="S263" s="26" t="str">
        <f t="shared" ca="1" si="21"/>
        <v/>
      </c>
      <c r="T263" s="26" t="str">
        <f t="shared" ca="1" si="22"/>
        <v/>
      </c>
      <c r="U263" s="26" t="str">
        <f t="shared" ca="1" si="25"/>
        <v/>
      </c>
      <c r="W263" s="17" t="str">
        <f ca="1">IF($D263="","",OFFSET('(2)出場選手'!$B$2,$A263,W$1))</f>
        <v/>
      </c>
      <c r="X263" s="17" t="str">
        <f ca="1">IF($D263="","",OFFSET('(2)出場選手'!$B$2,$A263,X$1))</f>
        <v/>
      </c>
      <c r="Y263" s="17" t="str">
        <f ca="1">IF($D263="","",OFFSET('(2)出場選手'!$B$2,$A263,Y$1))</f>
        <v/>
      </c>
      <c r="Z263" s="17" t="str">
        <f ca="1">IF($D263="","",OFFSET('(2)出場選手'!$B$2,$A263,Z$1))</f>
        <v/>
      </c>
    </row>
    <row r="264" spans="1:26" x14ac:dyDescent="0.15">
      <c r="A264" s="17">
        <f>TRUNC((ROWS($D$3:D264)-2)/Max_Entry_Count)+1</f>
        <v>87</v>
      </c>
      <c r="B264" s="17" t="str">
        <f ca="1">IF($A264&gt;=ROWS(Entries)-2,"",IF(OFFSET('(2)出場選手'!$B$2,$A264,B$1+3*(MOD(ROWS($D$3:D264)-2,Max_Entry_Count)))="","",MOD(ROWS($D$3:D264)-2,Max_Entry_Count)))</f>
        <v/>
      </c>
      <c r="D264" s="26" t="str">
        <f ca="1">IF(OR($A264&gt;=ROWS(Entries)-2,$B264=""),"",'(1)鑑'!$E$6&amp;"-"&amp;OFFSET('(2)出場選手'!$B$2,$A264,D$1))</f>
        <v/>
      </c>
      <c r="E264" s="26" t="str">
        <f ca="1">IF($D264="","",OFFSET('(2)出場選手'!$B$2,$A264,E$1))</f>
        <v/>
      </c>
      <c r="F264" s="26" t="str">
        <f ca="1">IF($D264="","",IF(OFFSET('(2)出場選手'!$B$2,$A264,F$1)="","",OFFSET('(2)出場選手'!$B$2,$A264,F$1)))</f>
        <v/>
      </c>
      <c r="G264" s="26" t="str">
        <f t="shared" ca="1" si="18"/>
        <v/>
      </c>
      <c r="H264" s="26" t="str">
        <f t="shared" ca="1" si="26"/>
        <v/>
      </c>
      <c r="I264" s="26" t="str">
        <f ca="1">IF($D264="","",IF(OFFSET('(2)出場選手'!$B$2,$A264,I$1)="","",OFFSET('(2)出場選手'!$B$2,$A264,I$1)))</f>
        <v/>
      </c>
      <c r="J264" s="26" t="str">
        <f ca="1">IF($D264="","",IF(OFFSET('(2)出場選手'!$B$2,$A264,J$1)="",'(1)鑑'!$E$6,OFFSET('(2)出場選手'!$B$2,$A264,J$1)))</f>
        <v/>
      </c>
      <c r="K264" s="26" t="str">
        <f ca="1">IF($D264="","",TRIM(ASC(IF(OFFSET('(2)出場選手'!$B$2,$A264,K$1)="",'(1)鑑'!$E$7,OFFSET('(2)出場選手'!$B$2,$A264,K$1)))))</f>
        <v/>
      </c>
      <c r="L264" s="26" t="str">
        <f ca="1">IF($D264="","",SUBSTITUTE(SUBSTITUTE(SUBSTITUTE(IF(OFFSET('(2)出場選手'!$B$2,$A264,L$1)="",'(1)鑑'!$E$8,OFFSET('(2)出場選手'!$B$2,$A264,L$1)),"県",""),"府",""),"東京都","東京"))</f>
        <v/>
      </c>
      <c r="M264" s="57" t="str">
        <f ca="1">IF($D264="","",IF(OFFSET('(2)出場選手'!$B$2,$A264,M$1)="","",OFFSET('(2)出場選手'!$B$2,$A264,M$1)))</f>
        <v/>
      </c>
      <c r="N264" s="26" t="str">
        <f ca="1">IF($D264="","",OFFSET('(2)出場選手'!$B$2,$A264,N$1+3*$B264))</f>
        <v/>
      </c>
      <c r="O264" s="26" t="str">
        <f ca="1">IF($D264="","",IF(OFFSET('(2)出場選手'!$B$2,$A264,O$1+3*$B264)="","",OFFSET('(2)出場選手'!$B$2,$A264,O$1+3*$B264)))</f>
        <v/>
      </c>
      <c r="P264" s="26" t="str">
        <f ca="1">IF($D264="","",IF(OFFSET('(2)出場選手'!$B$2,$A264,P$1+3*$B264)="","",OFFSET('(2)出場選手'!$B$2,$A264,P$1+3*$B264)))</f>
        <v/>
      </c>
      <c r="Q264" s="43" t="str">
        <f ca="1">IF(D264="","",VLOOKUP(N264,OFFSET(Competition_Events,0,1),11,FALSE)*IF($S264="リレー",IF(COUNTIF($T$3:$T264,$T264)&gt;1,0,1),1))</f>
        <v/>
      </c>
      <c r="R264" s="26" t="str">
        <f t="shared" ca="1" si="20"/>
        <v/>
      </c>
      <c r="S264" s="26" t="str">
        <f t="shared" ca="1" si="21"/>
        <v/>
      </c>
      <c r="T264" s="26" t="str">
        <f t="shared" ca="1" si="22"/>
        <v/>
      </c>
      <c r="U264" s="26" t="str">
        <f t="shared" ca="1" si="25"/>
        <v/>
      </c>
      <c r="W264" s="17" t="str">
        <f ca="1">IF($D264="","",OFFSET('(2)出場選手'!$B$2,$A264,W$1))</f>
        <v/>
      </c>
      <c r="X264" s="17" t="str">
        <f ca="1">IF($D264="","",OFFSET('(2)出場選手'!$B$2,$A264,X$1))</f>
        <v/>
      </c>
      <c r="Y264" s="17" t="str">
        <f ca="1">IF($D264="","",OFFSET('(2)出場選手'!$B$2,$A264,Y$1))</f>
        <v/>
      </c>
      <c r="Z264" s="17" t="str">
        <f ca="1">IF($D264="","",OFFSET('(2)出場選手'!$B$2,$A264,Z$1))</f>
        <v/>
      </c>
    </row>
    <row r="265" spans="1:26" x14ac:dyDescent="0.15">
      <c r="A265" s="17">
        <f>TRUNC((ROWS($D$3:D265)-2)/Max_Entry_Count)+1</f>
        <v>88</v>
      </c>
      <c r="B265" s="17" t="str">
        <f ca="1">IF($A265&gt;=ROWS(Entries)-2,"",IF(OFFSET('(2)出場選手'!$B$2,$A265,B$1+3*(MOD(ROWS($D$3:D265)-2,Max_Entry_Count)))="","",MOD(ROWS($D$3:D265)-2,Max_Entry_Count)))</f>
        <v/>
      </c>
      <c r="D265" s="26" t="str">
        <f ca="1">IF(OR($A265&gt;=ROWS(Entries)-2,$B265=""),"",'(1)鑑'!$E$6&amp;"-"&amp;OFFSET('(2)出場選手'!$B$2,$A265,D$1))</f>
        <v/>
      </c>
      <c r="E265" s="26" t="str">
        <f ca="1">IF($D265="","",OFFSET('(2)出場選手'!$B$2,$A265,E$1))</f>
        <v/>
      </c>
      <c r="F265" s="26" t="str">
        <f ca="1">IF($D265="","",IF(OFFSET('(2)出場選手'!$B$2,$A265,F$1)="","",OFFSET('(2)出場選手'!$B$2,$A265,F$1)))</f>
        <v/>
      </c>
      <c r="G265" s="26" t="str">
        <f t="shared" ca="1" si="18"/>
        <v/>
      </c>
      <c r="H265" s="26" t="str">
        <f t="shared" ca="1" si="26"/>
        <v/>
      </c>
      <c r="I265" s="26" t="str">
        <f ca="1">IF($D265="","",IF(OFFSET('(2)出場選手'!$B$2,$A265,I$1)="","",OFFSET('(2)出場選手'!$B$2,$A265,I$1)))</f>
        <v/>
      </c>
      <c r="J265" s="26" t="str">
        <f ca="1">IF($D265="","",IF(OFFSET('(2)出場選手'!$B$2,$A265,J$1)="",'(1)鑑'!$E$6,OFFSET('(2)出場選手'!$B$2,$A265,J$1)))</f>
        <v/>
      </c>
      <c r="K265" s="26" t="str">
        <f ca="1">IF($D265="","",TRIM(ASC(IF(OFFSET('(2)出場選手'!$B$2,$A265,K$1)="",'(1)鑑'!$E$7,OFFSET('(2)出場選手'!$B$2,$A265,K$1)))))</f>
        <v/>
      </c>
      <c r="L265" s="26" t="str">
        <f ca="1">IF($D265="","",SUBSTITUTE(SUBSTITUTE(SUBSTITUTE(IF(OFFSET('(2)出場選手'!$B$2,$A265,L$1)="",'(1)鑑'!$E$8,OFFSET('(2)出場選手'!$B$2,$A265,L$1)),"県",""),"府",""),"東京都","東京"))</f>
        <v/>
      </c>
      <c r="M265" s="57" t="str">
        <f ca="1">IF($D265="","",IF(OFFSET('(2)出場選手'!$B$2,$A265,M$1)="","",OFFSET('(2)出場選手'!$B$2,$A265,M$1)))</f>
        <v/>
      </c>
      <c r="N265" s="26" t="str">
        <f ca="1">IF($D265="","",OFFSET('(2)出場選手'!$B$2,$A265,N$1+3*$B265))</f>
        <v/>
      </c>
      <c r="O265" s="26" t="str">
        <f ca="1">IF($D265="","",IF(OFFSET('(2)出場選手'!$B$2,$A265,O$1+3*$B265)="","",OFFSET('(2)出場選手'!$B$2,$A265,O$1+3*$B265)))</f>
        <v/>
      </c>
      <c r="P265" s="26" t="str">
        <f ca="1">IF($D265="","",IF(OFFSET('(2)出場選手'!$B$2,$A265,P$1+3*$B265)="","",OFFSET('(2)出場選手'!$B$2,$A265,P$1+3*$B265)))</f>
        <v/>
      </c>
      <c r="Q265" s="43" t="str">
        <f ca="1">IF(D265="","",VLOOKUP(N265,OFFSET(Competition_Events,0,1),11,FALSE)*IF($S265="リレー",IF(COUNTIF($T$3:$T265,$T265)&gt;1,0,1),1))</f>
        <v/>
      </c>
      <c r="R265" s="26" t="str">
        <f t="shared" ca="1" si="20"/>
        <v/>
      </c>
      <c r="S265" s="26" t="str">
        <f t="shared" ca="1" si="21"/>
        <v/>
      </c>
      <c r="T265" s="26" t="str">
        <f t="shared" ca="1" si="22"/>
        <v/>
      </c>
      <c r="U265" s="26" t="str">
        <f t="shared" ca="1" si="25"/>
        <v/>
      </c>
      <c r="W265" s="17" t="str">
        <f ca="1">IF($D265="","",OFFSET('(2)出場選手'!$B$2,$A265,W$1))</f>
        <v/>
      </c>
      <c r="X265" s="17" t="str">
        <f ca="1">IF($D265="","",OFFSET('(2)出場選手'!$B$2,$A265,X$1))</f>
        <v/>
      </c>
      <c r="Y265" s="17" t="str">
        <f ca="1">IF($D265="","",OFFSET('(2)出場選手'!$B$2,$A265,Y$1))</f>
        <v/>
      </c>
      <c r="Z265" s="17" t="str">
        <f ca="1">IF($D265="","",OFFSET('(2)出場選手'!$B$2,$A265,Z$1))</f>
        <v/>
      </c>
    </row>
    <row r="266" spans="1:26" x14ac:dyDescent="0.15">
      <c r="A266" s="17">
        <f>TRUNC((ROWS($D$3:D266)-2)/Max_Entry_Count)+1</f>
        <v>88</v>
      </c>
      <c r="B266" s="17" t="str">
        <f ca="1">IF($A266&gt;=ROWS(Entries)-2,"",IF(OFFSET('(2)出場選手'!$B$2,$A266,B$1+3*(MOD(ROWS($D$3:D266)-2,Max_Entry_Count)))="","",MOD(ROWS($D$3:D266)-2,Max_Entry_Count)))</f>
        <v/>
      </c>
      <c r="D266" s="26" t="str">
        <f ca="1">IF(OR($A266&gt;=ROWS(Entries)-2,$B266=""),"",'(1)鑑'!$E$6&amp;"-"&amp;OFFSET('(2)出場選手'!$B$2,$A266,D$1))</f>
        <v/>
      </c>
      <c r="E266" s="26" t="str">
        <f ca="1">IF($D266="","",OFFSET('(2)出場選手'!$B$2,$A266,E$1))</f>
        <v/>
      </c>
      <c r="F266" s="26" t="str">
        <f ca="1">IF($D266="","",IF(OFFSET('(2)出場選手'!$B$2,$A266,F$1)="","",OFFSET('(2)出場選手'!$B$2,$A266,F$1)))</f>
        <v/>
      </c>
      <c r="G266" s="26" t="str">
        <f t="shared" ca="1" si="18"/>
        <v/>
      </c>
      <c r="H266" s="26" t="str">
        <f t="shared" ca="1" si="26"/>
        <v/>
      </c>
      <c r="I266" s="26" t="str">
        <f ca="1">IF($D266="","",IF(OFFSET('(2)出場選手'!$B$2,$A266,I$1)="","",OFFSET('(2)出場選手'!$B$2,$A266,I$1)))</f>
        <v/>
      </c>
      <c r="J266" s="26" t="str">
        <f ca="1">IF($D266="","",IF(OFFSET('(2)出場選手'!$B$2,$A266,J$1)="",'(1)鑑'!$E$6,OFFSET('(2)出場選手'!$B$2,$A266,J$1)))</f>
        <v/>
      </c>
      <c r="K266" s="26" t="str">
        <f ca="1">IF($D266="","",TRIM(ASC(IF(OFFSET('(2)出場選手'!$B$2,$A266,K$1)="",'(1)鑑'!$E$7,OFFSET('(2)出場選手'!$B$2,$A266,K$1)))))</f>
        <v/>
      </c>
      <c r="L266" s="26" t="str">
        <f ca="1">IF($D266="","",SUBSTITUTE(SUBSTITUTE(SUBSTITUTE(IF(OFFSET('(2)出場選手'!$B$2,$A266,L$1)="",'(1)鑑'!$E$8,OFFSET('(2)出場選手'!$B$2,$A266,L$1)),"県",""),"府",""),"東京都","東京"))</f>
        <v/>
      </c>
      <c r="M266" s="57" t="str">
        <f ca="1">IF($D266="","",IF(OFFSET('(2)出場選手'!$B$2,$A266,M$1)="","",OFFSET('(2)出場選手'!$B$2,$A266,M$1)))</f>
        <v/>
      </c>
      <c r="N266" s="26" t="str">
        <f ca="1">IF($D266="","",OFFSET('(2)出場選手'!$B$2,$A266,N$1+3*$B266))</f>
        <v/>
      </c>
      <c r="O266" s="26" t="str">
        <f ca="1">IF($D266="","",IF(OFFSET('(2)出場選手'!$B$2,$A266,O$1+3*$B266)="","",OFFSET('(2)出場選手'!$B$2,$A266,O$1+3*$B266)))</f>
        <v/>
      </c>
      <c r="P266" s="26" t="str">
        <f ca="1">IF($D266="","",IF(OFFSET('(2)出場選手'!$B$2,$A266,P$1+3*$B266)="","",OFFSET('(2)出場選手'!$B$2,$A266,P$1+3*$B266)))</f>
        <v/>
      </c>
      <c r="Q266" s="43" t="str">
        <f ca="1">IF(D266="","",VLOOKUP(N266,OFFSET(Competition_Events,0,1),11,FALSE)*IF($S266="リレー",IF(COUNTIF($T$3:$T266,$T266)&gt;1,0,1),1))</f>
        <v/>
      </c>
      <c r="R266" s="26" t="str">
        <f t="shared" ca="1" si="20"/>
        <v/>
      </c>
      <c r="S266" s="26" t="str">
        <f t="shared" ca="1" si="21"/>
        <v/>
      </c>
      <c r="T266" s="26" t="str">
        <f t="shared" ca="1" si="22"/>
        <v/>
      </c>
      <c r="U266" s="26" t="str">
        <f t="shared" ca="1" si="25"/>
        <v/>
      </c>
      <c r="W266" s="17" t="str">
        <f ca="1">IF($D266="","",OFFSET('(2)出場選手'!$B$2,$A266,W$1))</f>
        <v/>
      </c>
      <c r="X266" s="17" t="str">
        <f ca="1">IF($D266="","",OFFSET('(2)出場選手'!$B$2,$A266,X$1))</f>
        <v/>
      </c>
      <c r="Y266" s="17" t="str">
        <f ca="1">IF($D266="","",OFFSET('(2)出場選手'!$B$2,$A266,Y$1))</f>
        <v/>
      </c>
      <c r="Z266" s="17" t="str">
        <f ca="1">IF($D266="","",OFFSET('(2)出場選手'!$B$2,$A266,Z$1))</f>
        <v/>
      </c>
    </row>
    <row r="267" spans="1:26" x14ac:dyDescent="0.15">
      <c r="A267" s="17">
        <f>TRUNC((ROWS($D$3:D267)-2)/Max_Entry_Count)+1</f>
        <v>88</v>
      </c>
      <c r="B267" s="17" t="str">
        <f ca="1">IF($A267&gt;=ROWS(Entries)-2,"",IF(OFFSET('(2)出場選手'!$B$2,$A267,B$1+3*(MOD(ROWS($D$3:D267)-2,Max_Entry_Count)))="","",MOD(ROWS($D$3:D267)-2,Max_Entry_Count)))</f>
        <v/>
      </c>
      <c r="D267" s="26" t="str">
        <f ca="1">IF(OR($A267&gt;=ROWS(Entries)-2,$B267=""),"",'(1)鑑'!$E$6&amp;"-"&amp;OFFSET('(2)出場選手'!$B$2,$A267,D$1))</f>
        <v/>
      </c>
      <c r="E267" s="26" t="str">
        <f ca="1">IF($D267="","",OFFSET('(2)出場選手'!$B$2,$A267,E$1))</f>
        <v/>
      </c>
      <c r="F267" s="26" t="str">
        <f ca="1">IF($D267="","",IF(OFFSET('(2)出場選手'!$B$2,$A267,F$1)="","",OFFSET('(2)出場選手'!$B$2,$A267,F$1)))</f>
        <v/>
      </c>
      <c r="G267" s="26" t="str">
        <f t="shared" ca="1" si="18"/>
        <v/>
      </c>
      <c r="H267" s="26" t="str">
        <f t="shared" ca="1" si="26"/>
        <v/>
      </c>
      <c r="I267" s="26" t="str">
        <f ca="1">IF($D267="","",IF(OFFSET('(2)出場選手'!$B$2,$A267,I$1)="","",OFFSET('(2)出場選手'!$B$2,$A267,I$1)))</f>
        <v/>
      </c>
      <c r="J267" s="26" t="str">
        <f ca="1">IF($D267="","",IF(OFFSET('(2)出場選手'!$B$2,$A267,J$1)="",'(1)鑑'!$E$6,OFFSET('(2)出場選手'!$B$2,$A267,J$1)))</f>
        <v/>
      </c>
      <c r="K267" s="26" t="str">
        <f ca="1">IF($D267="","",TRIM(ASC(IF(OFFSET('(2)出場選手'!$B$2,$A267,K$1)="",'(1)鑑'!$E$7,OFFSET('(2)出場選手'!$B$2,$A267,K$1)))))</f>
        <v/>
      </c>
      <c r="L267" s="26" t="str">
        <f ca="1">IF($D267="","",SUBSTITUTE(SUBSTITUTE(SUBSTITUTE(IF(OFFSET('(2)出場選手'!$B$2,$A267,L$1)="",'(1)鑑'!$E$8,OFFSET('(2)出場選手'!$B$2,$A267,L$1)),"県",""),"府",""),"東京都","東京"))</f>
        <v/>
      </c>
      <c r="M267" s="57" t="str">
        <f ca="1">IF($D267="","",IF(OFFSET('(2)出場選手'!$B$2,$A267,M$1)="","",OFFSET('(2)出場選手'!$B$2,$A267,M$1)))</f>
        <v/>
      </c>
      <c r="N267" s="26" t="str">
        <f ca="1">IF($D267="","",OFFSET('(2)出場選手'!$B$2,$A267,N$1+3*$B267))</f>
        <v/>
      </c>
      <c r="O267" s="26" t="str">
        <f ca="1">IF($D267="","",IF(OFFSET('(2)出場選手'!$B$2,$A267,O$1+3*$B267)="","",OFFSET('(2)出場選手'!$B$2,$A267,O$1+3*$B267)))</f>
        <v/>
      </c>
      <c r="P267" s="26" t="str">
        <f ca="1">IF($D267="","",IF(OFFSET('(2)出場選手'!$B$2,$A267,P$1+3*$B267)="","",OFFSET('(2)出場選手'!$B$2,$A267,P$1+3*$B267)))</f>
        <v/>
      </c>
      <c r="Q267" s="43" t="str">
        <f ca="1">IF(D267="","",VLOOKUP(N267,OFFSET(Competition_Events,0,1),11,FALSE)*IF($S267="リレー",IF(COUNTIF($T$3:$T267,$T267)&gt;1,0,1),1))</f>
        <v/>
      </c>
      <c r="R267" s="26" t="str">
        <f t="shared" ca="1" si="20"/>
        <v/>
      </c>
      <c r="S267" s="26" t="str">
        <f t="shared" ca="1" si="21"/>
        <v/>
      </c>
      <c r="T267" s="26" t="str">
        <f t="shared" ca="1" si="22"/>
        <v/>
      </c>
      <c r="U267" s="26" t="str">
        <f t="shared" ca="1" si="25"/>
        <v/>
      </c>
      <c r="W267" s="17" t="str">
        <f ca="1">IF($D267="","",OFFSET('(2)出場選手'!$B$2,$A267,W$1))</f>
        <v/>
      </c>
      <c r="X267" s="17" t="str">
        <f ca="1">IF($D267="","",OFFSET('(2)出場選手'!$B$2,$A267,X$1))</f>
        <v/>
      </c>
      <c r="Y267" s="17" t="str">
        <f ca="1">IF($D267="","",OFFSET('(2)出場選手'!$B$2,$A267,Y$1))</f>
        <v/>
      </c>
      <c r="Z267" s="17" t="str">
        <f ca="1">IF($D267="","",OFFSET('(2)出場選手'!$B$2,$A267,Z$1))</f>
        <v/>
      </c>
    </row>
    <row r="268" spans="1:26" x14ac:dyDescent="0.15">
      <c r="A268" s="17">
        <f>TRUNC((ROWS($D$3:D268)-2)/Max_Entry_Count)+1</f>
        <v>89</v>
      </c>
      <c r="B268" s="17" t="str">
        <f ca="1">IF($A268&gt;=ROWS(Entries)-2,"",IF(OFFSET('(2)出場選手'!$B$2,$A268,B$1+3*(MOD(ROWS($D$3:D268)-2,Max_Entry_Count)))="","",MOD(ROWS($D$3:D268)-2,Max_Entry_Count)))</f>
        <v/>
      </c>
      <c r="D268" s="26" t="str">
        <f ca="1">IF(OR($A268&gt;=ROWS(Entries)-2,$B268=""),"",'(1)鑑'!$E$6&amp;"-"&amp;OFFSET('(2)出場選手'!$B$2,$A268,D$1))</f>
        <v/>
      </c>
      <c r="E268" s="26" t="str">
        <f ca="1">IF($D268="","",OFFSET('(2)出場選手'!$B$2,$A268,E$1))</f>
        <v/>
      </c>
      <c r="F268" s="26" t="str">
        <f ca="1">IF($D268="","",IF(OFFSET('(2)出場選手'!$B$2,$A268,F$1)="","",OFFSET('(2)出場選手'!$B$2,$A268,F$1)))</f>
        <v/>
      </c>
      <c r="G268" s="26" t="str">
        <f t="shared" ca="1" si="18"/>
        <v/>
      </c>
      <c r="H268" s="26" t="str">
        <f t="shared" ca="1" si="26"/>
        <v/>
      </c>
      <c r="I268" s="26" t="str">
        <f ca="1">IF($D268="","",IF(OFFSET('(2)出場選手'!$B$2,$A268,I$1)="","",OFFSET('(2)出場選手'!$B$2,$A268,I$1)))</f>
        <v/>
      </c>
      <c r="J268" s="26" t="str">
        <f ca="1">IF($D268="","",IF(OFFSET('(2)出場選手'!$B$2,$A268,J$1)="",'(1)鑑'!$E$6,OFFSET('(2)出場選手'!$B$2,$A268,J$1)))</f>
        <v/>
      </c>
      <c r="K268" s="26" t="str">
        <f ca="1">IF($D268="","",TRIM(ASC(IF(OFFSET('(2)出場選手'!$B$2,$A268,K$1)="",'(1)鑑'!$E$7,OFFSET('(2)出場選手'!$B$2,$A268,K$1)))))</f>
        <v/>
      </c>
      <c r="L268" s="26" t="str">
        <f ca="1">IF($D268="","",SUBSTITUTE(SUBSTITUTE(SUBSTITUTE(IF(OFFSET('(2)出場選手'!$B$2,$A268,L$1)="",'(1)鑑'!$E$8,OFFSET('(2)出場選手'!$B$2,$A268,L$1)),"県",""),"府",""),"東京都","東京"))</f>
        <v/>
      </c>
      <c r="M268" s="57" t="str">
        <f ca="1">IF($D268="","",IF(OFFSET('(2)出場選手'!$B$2,$A268,M$1)="","",OFFSET('(2)出場選手'!$B$2,$A268,M$1)))</f>
        <v/>
      </c>
      <c r="N268" s="26" t="str">
        <f ca="1">IF($D268="","",OFFSET('(2)出場選手'!$B$2,$A268,N$1+3*$B268))</f>
        <v/>
      </c>
      <c r="O268" s="26" t="str">
        <f ca="1">IF($D268="","",IF(OFFSET('(2)出場選手'!$B$2,$A268,O$1+3*$B268)="","",OFFSET('(2)出場選手'!$B$2,$A268,O$1+3*$B268)))</f>
        <v/>
      </c>
      <c r="P268" s="26" t="str">
        <f ca="1">IF($D268="","",IF(OFFSET('(2)出場選手'!$B$2,$A268,P$1+3*$B268)="","",OFFSET('(2)出場選手'!$B$2,$A268,P$1+3*$B268)))</f>
        <v/>
      </c>
      <c r="Q268" s="43" t="str">
        <f ca="1">IF(D268="","",VLOOKUP(N268,OFFSET(Competition_Events,0,1),11,FALSE)*IF($S268="リレー",IF(COUNTIF($T$3:$T268,$T268)&gt;1,0,1),1))</f>
        <v/>
      </c>
      <c r="R268" s="26" t="str">
        <f t="shared" ca="1" si="20"/>
        <v/>
      </c>
      <c r="S268" s="26" t="str">
        <f t="shared" ca="1" si="21"/>
        <v/>
      </c>
      <c r="T268" s="26" t="str">
        <f t="shared" ca="1" si="22"/>
        <v/>
      </c>
      <c r="U268" s="26" t="str">
        <f t="shared" ca="1" si="25"/>
        <v/>
      </c>
      <c r="W268" s="17" t="str">
        <f ca="1">IF($D268="","",OFFSET('(2)出場選手'!$B$2,$A268,W$1))</f>
        <v/>
      </c>
      <c r="X268" s="17" t="str">
        <f ca="1">IF($D268="","",OFFSET('(2)出場選手'!$B$2,$A268,X$1))</f>
        <v/>
      </c>
      <c r="Y268" s="17" t="str">
        <f ca="1">IF($D268="","",OFFSET('(2)出場選手'!$B$2,$A268,Y$1))</f>
        <v/>
      </c>
      <c r="Z268" s="17" t="str">
        <f ca="1">IF($D268="","",OFFSET('(2)出場選手'!$B$2,$A268,Z$1))</f>
        <v/>
      </c>
    </row>
    <row r="269" spans="1:26" x14ac:dyDescent="0.15">
      <c r="A269" s="17">
        <f>TRUNC((ROWS($D$3:D269)-2)/Max_Entry_Count)+1</f>
        <v>89</v>
      </c>
      <c r="B269" s="17" t="str">
        <f ca="1">IF($A269&gt;=ROWS(Entries)-2,"",IF(OFFSET('(2)出場選手'!$B$2,$A269,B$1+3*(MOD(ROWS($D$3:D269)-2,Max_Entry_Count)))="","",MOD(ROWS($D$3:D269)-2,Max_Entry_Count)))</f>
        <v/>
      </c>
      <c r="D269" s="26" t="str">
        <f ca="1">IF(OR($A269&gt;=ROWS(Entries)-2,$B269=""),"",'(1)鑑'!$E$6&amp;"-"&amp;OFFSET('(2)出場選手'!$B$2,$A269,D$1))</f>
        <v/>
      </c>
      <c r="E269" s="26" t="str">
        <f ca="1">IF($D269="","",OFFSET('(2)出場選手'!$B$2,$A269,E$1))</f>
        <v/>
      </c>
      <c r="F269" s="26" t="str">
        <f ca="1">IF($D269="","",IF(OFFSET('(2)出場選手'!$B$2,$A269,F$1)="","",OFFSET('(2)出場選手'!$B$2,$A269,F$1)))</f>
        <v/>
      </c>
      <c r="G269" s="26" t="str">
        <f t="shared" ca="1" si="18"/>
        <v/>
      </c>
      <c r="H269" s="26" t="str">
        <f t="shared" ca="1" si="26"/>
        <v/>
      </c>
      <c r="I269" s="26" t="str">
        <f ca="1">IF($D269="","",IF(OFFSET('(2)出場選手'!$B$2,$A269,I$1)="","",OFFSET('(2)出場選手'!$B$2,$A269,I$1)))</f>
        <v/>
      </c>
      <c r="J269" s="26" t="str">
        <f ca="1">IF($D269="","",IF(OFFSET('(2)出場選手'!$B$2,$A269,J$1)="",'(1)鑑'!$E$6,OFFSET('(2)出場選手'!$B$2,$A269,J$1)))</f>
        <v/>
      </c>
      <c r="K269" s="26" t="str">
        <f ca="1">IF($D269="","",TRIM(ASC(IF(OFFSET('(2)出場選手'!$B$2,$A269,K$1)="",'(1)鑑'!$E$7,OFFSET('(2)出場選手'!$B$2,$A269,K$1)))))</f>
        <v/>
      </c>
      <c r="L269" s="26" t="str">
        <f ca="1">IF($D269="","",SUBSTITUTE(SUBSTITUTE(SUBSTITUTE(IF(OFFSET('(2)出場選手'!$B$2,$A269,L$1)="",'(1)鑑'!$E$8,OFFSET('(2)出場選手'!$B$2,$A269,L$1)),"県",""),"府",""),"東京都","東京"))</f>
        <v/>
      </c>
      <c r="M269" s="57" t="str">
        <f ca="1">IF($D269="","",IF(OFFSET('(2)出場選手'!$B$2,$A269,M$1)="","",OFFSET('(2)出場選手'!$B$2,$A269,M$1)))</f>
        <v/>
      </c>
      <c r="N269" s="26" t="str">
        <f ca="1">IF($D269="","",OFFSET('(2)出場選手'!$B$2,$A269,N$1+3*$B269))</f>
        <v/>
      </c>
      <c r="O269" s="26" t="str">
        <f ca="1">IF($D269="","",IF(OFFSET('(2)出場選手'!$B$2,$A269,O$1+3*$B269)="","",OFFSET('(2)出場選手'!$B$2,$A269,O$1+3*$B269)))</f>
        <v/>
      </c>
      <c r="P269" s="26" t="str">
        <f ca="1">IF($D269="","",IF(OFFSET('(2)出場選手'!$B$2,$A269,P$1+3*$B269)="","",OFFSET('(2)出場選手'!$B$2,$A269,P$1+3*$B269)))</f>
        <v/>
      </c>
      <c r="Q269" s="43" t="str">
        <f ca="1">IF(D269="","",VLOOKUP(N269,OFFSET(Competition_Events,0,1),11,FALSE)*IF($S269="リレー",IF(COUNTIF($T$3:$T269,$T269)&gt;1,0,1),1))</f>
        <v/>
      </c>
      <c r="R269" s="26" t="str">
        <f t="shared" ca="1" si="20"/>
        <v/>
      </c>
      <c r="S269" s="26" t="str">
        <f t="shared" ca="1" si="21"/>
        <v/>
      </c>
      <c r="T269" s="26" t="str">
        <f t="shared" ca="1" si="22"/>
        <v/>
      </c>
      <c r="U269" s="26" t="str">
        <f t="shared" ca="1" si="25"/>
        <v/>
      </c>
      <c r="W269" s="17" t="str">
        <f ca="1">IF($D269="","",OFFSET('(2)出場選手'!$B$2,$A269,W$1))</f>
        <v/>
      </c>
      <c r="X269" s="17" t="str">
        <f ca="1">IF($D269="","",OFFSET('(2)出場選手'!$B$2,$A269,X$1))</f>
        <v/>
      </c>
      <c r="Y269" s="17" t="str">
        <f ca="1">IF($D269="","",OFFSET('(2)出場選手'!$B$2,$A269,Y$1))</f>
        <v/>
      </c>
      <c r="Z269" s="17" t="str">
        <f ca="1">IF($D269="","",OFFSET('(2)出場選手'!$B$2,$A269,Z$1))</f>
        <v/>
      </c>
    </row>
    <row r="270" spans="1:26" x14ac:dyDescent="0.15">
      <c r="A270" s="17">
        <f>TRUNC((ROWS($D$3:D270)-2)/Max_Entry_Count)+1</f>
        <v>89</v>
      </c>
      <c r="B270" s="17" t="str">
        <f ca="1">IF($A270&gt;=ROWS(Entries)-2,"",IF(OFFSET('(2)出場選手'!$B$2,$A270,B$1+3*(MOD(ROWS($D$3:D270)-2,Max_Entry_Count)))="","",MOD(ROWS($D$3:D270)-2,Max_Entry_Count)))</f>
        <v/>
      </c>
      <c r="D270" s="26" t="str">
        <f ca="1">IF(OR($A270&gt;=ROWS(Entries)-2,$B270=""),"",'(1)鑑'!$E$6&amp;"-"&amp;OFFSET('(2)出場選手'!$B$2,$A270,D$1))</f>
        <v/>
      </c>
      <c r="E270" s="26" t="str">
        <f ca="1">IF($D270="","",OFFSET('(2)出場選手'!$B$2,$A270,E$1))</f>
        <v/>
      </c>
      <c r="F270" s="26" t="str">
        <f ca="1">IF($D270="","",IF(OFFSET('(2)出場選手'!$B$2,$A270,F$1)="","",OFFSET('(2)出場選手'!$B$2,$A270,F$1)))</f>
        <v/>
      </c>
      <c r="G270" s="26" t="str">
        <f t="shared" ca="1" si="18"/>
        <v/>
      </c>
      <c r="H270" s="26" t="str">
        <f t="shared" ca="1" si="26"/>
        <v/>
      </c>
      <c r="I270" s="26" t="str">
        <f ca="1">IF($D270="","",IF(OFFSET('(2)出場選手'!$B$2,$A270,I$1)="","",OFFSET('(2)出場選手'!$B$2,$A270,I$1)))</f>
        <v/>
      </c>
      <c r="J270" s="26" t="str">
        <f ca="1">IF($D270="","",IF(OFFSET('(2)出場選手'!$B$2,$A270,J$1)="",'(1)鑑'!$E$6,OFFSET('(2)出場選手'!$B$2,$A270,J$1)))</f>
        <v/>
      </c>
      <c r="K270" s="26" t="str">
        <f ca="1">IF($D270="","",TRIM(ASC(IF(OFFSET('(2)出場選手'!$B$2,$A270,K$1)="",'(1)鑑'!$E$7,OFFSET('(2)出場選手'!$B$2,$A270,K$1)))))</f>
        <v/>
      </c>
      <c r="L270" s="26" t="str">
        <f ca="1">IF($D270="","",SUBSTITUTE(SUBSTITUTE(SUBSTITUTE(IF(OFFSET('(2)出場選手'!$B$2,$A270,L$1)="",'(1)鑑'!$E$8,OFFSET('(2)出場選手'!$B$2,$A270,L$1)),"県",""),"府",""),"東京都","東京"))</f>
        <v/>
      </c>
      <c r="M270" s="57" t="str">
        <f ca="1">IF($D270="","",IF(OFFSET('(2)出場選手'!$B$2,$A270,M$1)="","",OFFSET('(2)出場選手'!$B$2,$A270,M$1)))</f>
        <v/>
      </c>
      <c r="N270" s="26" t="str">
        <f ca="1">IF($D270="","",OFFSET('(2)出場選手'!$B$2,$A270,N$1+3*$B270))</f>
        <v/>
      </c>
      <c r="O270" s="26" t="str">
        <f ca="1">IF($D270="","",IF(OFFSET('(2)出場選手'!$B$2,$A270,O$1+3*$B270)="","",OFFSET('(2)出場選手'!$B$2,$A270,O$1+3*$B270)))</f>
        <v/>
      </c>
      <c r="P270" s="26" t="str">
        <f ca="1">IF($D270="","",IF(OFFSET('(2)出場選手'!$B$2,$A270,P$1+3*$B270)="","",OFFSET('(2)出場選手'!$B$2,$A270,P$1+3*$B270)))</f>
        <v/>
      </c>
      <c r="Q270" s="43" t="str">
        <f ca="1">IF(D270="","",VLOOKUP(N270,OFFSET(Competition_Events,0,1),11,FALSE)*IF($S270="リレー",IF(COUNTIF($T$3:$T270,$T270)&gt;1,0,1),1))</f>
        <v/>
      </c>
      <c r="R270" s="26" t="str">
        <f t="shared" ca="1" si="20"/>
        <v/>
      </c>
      <c r="S270" s="26" t="str">
        <f t="shared" ca="1" si="21"/>
        <v/>
      </c>
      <c r="T270" s="26" t="str">
        <f t="shared" ca="1" si="22"/>
        <v/>
      </c>
      <c r="U270" s="26" t="str">
        <f t="shared" ca="1" si="25"/>
        <v/>
      </c>
      <c r="W270" s="17" t="str">
        <f ca="1">IF($D270="","",OFFSET('(2)出場選手'!$B$2,$A270,W$1))</f>
        <v/>
      </c>
      <c r="X270" s="17" t="str">
        <f ca="1">IF($D270="","",OFFSET('(2)出場選手'!$B$2,$A270,X$1))</f>
        <v/>
      </c>
      <c r="Y270" s="17" t="str">
        <f ca="1">IF($D270="","",OFFSET('(2)出場選手'!$B$2,$A270,Y$1))</f>
        <v/>
      </c>
      <c r="Z270" s="17" t="str">
        <f ca="1">IF($D270="","",OFFSET('(2)出場選手'!$B$2,$A270,Z$1))</f>
        <v/>
      </c>
    </row>
    <row r="271" spans="1:26" x14ac:dyDescent="0.15">
      <c r="A271" s="17">
        <f>TRUNC((ROWS($D$3:D271)-2)/Max_Entry_Count)+1</f>
        <v>90</v>
      </c>
      <c r="B271" s="17" t="str">
        <f ca="1">IF($A271&gt;=ROWS(Entries)-2,"",IF(OFFSET('(2)出場選手'!$B$2,$A271,B$1+3*(MOD(ROWS($D$3:D271)-2,Max_Entry_Count)))="","",MOD(ROWS($D$3:D271)-2,Max_Entry_Count)))</f>
        <v/>
      </c>
      <c r="D271" s="26" t="str">
        <f ca="1">IF(OR($A271&gt;=ROWS(Entries)-2,$B271=""),"",'(1)鑑'!$E$6&amp;"-"&amp;OFFSET('(2)出場選手'!$B$2,$A271,D$1))</f>
        <v/>
      </c>
      <c r="E271" s="26" t="str">
        <f ca="1">IF($D271="","",OFFSET('(2)出場選手'!$B$2,$A271,E$1))</f>
        <v/>
      </c>
      <c r="F271" s="26" t="str">
        <f ca="1">IF($D271="","",IF(OFFSET('(2)出場選手'!$B$2,$A271,F$1)="","",OFFSET('(2)出場選手'!$B$2,$A271,F$1)))</f>
        <v/>
      </c>
      <c r="G271" s="26" t="str">
        <f t="shared" ca="1" si="18"/>
        <v/>
      </c>
      <c r="H271" s="26" t="str">
        <f t="shared" ca="1" si="26"/>
        <v/>
      </c>
      <c r="I271" s="26" t="str">
        <f ca="1">IF($D271="","",IF(OFFSET('(2)出場選手'!$B$2,$A271,I$1)="","",OFFSET('(2)出場選手'!$B$2,$A271,I$1)))</f>
        <v/>
      </c>
      <c r="J271" s="26" t="str">
        <f ca="1">IF($D271="","",IF(OFFSET('(2)出場選手'!$B$2,$A271,J$1)="",'(1)鑑'!$E$6,OFFSET('(2)出場選手'!$B$2,$A271,J$1)))</f>
        <v/>
      </c>
      <c r="K271" s="26" t="str">
        <f ca="1">IF($D271="","",TRIM(ASC(IF(OFFSET('(2)出場選手'!$B$2,$A271,K$1)="",'(1)鑑'!$E$7,OFFSET('(2)出場選手'!$B$2,$A271,K$1)))))</f>
        <v/>
      </c>
      <c r="L271" s="26" t="str">
        <f ca="1">IF($D271="","",SUBSTITUTE(SUBSTITUTE(SUBSTITUTE(IF(OFFSET('(2)出場選手'!$B$2,$A271,L$1)="",'(1)鑑'!$E$8,OFFSET('(2)出場選手'!$B$2,$A271,L$1)),"県",""),"府",""),"東京都","東京"))</f>
        <v/>
      </c>
      <c r="M271" s="57" t="str">
        <f ca="1">IF($D271="","",IF(OFFSET('(2)出場選手'!$B$2,$A271,M$1)="","",OFFSET('(2)出場選手'!$B$2,$A271,M$1)))</f>
        <v/>
      </c>
      <c r="N271" s="26" t="str">
        <f ca="1">IF($D271="","",OFFSET('(2)出場選手'!$B$2,$A271,N$1+3*$B271))</f>
        <v/>
      </c>
      <c r="O271" s="26" t="str">
        <f ca="1">IF($D271="","",IF(OFFSET('(2)出場選手'!$B$2,$A271,O$1+3*$B271)="","",OFFSET('(2)出場選手'!$B$2,$A271,O$1+3*$B271)))</f>
        <v/>
      </c>
      <c r="P271" s="26" t="str">
        <f ca="1">IF($D271="","",IF(OFFSET('(2)出場選手'!$B$2,$A271,P$1+3*$B271)="","",OFFSET('(2)出場選手'!$B$2,$A271,P$1+3*$B271)))</f>
        <v/>
      </c>
      <c r="Q271" s="43" t="str">
        <f ca="1">IF(D271="","",VLOOKUP(N271,OFFSET(Competition_Events,0,1),11,FALSE)*IF($S271="リレー",IF(COUNTIF($T$3:$T271,$T271)&gt;1,0,1),1))</f>
        <v/>
      </c>
      <c r="R271" s="26" t="str">
        <f t="shared" ca="1" si="20"/>
        <v/>
      </c>
      <c r="S271" s="26" t="str">
        <f t="shared" ca="1" si="21"/>
        <v/>
      </c>
      <c r="T271" s="26" t="str">
        <f t="shared" ca="1" si="22"/>
        <v/>
      </c>
      <c r="U271" s="26" t="str">
        <f t="shared" ca="1" si="25"/>
        <v/>
      </c>
      <c r="W271" s="17" t="str">
        <f ca="1">IF($D271="","",OFFSET('(2)出場選手'!$B$2,$A271,W$1))</f>
        <v/>
      </c>
      <c r="X271" s="17" t="str">
        <f ca="1">IF($D271="","",OFFSET('(2)出場選手'!$B$2,$A271,X$1))</f>
        <v/>
      </c>
      <c r="Y271" s="17" t="str">
        <f ca="1">IF($D271="","",OFFSET('(2)出場選手'!$B$2,$A271,Y$1))</f>
        <v/>
      </c>
      <c r="Z271" s="17" t="str">
        <f ca="1">IF($D271="","",OFFSET('(2)出場選手'!$B$2,$A271,Z$1))</f>
        <v/>
      </c>
    </row>
    <row r="272" spans="1:26" x14ac:dyDescent="0.15">
      <c r="A272" s="17">
        <f>TRUNC((ROWS($D$3:D272)-2)/Max_Entry_Count)+1</f>
        <v>90</v>
      </c>
      <c r="B272" s="17" t="str">
        <f ca="1">IF($A272&gt;=ROWS(Entries)-2,"",IF(OFFSET('(2)出場選手'!$B$2,$A272,B$1+3*(MOD(ROWS($D$3:D272)-2,Max_Entry_Count)))="","",MOD(ROWS($D$3:D272)-2,Max_Entry_Count)))</f>
        <v/>
      </c>
      <c r="D272" s="26" t="str">
        <f ca="1">IF(OR($A272&gt;=ROWS(Entries)-2,$B272=""),"",'(1)鑑'!$E$6&amp;"-"&amp;OFFSET('(2)出場選手'!$B$2,$A272,D$1))</f>
        <v/>
      </c>
      <c r="E272" s="26" t="str">
        <f ca="1">IF($D272="","",OFFSET('(2)出場選手'!$B$2,$A272,E$1))</f>
        <v/>
      </c>
      <c r="F272" s="26" t="str">
        <f ca="1">IF($D272="","",IF(OFFSET('(2)出場選手'!$B$2,$A272,F$1)="","",OFFSET('(2)出場選手'!$B$2,$A272,F$1)))</f>
        <v/>
      </c>
      <c r="G272" s="26" t="str">
        <f t="shared" ca="1" si="18"/>
        <v/>
      </c>
      <c r="H272" s="26" t="str">
        <f t="shared" ca="1" si="26"/>
        <v/>
      </c>
      <c r="I272" s="26" t="str">
        <f ca="1">IF($D272="","",IF(OFFSET('(2)出場選手'!$B$2,$A272,I$1)="","",OFFSET('(2)出場選手'!$B$2,$A272,I$1)))</f>
        <v/>
      </c>
      <c r="J272" s="26" t="str">
        <f ca="1">IF($D272="","",IF(OFFSET('(2)出場選手'!$B$2,$A272,J$1)="",'(1)鑑'!$E$6,OFFSET('(2)出場選手'!$B$2,$A272,J$1)))</f>
        <v/>
      </c>
      <c r="K272" s="26" t="str">
        <f ca="1">IF($D272="","",TRIM(ASC(IF(OFFSET('(2)出場選手'!$B$2,$A272,K$1)="",'(1)鑑'!$E$7,OFFSET('(2)出場選手'!$B$2,$A272,K$1)))))</f>
        <v/>
      </c>
      <c r="L272" s="26" t="str">
        <f ca="1">IF($D272="","",SUBSTITUTE(SUBSTITUTE(SUBSTITUTE(IF(OFFSET('(2)出場選手'!$B$2,$A272,L$1)="",'(1)鑑'!$E$8,OFFSET('(2)出場選手'!$B$2,$A272,L$1)),"県",""),"府",""),"東京都","東京"))</f>
        <v/>
      </c>
      <c r="M272" s="57" t="str">
        <f ca="1">IF($D272="","",IF(OFFSET('(2)出場選手'!$B$2,$A272,M$1)="","",OFFSET('(2)出場選手'!$B$2,$A272,M$1)))</f>
        <v/>
      </c>
      <c r="N272" s="26" t="str">
        <f ca="1">IF($D272="","",OFFSET('(2)出場選手'!$B$2,$A272,N$1+3*$B272))</f>
        <v/>
      </c>
      <c r="O272" s="26" t="str">
        <f ca="1">IF($D272="","",IF(OFFSET('(2)出場選手'!$B$2,$A272,O$1+3*$B272)="","",OFFSET('(2)出場選手'!$B$2,$A272,O$1+3*$B272)))</f>
        <v/>
      </c>
      <c r="P272" s="26" t="str">
        <f ca="1">IF($D272="","",IF(OFFSET('(2)出場選手'!$B$2,$A272,P$1+3*$B272)="","",OFFSET('(2)出場選手'!$B$2,$A272,P$1+3*$B272)))</f>
        <v/>
      </c>
      <c r="Q272" s="43" t="str">
        <f ca="1">IF(D272="","",VLOOKUP(N272,OFFSET(Competition_Events,0,1),11,FALSE)*IF($S272="リレー",IF(COUNTIF($T$3:$T272,$T272)&gt;1,0,1),1))</f>
        <v/>
      </c>
      <c r="R272" s="26" t="str">
        <f t="shared" ca="1" si="20"/>
        <v/>
      </c>
      <c r="S272" s="26" t="str">
        <f t="shared" ca="1" si="21"/>
        <v/>
      </c>
      <c r="T272" s="26" t="str">
        <f t="shared" ca="1" si="22"/>
        <v/>
      </c>
      <c r="U272" s="26" t="str">
        <f t="shared" ca="1" si="25"/>
        <v/>
      </c>
      <c r="W272" s="17" t="str">
        <f ca="1">IF($D272="","",OFFSET('(2)出場選手'!$B$2,$A272,W$1))</f>
        <v/>
      </c>
      <c r="X272" s="17" t="str">
        <f ca="1">IF($D272="","",OFFSET('(2)出場選手'!$B$2,$A272,X$1))</f>
        <v/>
      </c>
      <c r="Y272" s="17" t="str">
        <f ca="1">IF($D272="","",OFFSET('(2)出場選手'!$B$2,$A272,Y$1))</f>
        <v/>
      </c>
      <c r="Z272" s="17" t="str">
        <f ca="1">IF($D272="","",OFFSET('(2)出場選手'!$B$2,$A272,Z$1))</f>
        <v/>
      </c>
    </row>
    <row r="273" spans="1:26" x14ac:dyDescent="0.15">
      <c r="A273" s="17">
        <f>TRUNC((ROWS($D$3:D273)-2)/Max_Entry_Count)+1</f>
        <v>90</v>
      </c>
      <c r="B273" s="17" t="str">
        <f ca="1">IF($A273&gt;=ROWS(Entries)-2,"",IF(OFFSET('(2)出場選手'!$B$2,$A273,B$1+3*(MOD(ROWS($D$3:D273)-2,Max_Entry_Count)))="","",MOD(ROWS($D$3:D273)-2,Max_Entry_Count)))</f>
        <v/>
      </c>
      <c r="D273" s="26" t="str">
        <f ca="1">IF(OR($A273&gt;=ROWS(Entries)-2,$B273=""),"",'(1)鑑'!$E$6&amp;"-"&amp;OFFSET('(2)出場選手'!$B$2,$A273,D$1))</f>
        <v/>
      </c>
      <c r="E273" s="26" t="str">
        <f ca="1">IF($D273="","",OFFSET('(2)出場選手'!$B$2,$A273,E$1))</f>
        <v/>
      </c>
      <c r="F273" s="26" t="str">
        <f ca="1">IF($D273="","",IF(OFFSET('(2)出場選手'!$B$2,$A273,F$1)="","",OFFSET('(2)出場選手'!$B$2,$A273,F$1)))</f>
        <v/>
      </c>
      <c r="G273" s="26" t="str">
        <f t="shared" ca="1" si="18"/>
        <v/>
      </c>
      <c r="H273" s="26" t="str">
        <f t="shared" ca="1" si="26"/>
        <v/>
      </c>
      <c r="I273" s="26" t="str">
        <f ca="1">IF($D273="","",IF(OFFSET('(2)出場選手'!$B$2,$A273,I$1)="","",OFFSET('(2)出場選手'!$B$2,$A273,I$1)))</f>
        <v/>
      </c>
      <c r="J273" s="26" t="str">
        <f ca="1">IF($D273="","",IF(OFFSET('(2)出場選手'!$B$2,$A273,J$1)="",'(1)鑑'!$E$6,OFFSET('(2)出場選手'!$B$2,$A273,J$1)))</f>
        <v/>
      </c>
      <c r="K273" s="26" t="str">
        <f ca="1">IF($D273="","",TRIM(ASC(IF(OFFSET('(2)出場選手'!$B$2,$A273,K$1)="",'(1)鑑'!$E$7,OFFSET('(2)出場選手'!$B$2,$A273,K$1)))))</f>
        <v/>
      </c>
      <c r="L273" s="26" t="str">
        <f ca="1">IF($D273="","",SUBSTITUTE(SUBSTITUTE(SUBSTITUTE(IF(OFFSET('(2)出場選手'!$B$2,$A273,L$1)="",'(1)鑑'!$E$8,OFFSET('(2)出場選手'!$B$2,$A273,L$1)),"県",""),"府",""),"東京都","東京"))</f>
        <v/>
      </c>
      <c r="M273" s="57" t="str">
        <f ca="1">IF($D273="","",IF(OFFSET('(2)出場選手'!$B$2,$A273,M$1)="","",OFFSET('(2)出場選手'!$B$2,$A273,M$1)))</f>
        <v/>
      </c>
      <c r="N273" s="26" t="str">
        <f ca="1">IF($D273="","",OFFSET('(2)出場選手'!$B$2,$A273,N$1+3*$B273))</f>
        <v/>
      </c>
      <c r="O273" s="26" t="str">
        <f ca="1">IF($D273="","",IF(OFFSET('(2)出場選手'!$B$2,$A273,O$1+3*$B273)="","",OFFSET('(2)出場選手'!$B$2,$A273,O$1+3*$B273)))</f>
        <v/>
      </c>
      <c r="P273" s="26" t="str">
        <f ca="1">IF($D273="","",IF(OFFSET('(2)出場選手'!$B$2,$A273,P$1+3*$B273)="","",OFFSET('(2)出場選手'!$B$2,$A273,P$1+3*$B273)))</f>
        <v/>
      </c>
      <c r="Q273" s="43" t="str">
        <f ca="1">IF(D273="","",VLOOKUP(N273,OFFSET(Competition_Events,0,1),11,FALSE)*IF($S273="リレー",IF(COUNTIF($T$3:$T273,$T273)&gt;1,0,1),1))</f>
        <v/>
      </c>
      <c r="R273" s="26" t="str">
        <f t="shared" ca="1" si="20"/>
        <v/>
      </c>
      <c r="S273" s="26" t="str">
        <f t="shared" ca="1" si="21"/>
        <v/>
      </c>
      <c r="T273" s="26" t="str">
        <f t="shared" ca="1" si="22"/>
        <v/>
      </c>
      <c r="U273" s="26" t="str">
        <f t="shared" ca="1" si="25"/>
        <v/>
      </c>
      <c r="W273" s="17" t="str">
        <f ca="1">IF($D273="","",OFFSET('(2)出場選手'!$B$2,$A273,W$1))</f>
        <v/>
      </c>
      <c r="X273" s="17" t="str">
        <f ca="1">IF($D273="","",OFFSET('(2)出場選手'!$B$2,$A273,X$1))</f>
        <v/>
      </c>
      <c r="Y273" s="17" t="str">
        <f ca="1">IF($D273="","",OFFSET('(2)出場選手'!$B$2,$A273,Y$1))</f>
        <v/>
      </c>
      <c r="Z273" s="17" t="str">
        <f ca="1">IF($D273="","",OFFSET('(2)出場選手'!$B$2,$A273,Z$1))</f>
        <v/>
      </c>
    </row>
    <row r="274" spans="1:26" x14ac:dyDescent="0.15">
      <c r="A274" s="17">
        <f>TRUNC((ROWS($D$3:D274)-2)/Max_Entry_Count)+1</f>
        <v>91</v>
      </c>
      <c r="B274" s="17" t="str">
        <f ca="1">IF($A274&gt;=ROWS(Entries)-2,"",IF(OFFSET('(2)出場選手'!$B$2,$A274,B$1+3*(MOD(ROWS($D$3:D274)-2,Max_Entry_Count)))="","",MOD(ROWS($D$3:D274)-2,Max_Entry_Count)))</f>
        <v/>
      </c>
      <c r="D274" s="26" t="str">
        <f ca="1">IF(OR($A274&gt;=ROWS(Entries)-2,$B274=""),"",'(1)鑑'!$E$6&amp;"-"&amp;OFFSET('(2)出場選手'!$B$2,$A274,D$1))</f>
        <v/>
      </c>
      <c r="E274" s="26" t="str">
        <f ca="1">IF($D274="","",OFFSET('(2)出場選手'!$B$2,$A274,E$1))</f>
        <v/>
      </c>
      <c r="F274" s="26" t="str">
        <f ca="1">IF($D274="","",IF(OFFSET('(2)出場選手'!$B$2,$A274,F$1)="","",OFFSET('(2)出場選手'!$B$2,$A274,F$1)))</f>
        <v/>
      </c>
      <c r="G274" s="26" t="str">
        <f t="shared" ca="1" si="18"/>
        <v/>
      </c>
      <c r="H274" s="26" t="str">
        <f t="shared" ca="1" si="26"/>
        <v/>
      </c>
      <c r="I274" s="26" t="str">
        <f ca="1">IF($D274="","",IF(OFFSET('(2)出場選手'!$B$2,$A274,I$1)="","",OFFSET('(2)出場選手'!$B$2,$A274,I$1)))</f>
        <v/>
      </c>
      <c r="J274" s="26" t="str">
        <f ca="1">IF($D274="","",IF(OFFSET('(2)出場選手'!$B$2,$A274,J$1)="",'(1)鑑'!$E$6,OFFSET('(2)出場選手'!$B$2,$A274,J$1)))</f>
        <v/>
      </c>
      <c r="K274" s="26" t="str">
        <f ca="1">IF($D274="","",TRIM(ASC(IF(OFFSET('(2)出場選手'!$B$2,$A274,K$1)="",'(1)鑑'!$E$7,OFFSET('(2)出場選手'!$B$2,$A274,K$1)))))</f>
        <v/>
      </c>
      <c r="L274" s="26" t="str">
        <f ca="1">IF($D274="","",SUBSTITUTE(SUBSTITUTE(SUBSTITUTE(IF(OFFSET('(2)出場選手'!$B$2,$A274,L$1)="",'(1)鑑'!$E$8,OFFSET('(2)出場選手'!$B$2,$A274,L$1)),"県",""),"府",""),"東京都","東京"))</f>
        <v/>
      </c>
      <c r="M274" s="57" t="str">
        <f ca="1">IF($D274="","",IF(OFFSET('(2)出場選手'!$B$2,$A274,M$1)="","",OFFSET('(2)出場選手'!$B$2,$A274,M$1)))</f>
        <v/>
      </c>
      <c r="N274" s="26" t="str">
        <f ca="1">IF($D274="","",OFFSET('(2)出場選手'!$B$2,$A274,N$1+3*$B274))</f>
        <v/>
      </c>
      <c r="O274" s="26" t="str">
        <f ca="1">IF($D274="","",IF(OFFSET('(2)出場選手'!$B$2,$A274,O$1+3*$B274)="","",OFFSET('(2)出場選手'!$B$2,$A274,O$1+3*$B274)))</f>
        <v/>
      </c>
      <c r="P274" s="26" t="str">
        <f ca="1">IF($D274="","",IF(OFFSET('(2)出場選手'!$B$2,$A274,P$1+3*$B274)="","",OFFSET('(2)出場選手'!$B$2,$A274,P$1+3*$B274)))</f>
        <v/>
      </c>
      <c r="Q274" s="43" t="str">
        <f ca="1">IF(D274="","",VLOOKUP(N274,OFFSET(Competition_Events,0,1),11,FALSE)*IF($S274="リレー",IF(COUNTIF($T$3:$T274,$T274)&gt;1,0,1),1))</f>
        <v/>
      </c>
      <c r="R274" s="26" t="str">
        <f t="shared" ca="1" si="20"/>
        <v/>
      </c>
      <c r="S274" s="26" t="str">
        <f t="shared" ca="1" si="21"/>
        <v/>
      </c>
      <c r="T274" s="26" t="str">
        <f t="shared" ca="1" si="22"/>
        <v/>
      </c>
      <c r="U274" s="26" t="str">
        <f t="shared" ca="1" si="25"/>
        <v/>
      </c>
      <c r="W274" s="17" t="str">
        <f ca="1">IF($D274="","",OFFSET('(2)出場選手'!$B$2,$A274,W$1))</f>
        <v/>
      </c>
      <c r="X274" s="17" t="str">
        <f ca="1">IF($D274="","",OFFSET('(2)出場選手'!$B$2,$A274,X$1))</f>
        <v/>
      </c>
      <c r="Y274" s="17" t="str">
        <f ca="1">IF($D274="","",OFFSET('(2)出場選手'!$B$2,$A274,Y$1))</f>
        <v/>
      </c>
      <c r="Z274" s="17" t="str">
        <f ca="1">IF($D274="","",OFFSET('(2)出場選手'!$B$2,$A274,Z$1))</f>
        <v/>
      </c>
    </row>
    <row r="275" spans="1:26" x14ac:dyDescent="0.15">
      <c r="A275" s="17">
        <f>TRUNC((ROWS($D$3:D275)-2)/Max_Entry_Count)+1</f>
        <v>91</v>
      </c>
      <c r="B275" s="17" t="str">
        <f ca="1">IF($A275&gt;=ROWS(Entries)-2,"",IF(OFFSET('(2)出場選手'!$B$2,$A275,B$1+3*(MOD(ROWS($D$3:D275)-2,Max_Entry_Count)))="","",MOD(ROWS($D$3:D275)-2,Max_Entry_Count)))</f>
        <v/>
      </c>
      <c r="D275" s="26" t="str">
        <f ca="1">IF(OR($A275&gt;=ROWS(Entries)-2,$B275=""),"",'(1)鑑'!$E$6&amp;"-"&amp;OFFSET('(2)出場選手'!$B$2,$A275,D$1))</f>
        <v/>
      </c>
      <c r="E275" s="26" t="str">
        <f ca="1">IF($D275="","",OFFSET('(2)出場選手'!$B$2,$A275,E$1))</f>
        <v/>
      </c>
      <c r="F275" s="26" t="str">
        <f ca="1">IF($D275="","",IF(OFFSET('(2)出場選手'!$B$2,$A275,F$1)="","",OFFSET('(2)出場選手'!$B$2,$A275,F$1)))</f>
        <v/>
      </c>
      <c r="G275" s="26" t="str">
        <f t="shared" ca="1" si="18"/>
        <v/>
      </c>
      <c r="H275" s="26" t="str">
        <f t="shared" ca="1" si="26"/>
        <v/>
      </c>
      <c r="I275" s="26" t="str">
        <f ca="1">IF($D275="","",IF(OFFSET('(2)出場選手'!$B$2,$A275,I$1)="","",OFFSET('(2)出場選手'!$B$2,$A275,I$1)))</f>
        <v/>
      </c>
      <c r="J275" s="26" t="str">
        <f ca="1">IF($D275="","",IF(OFFSET('(2)出場選手'!$B$2,$A275,J$1)="",'(1)鑑'!$E$6,OFFSET('(2)出場選手'!$B$2,$A275,J$1)))</f>
        <v/>
      </c>
      <c r="K275" s="26" t="str">
        <f ca="1">IF($D275="","",TRIM(ASC(IF(OFFSET('(2)出場選手'!$B$2,$A275,K$1)="",'(1)鑑'!$E$7,OFFSET('(2)出場選手'!$B$2,$A275,K$1)))))</f>
        <v/>
      </c>
      <c r="L275" s="26" t="str">
        <f ca="1">IF($D275="","",SUBSTITUTE(SUBSTITUTE(SUBSTITUTE(IF(OFFSET('(2)出場選手'!$B$2,$A275,L$1)="",'(1)鑑'!$E$8,OFFSET('(2)出場選手'!$B$2,$A275,L$1)),"県",""),"府",""),"東京都","東京"))</f>
        <v/>
      </c>
      <c r="M275" s="57" t="str">
        <f ca="1">IF($D275="","",IF(OFFSET('(2)出場選手'!$B$2,$A275,M$1)="","",OFFSET('(2)出場選手'!$B$2,$A275,M$1)))</f>
        <v/>
      </c>
      <c r="N275" s="26" t="str">
        <f ca="1">IF($D275="","",OFFSET('(2)出場選手'!$B$2,$A275,N$1+3*$B275))</f>
        <v/>
      </c>
      <c r="O275" s="26" t="str">
        <f ca="1">IF($D275="","",IF(OFFSET('(2)出場選手'!$B$2,$A275,O$1+3*$B275)="","",OFFSET('(2)出場選手'!$B$2,$A275,O$1+3*$B275)))</f>
        <v/>
      </c>
      <c r="P275" s="26" t="str">
        <f ca="1">IF($D275="","",IF(OFFSET('(2)出場選手'!$B$2,$A275,P$1+3*$B275)="","",OFFSET('(2)出場選手'!$B$2,$A275,P$1+3*$B275)))</f>
        <v/>
      </c>
      <c r="Q275" s="43" t="str">
        <f ca="1">IF(D275="","",VLOOKUP(N275,OFFSET(Competition_Events,0,1),11,FALSE)*IF($S275="リレー",IF(COUNTIF($T$3:$T275,$T275)&gt;1,0,1),1))</f>
        <v/>
      </c>
      <c r="R275" s="26" t="str">
        <f t="shared" ca="1" si="20"/>
        <v/>
      </c>
      <c r="S275" s="26" t="str">
        <f t="shared" ca="1" si="21"/>
        <v/>
      </c>
      <c r="T275" s="26" t="str">
        <f t="shared" ca="1" si="22"/>
        <v/>
      </c>
      <c r="U275" s="26" t="str">
        <f t="shared" ca="1" si="25"/>
        <v/>
      </c>
      <c r="W275" s="17" t="str">
        <f ca="1">IF($D275="","",OFFSET('(2)出場選手'!$B$2,$A275,W$1))</f>
        <v/>
      </c>
      <c r="X275" s="17" t="str">
        <f ca="1">IF($D275="","",OFFSET('(2)出場選手'!$B$2,$A275,X$1))</f>
        <v/>
      </c>
      <c r="Y275" s="17" t="str">
        <f ca="1">IF($D275="","",OFFSET('(2)出場選手'!$B$2,$A275,Y$1))</f>
        <v/>
      </c>
      <c r="Z275" s="17" t="str">
        <f ca="1">IF($D275="","",OFFSET('(2)出場選手'!$B$2,$A275,Z$1))</f>
        <v/>
      </c>
    </row>
    <row r="276" spans="1:26" x14ac:dyDescent="0.15">
      <c r="A276" s="17">
        <f>TRUNC((ROWS($D$3:D276)-2)/Max_Entry_Count)+1</f>
        <v>91</v>
      </c>
      <c r="B276" s="17" t="str">
        <f ca="1">IF($A276&gt;=ROWS(Entries)-2,"",IF(OFFSET('(2)出場選手'!$B$2,$A276,B$1+3*(MOD(ROWS($D$3:D276)-2,Max_Entry_Count)))="","",MOD(ROWS($D$3:D276)-2,Max_Entry_Count)))</f>
        <v/>
      </c>
      <c r="D276" s="26" t="str">
        <f ca="1">IF(OR($A276&gt;=ROWS(Entries)-2,$B276=""),"",'(1)鑑'!$E$6&amp;"-"&amp;OFFSET('(2)出場選手'!$B$2,$A276,D$1))</f>
        <v/>
      </c>
      <c r="E276" s="26" t="str">
        <f ca="1">IF($D276="","",OFFSET('(2)出場選手'!$B$2,$A276,E$1))</f>
        <v/>
      </c>
      <c r="F276" s="26" t="str">
        <f ca="1">IF($D276="","",IF(OFFSET('(2)出場選手'!$B$2,$A276,F$1)="","",OFFSET('(2)出場選手'!$B$2,$A276,F$1)))</f>
        <v/>
      </c>
      <c r="G276" s="26" t="str">
        <f t="shared" ca="1" si="18"/>
        <v/>
      </c>
      <c r="H276" s="26" t="str">
        <f t="shared" ca="1" si="26"/>
        <v/>
      </c>
      <c r="I276" s="26" t="str">
        <f ca="1">IF($D276="","",IF(OFFSET('(2)出場選手'!$B$2,$A276,I$1)="","",OFFSET('(2)出場選手'!$B$2,$A276,I$1)))</f>
        <v/>
      </c>
      <c r="J276" s="26" t="str">
        <f ca="1">IF($D276="","",IF(OFFSET('(2)出場選手'!$B$2,$A276,J$1)="",'(1)鑑'!$E$6,OFFSET('(2)出場選手'!$B$2,$A276,J$1)))</f>
        <v/>
      </c>
      <c r="K276" s="26" t="str">
        <f ca="1">IF($D276="","",TRIM(ASC(IF(OFFSET('(2)出場選手'!$B$2,$A276,K$1)="",'(1)鑑'!$E$7,OFFSET('(2)出場選手'!$B$2,$A276,K$1)))))</f>
        <v/>
      </c>
      <c r="L276" s="26" t="str">
        <f ca="1">IF($D276="","",SUBSTITUTE(SUBSTITUTE(SUBSTITUTE(IF(OFFSET('(2)出場選手'!$B$2,$A276,L$1)="",'(1)鑑'!$E$8,OFFSET('(2)出場選手'!$B$2,$A276,L$1)),"県",""),"府",""),"東京都","東京"))</f>
        <v/>
      </c>
      <c r="M276" s="57" t="str">
        <f ca="1">IF($D276="","",IF(OFFSET('(2)出場選手'!$B$2,$A276,M$1)="","",OFFSET('(2)出場選手'!$B$2,$A276,M$1)))</f>
        <v/>
      </c>
      <c r="N276" s="26" t="str">
        <f ca="1">IF($D276="","",OFFSET('(2)出場選手'!$B$2,$A276,N$1+3*$B276))</f>
        <v/>
      </c>
      <c r="O276" s="26" t="str">
        <f ca="1">IF($D276="","",IF(OFFSET('(2)出場選手'!$B$2,$A276,O$1+3*$B276)="","",OFFSET('(2)出場選手'!$B$2,$A276,O$1+3*$B276)))</f>
        <v/>
      </c>
      <c r="P276" s="26" t="str">
        <f ca="1">IF($D276="","",IF(OFFSET('(2)出場選手'!$B$2,$A276,P$1+3*$B276)="","",OFFSET('(2)出場選手'!$B$2,$A276,P$1+3*$B276)))</f>
        <v/>
      </c>
      <c r="Q276" s="43" t="str">
        <f ca="1">IF(D276="","",VLOOKUP(N276,OFFSET(Competition_Events,0,1),11,FALSE)*IF($S276="リレー",IF(COUNTIF($T$3:$T276,$T276)&gt;1,0,1),1))</f>
        <v/>
      </c>
      <c r="R276" s="26" t="str">
        <f t="shared" ca="1" si="20"/>
        <v/>
      </c>
      <c r="S276" s="26" t="str">
        <f t="shared" ca="1" si="21"/>
        <v/>
      </c>
      <c r="T276" s="26" t="str">
        <f t="shared" ca="1" si="22"/>
        <v/>
      </c>
      <c r="U276" s="26" t="str">
        <f t="shared" ca="1" si="25"/>
        <v/>
      </c>
      <c r="W276" s="17" t="str">
        <f ca="1">IF($D276="","",OFFSET('(2)出場選手'!$B$2,$A276,W$1))</f>
        <v/>
      </c>
      <c r="X276" s="17" t="str">
        <f ca="1">IF($D276="","",OFFSET('(2)出場選手'!$B$2,$A276,X$1))</f>
        <v/>
      </c>
      <c r="Y276" s="17" t="str">
        <f ca="1">IF($D276="","",OFFSET('(2)出場選手'!$B$2,$A276,Y$1))</f>
        <v/>
      </c>
      <c r="Z276" s="17" t="str">
        <f ca="1">IF($D276="","",OFFSET('(2)出場選手'!$B$2,$A276,Z$1))</f>
        <v/>
      </c>
    </row>
    <row r="277" spans="1:26" x14ac:dyDescent="0.15">
      <c r="A277" s="17">
        <f>TRUNC((ROWS($D$3:D277)-2)/Max_Entry_Count)+1</f>
        <v>92</v>
      </c>
      <c r="B277" s="17" t="str">
        <f ca="1">IF($A277&gt;=ROWS(Entries)-2,"",IF(OFFSET('(2)出場選手'!$B$2,$A277,B$1+3*(MOD(ROWS($D$3:D277)-2,Max_Entry_Count)))="","",MOD(ROWS($D$3:D277)-2,Max_Entry_Count)))</f>
        <v/>
      </c>
      <c r="D277" s="26" t="str">
        <f ca="1">IF(OR($A277&gt;=ROWS(Entries)-2,$B277=""),"",'(1)鑑'!$E$6&amp;"-"&amp;OFFSET('(2)出場選手'!$B$2,$A277,D$1))</f>
        <v/>
      </c>
      <c r="E277" s="26" t="str">
        <f ca="1">IF($D277="","",OFFSET('(2)出場選手'!$B$2,$A277,E$1))</f>
        <v/>
      </c>
      <c r="F277" s="26" t="str">
        <f ca="1">IF($D277="","",IF(OFFSET('(2)出場選手'!$B$2,$A277,F$1)="","",OFFSET('(2)出場選手'!$B$2,$A277,F$1)))</f>
        <v/>
      </c>
      <c r="G277" s="26" t="str">
        <f t="shared" ca="1" si="18"/>
        <v/>
      </c>
      <c r="H277" s="26" t="str">
        <f t="shared" ca="1" si="26"/>
        <v/>
      </c>
      <c r="I277" s="26" t="str">
        <f ca="1">IF($D277="","",IF(OFFSET('(2)出場選手'!$B$2,$A277,I$1)="","",OFFSET('(2)出場選手'!$B$2,$A277,I$1)))</f>
        <v/>
      </c>
      <c r="J277" s="26" t="str">
        <f ca="1">IF($D277="","",IF(OFFSET('(2)出場選手'!$B$2,$A277,J$1)="",'(1)鑑'!$E$6,OFFSET('(2)出場選手'!$B$2,$A277,J$1)))</f>
        <v/>
      </c>
      <c r="K277" s="26" t="str">
        <f ca="1">IF($D277="","",TRIM(ASC(IF(OFFSET('(2)出場選手'!$B$2,$A277,K$1)="",'(1)鑑'!$E$7,OFFSET('(2)出場選手'!$B$2,$A277,K$1)))))</f>
        <v/>
      </c>
      <c r="L277" s="26" t="str">
        <f ca="1">IF($D277="","",SUBSTITUTE(SUBSTITUTE(SUBSTITUTE(IF(OFFSET('(2)出場選手'!$B$2,$A277,L$1)="",'(1)鑑'!$E$8,OFFSET('(2)出場選手'!$B$2,$A277,L$1)),"県",""),"府",""),"東京都","東京"))</f>
        <v/>
      </c>
      <c r="M277" s="57" t="str">
        <f ca="1">IF($D277="","",IF(OFFSET('(2)出場選手'!$B$2,$A277,M$1)="","",OFFSET('(2)出場選手'!$B$2,$A277,M$1)))</f>
        <v/>
      </c>
      <c r="N277" s="26" t="str">
        <f ca="1">IF($D277="","",OFFSET('(2)出場選手'!$B$2,$A277,N$1+3*$B277))</f>
        <v/>
      </c>
      <c r="O277" s="26" t="str">
        <f ca="1">IF($D277="","",IF(OFFSET('(2)出場選手'!$B$2,$A277,O$1+3*$B277)="","",OFFSET('(2)出場選手'!$B$2,$A277,O$1+3*$B277)))</f>
        <v/>
      </c>
      <c r="P277" s="26" t="str">
        <f ca="1">IF($D277="","",IF(OFFSET('(2)出場選手'!$B$2,$A277,P$1+3*$B277)="","",OFFSET('(2)出場選手'!$B$2,$A277,P$1+3*$B277)))</f>
        <v/>
      </c>
      <c r="Q277" s="43" t="str">
        <f ca="1">IF(D277="","",VLOOKUP(N277,OFFSET(Competition_Events,0,1),11,FALSE)*IF($S277="リレー",IF(COUNTIF($T$3:$T277,$T277)&gt;1,0,1),1))</f>
        <v/>
      </c>
      <c r="R277" s="26" t="str">
        <f t="shared" ca="1" si="20"/>
        <v/>
      </c>
      <c r="S277" s="26" t="str">
        <f t="shared" ca="1" si="21"/>
        <v/>
      </c>
      <c r="T277" s="26" t="str">
        <f t="shared" ca="1" si="22"/>
        <v/>
      </c>
      <c r="U277" s="26" t="str">
        <f t="shared" ca="1" si="25"/>
        <v/>
      </c>
      <c r="W277" s="17" t="str">
        <f ca="1">IF($D277="","",OFFSET('(2)出場選手'!$B$2,$A277,W$1))</f>
        <v/>
      </c>
      <c r="X277" s="17" t="str">
        <f ca="1">IF($D277="","",OFFSET('(2)出場選手'!$B$2,$A277,X$1))</f>
        <v/>
      </c>
      <c r="Y277" s="17" t="str">
        <f ca="1">IF($D277="","",OFFSET('(2)出場選手'!$B$2,$A277,Y$1))</f>
        <v/>
      </c>
      <c r="Z277" s="17" t="str">
        <f ca="1">IF($D277="","",OFFSET('(2)出場選手'!$B$2,$A277,Z$1))</f>
        <v/>
      </c>
    </row>
    <row r="278" spans="1:26" x14ac:dyDescent="0.15">
      <c r="A278" s="17">
        <f>TRUNC((ROWS($D$3:D278)-2)/Max_Entry_Count)+1</f>
        <v>92</v>
      </c>
      <c r="B278" s="17" t="str">
        <f ca="1">IF($A278&gt;=ROWS(Entries)-2,"",IF(OFFSET('(2)出場選手'!$B$2,$A278,B$1+3*(MOD(ROWS($D$3:D278)-2,Max_Entry_Count)))="","",MOD(ROWS($D$3:D278)-2,Max_Entry_Count)))</f>
        <v/>
      </c>
      <c r="D278" s="26" t="str">
        <f ca="1">IF(OR($A278&gt;=ROWS(Entries)-2,$B278=""),"",'(1)鑑'!$E$6&amp;"-"&amp;OFFSET('(2)出場選手'!$B$2,$A278,D$1))</f>
        <v/>
      </c>
      <c r="E278" s="26" t="str">
        <f ca="1">IF($D278="","",OFFSET('(2)出場選手'!$B$2,$A278,E$1))</f>
        <v/>
      </c>
      <c r="F278" s="26" t="str">
        <f ca="1">IF($D278="","",IF(OFFSET('(2)出場選手'!$B$2,$A278,F$1)="","",OFFSET('(2)出場選手'!$B$2,$A278,F$1)))</f>
        <v/>
      </c>
      <c r="G278" s="26" t="str">
        <f t="shared" ca="1" si="18"/>
        <v/>
      </c>
      <c r="H278" s="26" t="str">
        <f t="shared" ca="1" si="26"/>
        <v/>
      </c>
      <c r="I278" s="26" t="str">
        <f ca="1">IF($D278="","",IF(OFFSET('(2)出場選手'!$B$2,$A278,I$1)="","",OFFSET('(2)出場選手'!$B$2,$A278,I$1)))</f>
        <v/>
      </c>
      <c r="J278" s="26" t="str">
        <f ca="1">IF($D278="","",IF(OFFSET('(2)出場選手'!$B$2,$A278,J$1)="",'(1)鑑'!$E$6,OFFSET('(2)出場選手'!$B$2,$A278,J$1)))</f>
        <v/>
      </c>
      <c r="K278" s="26" t="str">
        <f ca="1">IF($D278="","",TRIM(ASC(IF(OFFSET('(2)出場選手'!$B$2,$A278,K$1)="",'(1)鑑'!$E$7,OFFSET('(2)出場選手'!$B$2,$A278,K$1)))))</f>
        <v/>
      </c>
      <c r="L278" s="26" t="str">
        <f ca="1">IF($D278="","",SUBSTITUTE(SUBSTITUTE(SUBSTITUTE(IF(OFFSET('(2)出場選手'!$B$2,$A278,L$1)="",'(1)鑑'!$E$8,OFFSET('(2)出場選手'!$B$2,$A278,L$1)),"県",""),"府",""),"東京都","東京"))</f>
        <v/>
      </c>
      <c r="M278" s="57" t="str">
        <f ca="1">IF($D278="","",IF(OFFSET('(2)出場選手'!$B$2,$A278,M$1)="","",OFFSET('(2)出場選手'!$B$2,$A278,M$1)))</f>
        <v/>
      </c>
      <c r="N278" s="26" t="str">
        <f ca="1">IF($D278="","",OFFSET('(2)出場選手'!$B$2,$A278,N$1+3*$B278))</f>
        <v/>
      </c>
      <c r="O278" s="26" t="str">
        <f ca="1">IF($D278="","",IF(OFFSET('(2)出場選手'!$B$2,$A278,O$1+3*$B278)="","",OFFSET('(2)出場選手'!$B$2,$A278,O$1+3*$B278)))</f>
        <v/>
      </c>
      <c r="P278" s="26" t="str">
        <f ca="1">IF($D278="","",IF(OFFSET('(2)出場選手'!$B$2,$A278,P$1+3*$B278)="","",OFFSET('(2)出場選手'!$B$2,$A278,P$1+3*$B278)))</f>
        <v/>
      </c>
      <c r="Q278" s="43" t="str">
        <f ca="1">IF(D278="","",VLOOKUP(N278,OFFSET(Competition_Events,0,1),11,FALSE)*IF($S278="リレー",IF(COUNTIF($T$3:$T278,$T278)&gt;1,0,1),1))</f>
        <v/>
      </c>
      <c r="R278" s="26" t="str">
        <f t="shared" ca="1" si="20"/>
        <v/>
      </c>
      <c r="S278" s="26" t="str">
        <f t="shared" ca="1" si="21"/>
        <v/>
      </c>
      <c r="T278" s="26" t="str">
        <f t="shared" ca="1" si="22"/>
        <v/>
      </c>
      <c r="U278" s="26" t="str">
        <f t="shared" ca="1" si="25"/>
        <v/>
      </c>
      <c r="W278" s="17" t="str">
        <f ca="1">IF($D278="","",OFFSET('(2)出場選手'!$B$2,$A278,W$1))</f>
        <v/>
      </c>
      <c r="X278" s="17" t="str">
        <f ca="1">IF($D278="","",OFFSET('(2)出場選手'!$B$2,$A278,X$1))</f>
        <v/>
      </c>
      <c r="Y278" s="17" t="str">
        <f ca="1">IF($D278="","",OFFSET('(2)出場選手'!$B$2,$A278,Y$1))</f>
        <v/>
      </c>
      <c r="Z278" s="17" t="str">
        <f ca="1">IF($D278="","",OFFSET('(2)出場選手'!$B$2,$A278,Z$1))</f>
        <v/>
      </c>
    </row>
    <row r="279" spans="1:26" x14ac:dyDescent="0.15">
      <c r="A279" s="17">
        <f>TRUNC((ROWS($D$3:D279)-2)/Max_Entry_Count)+1</f>
        <v>92</v>
      </c>
      <c r="B279" s="17" t="str">
        <f ca="1">IF($A279&gt;=ROWS(Entries)-2,"",IF(OFFSET('(2)出場選手'!$B$2,$A279,B$1+3*(MOD(ROWS($D$3:D279)-2,Max_Entry_Count)))="","",MOD(ROWS($D$3:D279)-2,Max_Entry_Count)))</f>
        <v/>
      </c>
      <c r="D279" s="26" t="str">
        <f ca="1">IF(OR($A279&gt;=ROWS(Entries)-2,$B279=""),"",'(1)鑑'!$E$6&amp;"-"&amp;OFFSET('(2)出場選手'!$B$2,$A279,D$1))</f>
        <v/>
      </c>
      <c r="E279" s="26" t="str">
        <f ca="1">IF($D279="","",OFFSET('(2)出場選手'!$B$2,$A279,E$1))</f>
        <v/>
      </c>
      <c r="F279" s="26" t="str">
        <f ca="1">IF($D279="","",IF(OFFSET('(2)出場選手'!$B$2,$A279,F$1)="","",OFFSET('(2)出場選手'!$B$2,$A279,F$1)))</f>
        <v/>
      </c>
      <c r="G279" s="26" t="str">
        <f t="shared" ca="1" si="18"/>
        <v/>
      </c>
      <c r="H279" s="26" t="str">
        <f t="shared" ca="1" si="26"/>
        <v/>
      </c>
      <c r="I279" s="26" t="str">
        <f ca="1">IF($D279="","",IF(OFFSET('(2)出場選手'!$B$2,$A279,I$1)="","",OFFSET('(2)出場選手'!$B$2,$A279,I$1)))</f>
        <v/>
      </c>
      <c r="J279" s="26" t="str">
        <f ca="1">IF($D279="","",IF(OFFSET('(2)出場選手'!$B$2,$A279,J$1)="",'(1)鑑'!$E$6,OFFSET('(2)出場選手'!$B$2,$A279,J$1)))</f>
        <v/>
      </c>
      <c r="K279" s="26" t="str">
        <f ca="1">IF($D279="","",TRIM(ASC(IF(OFFSET('(2)出場選手'!$B$2,$A279,K$1)="",'(1)鑑'!$E$7,OFFSET('(2)出場選手'!$B$2,$A279,K$1)))))</f>
        <v/>
      </c>
      <c r="L279" s="26" t="str">
        <f ca="1">IF($D279="","",SUBSTITUTE(SUBSTITUTE(SUBSTITUTE(IF(OFFSET('(2)出場選手'!$B$2,$A279,L$1)="",'(1)鑑'!$E$8,OFFSET('(2)出場選手'!$B$2,$A279,L$1)),"県",""),"府",""),"東京都","東京"))</f>
        <v/>
      </c>
      <c r="M279" s="57" t="str">
        <f ca="1">IF($D279="","",IF(OFFSET('(2)出場選手'!$B$2,$A279,M$1)="","",OFFSET('(2)出場選手'!$B$2,$A279,M$1)))</f>
        <v/>
      </c>
      <c r="N279" s="26" t="str">
        <f ca="1">IF($D279="","",OFFSET('(2)出場選手'!$B$2,$A279,N$1+3*$B279))</f>
        <v/>
      </c>
      <c r="O279" s="26" t="str">
        <f ca="1">IF($D279="","",IF(OFFSET('(2)出場選手'!$B$2,$A279,O$1+3*$B279)="","",OFFSET('(2)出場選手'!$B$2,$A279,O$1+3*$B279)))</f>
        <v/>
      </c>
      <c r="P279" s="26" t="str">
        <f ca="1">IF($D279="","",IF(OFFSET('(2)出場選手'!$B$2,$A279,P$1+3*$B279)="","",OFFSET('(2)出場選手'!$B$2,$A279,P$1+3*$B279)))</f>
        <v/>
      </c>
      <c r="Q279" s="43" t="str">
        <f ca="1">IF(D279="","",VLOOKUP(N279,OFFSET(Competition_Events,0,1),11,FALSE)*IF($S279="リレー",IF(COUNTIF($T$3:$T279,$T279)&gt;1,0,1),1))</f>
        <v/>
      </c>
      <c r="R279" s="26" t="str">
        <f t="shared" ca="1" si="20"/>
        <v/>
      </c>
      <c r="S279" s="26" t="str">
        <f t="shared" ca="1" si="21"/>
        <v/>
      </c>
      <c r="T279" s="26" t="str">
        <f t="shared" ca="1" si="22"/>
        <v/>
      </c>
      <c r="U279" s="26" t="str">
        <f t="shared" ca="1" si="25"/>
        <v/>
      </c>
      <c r="W279" s="17" t="str">
        <f ca="1">IF($D279="","",OFFSET('(2)出場選手'!$B$2,$A279,W$1))</f>
        <v/>
      </c>
      <c r="X279" s="17" t="str">
        <f ca="1">IF($D279="","",OFFSET('(2)出場選手'!$B$2,$A279,X$1))</f>
        <v/>
      </c>
      <c r="Y279" s="17" t="str">
        <f ca="1">IF($D279="","",OFFSET('(2)出場選手'!$B$2,$A279,Y$1))</f>
        <v/>
      </c>
      <c r="Z279" s="17" t="str">
        <f ca="1">IF($D279="","",OFFSET('(2)出場選手'!$B$2,$A279,Z$1))</f>
        <v/>
      </c>
    </row>
    <row r="280" spans="1:26" x14ac:dyDescent="0.15">
      <c r="A280" s="17">
        <f>TRUNC((ROWS($D$3:D280)-2)/Max_Entry_Count)+1</f>
        <v>93</v>
      </c>
      <c r="B280" s="17" t="str">
        <f ca="1">IF($A280&gt;=ROWS(Entries)-2,"",IF(OFFSET('(2)出場選手'!$B$2,$A280,B$1+3*(MOD(ROWS($D$3:D280)-2,Max_Entry_Count)))="","",MOD(ROWS($D$3:D280)-2,Max_Entry_Count)))</f>
        <v/>
      </c>
      <c r="D280" s="26" t="str">
        <f ca="1">IF(OR($A280&gt;=ROWS(Entries)-2,$B280=""),"",'(1)鑑'!$E$6&amp;"-"&amp;OFFSET('(2)出場選手'!$B$2,$A280,D$1))</f>
        <v/>
      </c>
      <c r="E280" s="26" t="str">
        <f ca="1">IF($D280="","",OFFSET('(2)出場選手'!$B$2,$A280,E$1))</f>
        <v/>
      </c>
      <c r="F280" s="26" t="str">
        <f ca="1">IF($D280="","",IF(OFFSET('(2)出場選手'!$B$2,$A280,F$1)="","",OFFSET('(2)出場選手'!$B$2,$A280,F$1)))</f>
        <v/>
      </c>
      <c r="G280" s="26" t="str">
        <f t="shared" ca="1" si="18"/>
        <v/>
      </c>
      <c r="H280" s="26" t="str">
        <f t="shared" ca="1" si="26"/>
        <v/>
      </c>
      <c r="I280" s="26" t="str">
        <f ca="1">IF($D280="","",IF(OFFSET('(2)出場選手'!$B$2,$A280,I$1)="","",OFFSET('(2)出場選手'!$B$2,$A280,I$1)))</f>
        <v/>
      </c>
      <c r="J280" s="26" t="str">
        <f ca="1">IF($D280="","",IF(OFFSET('(2)出場選手'!$B$2,$A280,J$1)="",'(1)鑑'!$E$6,OFFSET('(2)出場選手'!$B$2,$A280,J$1)))</f>
        <v/>
      </c>
      <c r="K280" s="26" t="str">
        <f ca="1">IF($D280="","",TRIM(ASC(IF(OFFSET('(2)出場選手'!$B$2,$A280,K$1)="",'(1)鑑'!$E$7,OFFSET('(2)出場選手'!$B$2,$A280,K$1)))))</f>
        <v/>
      </c>
      <c r="L280" s="26" t="str">
        <f ca="1">IF($D280="","",SUBSTITUTE(SUBSTITUTE(SUBSTITUTE(IF(OFFSET('(2)出場選手'!$B$2,$A280,L$1)="",'(1)鑑'!$E$8,OFFSET('(2)出場選手'!$B$2,$A280,L$1)),"県",""),"府",""),"東京都","東京"))</f>
        <v/>
      </c>
      <c r="M280" s="57" t="str">
        <f ca="1">IF($D280="","",IF(OFFSET('(2)出場選手'!$B$2,$A280,M$1)="","",OFFSET('(2)出場選手'!$B$2,$A280,M$1)))</f>
        <v/>
      </c>
      <c r="N280" s="26" t="str">
        <f ca="1">IF($D280="","",OFFSET('(2)出場選手'!$B$2,$A280,N$1+3*$B280))</f>
        <v/>
      </c>
      <c r="O280" s="26" t="str">
        <f ca="1">IF($D280="","",IF(OFFSET('(2)出場選手'!$B$2,$A280,O$1+3*$B280)="","",OFFSET('(2)出場選手'!$B$2,$A280,O$1+3*$B280)))</f>
        <v/>
      </c>
      <c r="P280" s="26" t="str">
        <f ca="1">IF($D280="","",IF(OFFSET('(2)出場選手'!$B$2,$A280,P$1+3*$B280)="","",OFFSET('(2)出場選手'!$B$2,$A280,P$1+3*$B280)))</f>
        <v/>
      </c>
      <c r="Q280" s="43" t="str">
        <f ca="1">IF(D280="","",VLOOKUP(N280,OFFSET(Competition_Events,0,1),11,FALSE)*IF($S280="リレー",IF(COUNTIF($T$3:$T280,$T280)&gt;1,0,1),1))</f>
        <v/>
      </c>
      <c r="R280" s="26" t="str">
        <f t="shared" ca="1" si="20"/>
        <v/>
      </c>
      <c r="S280" s="26" t="str">
        <f t="shared" ca="1" si="21"/>
        <v/>
      </c>
      <c r="T280" s="26" t="str">
        <f t="shared" ca="1" si="22"/>
        <v/>
      </c>
      <c r="U280" s="26" t="str">
        <f t="shared" ca="1" si="25"/>
        <v/>
      </c>
      <c r="W280" s="17" t="str">
        <f ca="1">IF($D280="","",OFFSET('(2)出場選手'!$B$2,$A280,W$1))</f>
        <v/>
      </c>
      <c r="X280" s="17" t="str">
        <f ca="1">IF($D280="","",OFFSET('(2)出場選手'!$B$2,$A280,X$1))</f>
        <v/>
      </c>
      <c r="Y280" s="17" t="str">
        <f ca="1">IF($D280="","",OFFSET('(2)出場選手'!$B$2,$A280,Y$1))</f>
        <v/>
      </c>
      <c r="Z280" s="17" t="str">
        <f ca="1">IF($D280="","",OFFSET('(2)出場選手'!$B$2,$A280,Z$1))</f>
        <v/>
      </c>
    </row>
    <row r="281" spans="1:26" x14ac:dyDescent="0.15">
      <c r="A281" s="17">
        <f>TRUNC((ROWS($D$3:D281)-2)/Max_Entry_Count)+1</f>
        <v>93</v>
      </c>
      <c r="B281" s="17" t="str">
        <f ca="1">IF($A281&gt;=ROWS(Entries)-2,"",IF(OFFSET('(2)出場選手'!$B$2,$A281,B$1+3*(MOD(ROWS($D$3:D281)-2,Max_Entry_Count)))="","",MOD(ROWS($D$3:D281)-2,Max_Entry_Count)))</f>
        <v/>
      </c>
      <c r="D281" s="26" t="str">
        <f ca="1">IF(OR($A281&gt;=ROWS(Entries)-2,$B281=""),"",'(1)鑑'!$E$6&amp;"-"&amp;OFFSET('(2)出場選手'!$B$2,$A281,D$1))</f>
        <v/>
      </c>
      <c r="E281" s="26" t="str">
        <f ca="1">IF($D281="","",OFFSET('(2)出場選手'!$B$2,$A281,E$1))</f>
        <v/>
      </c>
      <c r="F281" s="26" t="str">
        <f ca="1">IF($D281="","",IF(OFFSET('(2)出場選手'!$B$2,$A281,F$1)="","",OFFSET('(2)出場選手'!$B$2,$A281,F$1)))</f>
        <v/>
      </c>
      <c r="G281" s="26" t="str">
        <f t="shared" ca="1" si="18"/>
        <v/>
      </c>
      <c r="H281" s="26" t="str">
        <f t="shared" ca="1" si="26"/>
        <v/>
      </c>
      <c r="I281" s="26" t="str">
        <f ca="1">IF($D281="","",IF(OFFSET('(2)出場選手'!$B$2,$A281,I$1)="","",OFFSET('(2)出場選手'!$B$2,$A281,I$1)))</f>
        <v/>
      </c>
      <c r="J281" s="26" t="str">
        <f ca="1">IF($D281="","",IF(OFFSET('(2)出場選手'!$B$2,$A281,J$1)="",'(1)鑑'!$E$6,OFFSET('(2)出場選手'!$B$2,$A281,J$1)))</f>
        <v/>
      </c>
      <c r="K281" s="26" t="str">
        <f ca="1">IF($D281="","",TRIM(ASC(IF(OFFSET('(2)出場選手'!$B$2,$A281,K$1)="",'(1)鑑'!$E$7,OFFSET('(2)出場選手'!$B$2,$A281,K$1)))))</f>
        <v/>
      </c>
      <c r="L281" s="26" t="str">
        <f ca="1">IF($D281="","",SUBSTITUTE(SUBSTITUTE(SUBSTITUTE(IF(OFFSET('(2)出場選手'!$B$2,$A281,L$1)="",'(1)鑑'!$E$8,OFFSET('(2)出場選手'!$B$2,$A281,L$1)),"県",""),"府",""),"東京都","東京"))</f>
        <v/>
      </c>
      <c r="M281" s="57" t="str">
        <f ca="1">IF($D281="","",IF(OFFSET('(2)出場選手'!$B$2,$A281,M$1)="","",OFFSET('(2)出場選手'!$B$2,$A281,M$1)))</f>
        <v/>
      </c>
      <c r="N281" s="26" t="str">
        <f ca="1">IF($D281="","",OFFSET('(2)出場選手'!$B$2,$A281,N$1+3*$B281))</f>
        <v/>
      </c>
      <c r="O281" s="26" t="str">
        <f ca="1">IF($D281="","",IF(OFFSET('(2)出場選手'!$B$2,$A281,O$1+3*$B281)="","",OFFSET('(2)出場選手'!$B$2,$A281,O$1+3*$B281)))</f>
        <v/>
      </c>
      <c r="P281" s="26" t="str">
        <f ca="1">IF($D281="","",IF(OFFSET('(2)出場選手'!$B$2,$A281,P$1+3*$B281)="","",OFFSET('(2)出場選手'!$B$2,$A281,P$1+3*$B281)))</f>
        <v/>
      </c>
      <c r="Q281" s="43" t="str">
        <f ca="1">IF(D281="","",VLOOKUP(N281,OFFSET(Competition_Events,0,1),11,FALSE)*IF($S281="リレー",IF(COUNTIF($T$3:$T281,$T281)&gt;1,0,1),1))</f>
        <v/>
      </c>
      <c r="R281" s="26" t="str">
        <f t="shared" ca="1" si="20"/>
        <v/>
      </c>
      <c r="S281" s="26" t="str">
        <f t="shared" ca="1" si="21"/>
        <v/>
      </c>
      <c r="T281" s="26" t="str">
        <f t="shared" ca="1" si="22"/>
        <v/>
      </c>
      <c r="U281" s="26" t="str">
        <f t="shared" ca="1" si="25"/>
        <v/>
      </c>
      <c r="W281" s="17" t="str">
        <f ca="1">IF($D281="","",OFFSET('(2)出場選手'!$B$2,$A281,W$1))</f>
        <v/>
      </c>
      <c r="X281" s="17" t="str">
        <f ca="1">IF($D281="","",OFFSET('(2)出場選手'!$B$2,$A281,X$1))</f>
        <v/>
      </c>
      <c r="Y281" s="17" t="str">
        <f ca="1">IF($D281="","",OFFSET('(2)出場選手'!$B$2,$A281,Y$1))</f>
        <v/>
      </c>
      <c r="Z281" s="17" t="str">
        <f ca="1">IF($D281="","",OFFSET('(2)出場選手'!$B$2,$A281,Z$1))</f>
        <v/>
      </c>
    </row>
    <row r="282" spans="1:26" x14ac:dyDescent="0.15">
      <c r="A282" s="17">
        <f>TRUNC((ROWS($D$3:D282)-2)/Max_Entry_Count)+1</f>
        <v>93</v>
      </c>
      <c r="B282" s="17" t="str">
        <f ca="1">IF($A282&gt;=ROWS(Entries)-2,"",IF(OFFSET('(2)出場選手'!$B$2,$A282,B$1+3*(MOD(ROWS($D$3:D282)-2,Max_Entry_Count)))="","",MOD(ROWS($D$3:D282)-2,Max_Entry_Count)))</f>
        <v/>
      </c>
      <c r="D282" s="26" t="str">
        <f ca="1">IF(OR($A282&gt;=ROWS(Entries)-2,$B282=""),"",'(1)鑑'!$E$6&amp;"-"&amp;OFFSET('(2)出場選手'!$B$2,$A282,D$1))</f>
        <v/>
      </c>
      <c r="E282" s="26" t="str">
        <f ca="1">IF($D282="","",OFFSET('(2)出場選手'!$B$2,$A282,E$1))</f>
        <v/>
      </c>
      <c r="F282" s="26" t="str">
        <f ca="1">IF($D282="","",IF(OFFSET('(2)出場選手'!$B$2,$A282,F$1)="","",OFFSET('(2)出場選手'!$B$2,$A282,F$1)))</f>
        <v/>
      </c>
      <c r="G282" s="26" t="str">
        <f t="shared" ca="1" si="18"/>
        <v/>
      </c>
      <c r="H282" s="26" t="str">
        <f t="shared" ca="1" si="26"/>
        <v/>
      </c>
      <c r="I282" s="26" t="str">
        <f ca="1">IF($D282="","",IF(OFFSET('(2)出場選手'!$B$2,$A282,I$1)="","",OFFSET('(2)出場選手'!$B$2,$A282,I$1)))</f>
        <v/>
      </c>
      <c r="J282" s="26" t="str">
        <f ca="1">IF($D282="","",IF(OFFSET('(2)出場選手'!$B$2,$A282,J$1)="",'(1)鑑'!$E$6,OFFSET('(2)出場選手'!$B$2,$A282,J$1)))</f>
        <v/>
      </c>
      <c r="K282" s="26" t="str">
        <f ca="1">IF($D282="","",TRIM(ASC(IF(OFFSET('(2)出場選手'!$B$2,$A282,K$1)="",'(1)鑑'!$E$7,OFFSET('(2)出場選手'!$B$2,$A282,K$1)))))</f>
        <v/>
      </c>
      <c r="L282" s="26" t="str">
        <f ca="1">IF($D282="","",SUBSTITUTE(SUBSTITUTE(SUBSTITUTE(IF(OFFSET('(2)出場選手'!$B$2,$A282,L$1)="",'(1)鑑'!$E$8,OFFSET('(2)出場選手'!$B$2,$A282,L$1)),"県",""),"府",""),"東京都","東京"))</f>
        <v/>
      </c>
      <c r="M282" s="57" t="str">
        <f ca="1">IF($D282="","",IF(OFFSET('(2)出場選手'!$B$2,$A282,M$1)="","",OFFSET('(2)出場選手'!$B$2,$A282,M$1)))</f>
        <v/>
      </c>
      <c r="N282" s="26" t="str">
        <f ca="1">IF($D282="","",OFFSET('(2)出場選手'!$B$2,$A282,N$1+3*$B282))</f>
        <v/>
      </c>
      <c r="O282" s="26" t="str">
        <f ca="1">IF($D282="","",IF(OFFSET('(2)出場選手'!$B$2,$A282,O$1+3*$B282)="","",OFFSET('(2)出場選手'!$B$2,$A282,O$1+3*$B282)))</f>
        <v/>
      </c>
      <c r="P282" s="26" t="str">
        <f ca="1">IF($D282="","",IF(OFFSET('(2)出場選手'!$B$2,$A282,P$1+3*$B282)="","",OFFSET('(2)出場選手'!$B$2,$A282,P$1+3*$B282)))</f>
        <v/>
      </c>
      <c r="Q282" s="43" t="str">
        <f ca="1">IF(D282="","",VLOOKUP(N282,OFFSET(Competition_Events,0,1),11,FALSE)*IF($S282="リレー",IF(COUNTIF($T$3:$T282,$T282)&gt;1,0,1),1))</f>
        <v/>
      </c>
      <c r="R282" s="26" t="str">
        <f t="shared" ca="1" si="20"/>
        <v/>
      </c>
      <c r="S282" s="26" t="str">
        <f t="shared" ca="1" si="21"/>
        <v/>
      </c>
      <c r="T282" s="26" t="str">
        <f t="shared" ca="1" si="22"/>
        <v/>
      </c>
      <c r="U282" s="26" t="str">
        <f t="shared" ca="1" si="25"/>
        <v/>
      </c>
      <c r="W282" s="17" t="str">
        <f ca="1">IF($D282="","",OFFSET('(2)出場選手'!$B$2,$A282,W$1))</f>
        <v/>
      </c>
      <c r="X282" s="17" t="str">
        <f ca="1">IF($D282="","",OFFSET('(2)出場選手'!$B$2,$A282,X$1))</f>
        <v/>
      </c>
      <c r="Y282" s="17" t="str">
        <f ca="1">IF($D282="","",OFFSET('(2)出場選手'!$B$2,$A282,Y$1))</f>
        <v/>
      </c>
      <c r="Z282" s="17" t="str">
        <f ca="1">IF($D282="","",OFFSET('(2)出場選手'!$B$2,$A282,Z$1))</f>
        <v/>
      </c>
    </row>
    <row r="283" spans="1:26" x14ac:dyDescent="0.15">
      <c r="A283" s="17">
        <f>TRUNC((ROWS($D$3:D283)-2)/Max_Entry_Count)+1</f>
        <v>94</v>
      </c>
      <c r="B283" s="17" t="str">
        <f ca="1">IF($A283&gt;=ROWS(Entries)-2,"",IF(OFFSET('(2)出場選手'!$B$2,$A283,B$1+3*(MOD(ROWS($D$3:D283)-2,Max_Entry_Count)))="","",MOD(ROWS($D$3:D283)-2,Max_Entry_Count)))</f>
        <v/>
      </c>
      <c r="D283" s="26" t="str">
        <f ca="1">IF(OR($A283&gt;=ROWS(Entries)-2,$B283=""),"",'(1)鑑'!$E$6&amp;"-"&amp;OFFSET('(2)出場選手'!$B$2,$A283,D$1))</f>
        <v/>
      </c>
      <c r="E283" s="26" t="str">
        <f ca="1">IF($D283="","",OFFSET('(2)出場選手'!$B$2,$A283,E$1))</f>
        <v/>
      </c>
      <c r="F283" s="26" t="str">
        <f ca="1">IF($D283="","",IF(OFFSET('(2)出場選手'!$B$2,$A283,F$1)="","",OFFSET('(2)出場選手'!$B$2,$A283,F$1)))</f>
        <v/>
      </c>
      <c r="G283" s="26" t="str">
        <f t="shared" ca="1" si="18"/>
        <v/>
      </c>
      <c r="H283" s="26" t="str">
        <f t="shared" ca="1" si="26"/>
        <v/>
      </c>
      <c r="I283" s="26" t="str">
        <f ca="1">IF($D283="","",IF(OFFSET('(2)出場選手'!$B$2,$A283,I$1)="","",OFFSET('(2)出場選手'!$B$2,$A283,I$1)))</f>
        <v/>
      </c>
      <c r="J283" s="26" t="str">
        <f ca="1">IF($D283="","",IF(OFFSET('(2)出場選手'!$B$2,$A283,J$1)="",'(1)鑑'!$E$6,OFFSET('(2)出場選手'!$B$2,$A283,J$1)))</f>
        <v/>
      </c>
      <c r="K283" s="26" t="str">
        <f ca="1">IF($D283="","",TRIM(ASC(IF(OFFSET('(2)出場選手'!$B$2,$A283,K$1)="",'(1)鑑'!$E$7,OFFSET('(2)出場選手'!$B$2,$A283,K$1)))))</f>
        <v/>
      </c>
      <c r="L283" s="26" t="str">
        <f ca="1">IF($D283="","",SUBSTITUTE(SUBSTITUTE(SUBSTITUTE(IF(OFFSET('(2)出場選手'!$B$2,$A283,L$1)="",'(1)鑑'!$E$8,OFFSET('(2)出場選手'!$B$2,$A283,L$1)),"県",""),"府",""),"東京都","東京"))</f>
        <v/>
      </c>
      <c r="M283" s="57" t="str">
        <f ca="1">IF($D283="","",IF(OFFSET('(2)出場選手'!$B$2,$A283,M$1)="","",OFFSET('(2)出場選手'!$B$2,$A283,M$1)))</f>
        <v/>
      </c>
      <c r="N283" s="26" t="str">
        <f ca="1">IF($D283="","",OFFSET('(2)出場選手'!$B$2,$A283,N$1+3*$B283))</f>
        <v/>
      </c>
      <c r="O283" s="26" t="str">
        <f ca="1">IF($D283="","",IF(OFFSET('(2)出場選手'!$B$2,$A283,O$1+3*$B283)="","",OFFSET('(2)出場選手'!$B$2,$A283,O$1+3*$B283)))</f>
        <v/>
      </c>
      <c r="P283" s="26" t="str">
        <f ca="1">IF($D283="","",IF(OFFSET('(2)出場選手'!$B$2,$A283,P$1+3*$B283)="","",OFFSET('(2)出場選手'!$B$2,$A283,P$1+3*$B283)))</f>
        <v/>
      </c>
      <c r="Q283" s="43" t="str">
        <f ca="1">IF(D283="","",VLOOKUP(N283,OFFSET(Competition_Events,0,1),11,FALSE)*IF($S283="リレー",IF(COUNTIF($T$3:$T283,$T283)&gt;1,0,1),1))</f>
        <v/>
      </c>
      <c r="R283" s="26" t="str">
        <f t="shared" ca="1" si="20"/>
        <v/>
      </c>
      <c r="S283" s="26" t="str">
        <f t="shared" ca="1" si="21"/>
        <v/>
      </c>
      <c r="T283" s="26" t="str">
        <f t="shared" ca="1" si="22"/>
        <v/>
      </c>
      <c r="U283" s="26" t="str">
        <f t="shared" ca="1" si="25"/>
        <v/>
      </c>
      <c r="W283" s="17" t="str">
        <f ca="1">IF($D283="","",OFFSET('(2)出場選手'!$B$2,$A283,W$1))</f>
        <v/>
      </c>
      <c r="X283" s="17" t="str">
        <f ca="1">IF($D283="","",OFFSET('(2)出場選手'!$B$2,$A283,X$1))</f>
        <v/>
      </c>
      <c r="Y283" s="17" t="str">
        <f ca="1">IF($D283="","",OFFSET('(2)出場選手'!$B$2,$A283,Y$1))</f>
        <v/>
      </c>
      <c r="Z283" s="17" t="str">
        <f ca="1">IF($D283="","",OFFSET('(2)出場選手'!$B$2,$A283,Z$1))</f>
        <v/>
      </c>
    </row>
    <row r="284" spans="1:26" x14ac:dyDescent="0.15">
      <c r="A284" s="17">
        <f>TRUNC((ROWS($D$3:D284)-2)/Max_Entry_Count)+1</f>
        <v>94</v>
      </c>
      <c r="B284" s="17" t="str">
        <f ca="1">IF($A284&gt;=ROWS(Entries)-2,"",IF(OFFSET('(2)出場選手'!$B$2,$A284,B$1+3*(MOD(ROWS($D$3:D284)-2,Max_Entry_Count)))="","",MOD(ROWS($D$3:D284)-2,Max_Entry_Count)))</f>
        <v/>
      </c>
      <c r="D284" s="26" t="str">
        <f ca="1">IF(OR($A284&gt;=ROWS(Entries)-2,$B284=""),"",'(1)鑑'!$E$6&amp;"-"&amp;OFFSET('(2)出場選手'!$B$2,$A284,D$1))</f>
        <v/>
      </c>
      <c r="E284" s="26" t="str">
        <f ca="1">IF($D284="","",OFFSET('(2)出場選手'!$B$2,$A284,E$1))</f>
        <v/>
      </c>
      <c r="F284" s="26" t="str">
        <f ca="1">IF($D284="","",IF(OFFSET('(2)出場選手'!$B$2,$A284,F$1)="","",OFFSET('(2)出場選手'!$B$2,$A284,F$1)))</f>
        <v/>
      </c>
      <c r="G284" s="26" t="str">
        <f t="shared" ca="1" si="18"/>
        <v/>
      </c>
      <c r="H284" s="26" t="str">
        <f t="shared" ca="1" si="26"/>
        <v/>
      </c>
      <c r="I284" s="26" t="str">
        <f ca="1">IF($D284="","",IF(OFFSET('(2)出場選手'!$B$2,$A284,I$1)="","",OFFSET('(2)出場選手'!$B$2,$A284,I$1)))</f>
        <v/>
      </c>
      <c r="J284" s="26" t="str">
        <f ca="1">IF($D284="","",IF(OFFSET('(2)出場選手'!$B$2,$A284,J$1)="",'(1)鑑'!$E$6,OFFSET('(2)出場選手'!$B$2,$A284,J$1)))</f>
        <v/>
      </c>
      <c r="K284" s="26" t="str">
        <f ca="1">IF($D284="","",TRIM(ASC(IF(OFFSET('(2)出場選手'!$B$2,$A284,K$1)="",'(1)鑑'!$E$7,OFFSET('(2)出場選手'!$B$2,$A284,K$1)))))</f>
        <v/>
      </c>
      <c r="L284" s="26" t="str">
        <f ca="1">IF($D284="","",SUBSTITUTE(SUBSTITUTE(SUBSTITUTE(IF(OFFSET('(2)出場選手'!$B$2,$A284,L$1)="",'(1)鑑'!$E$8,OFFSET('(2)出場選手'!$B$2,$A284,L$1)),"県",""),"府",""),"東京都","東京"))</f>
        <v/>
      </c>
      <c r="M284" s="57" t="str">
        <f ca="1">IF($D284="","",IF(OFFSET('(2)出場選手'!$B$2,$A284,M$1)="","",OFFSET('(2)出場選手'!$B$2,$A284,M$1)))</f>
        <v/>
      </c>
      <c r="N284" s="26" t="str">
        <f ca="1">IF($D284="","",OFFSET('(2)出場選手'!$B$2,$A284,N$1+3*$B284))</f>
        <v/>
      </c>
      <c r="O284" s="26" t="str">
        <f ca="1">IF($D284="","",IF(OFFSET('(2)出場選手'!$B$2,$A284,O$1+3*$B284)="","",OFFSET('(2)出場選手'!$B$2,$A284,O$1+3*$B284)))</f>
        <v/>
      </c>
      <c r="P284" s="26" t="str">
        <f ca="1">IF($D284="","",IF(OFFSET('(2)出場選手'!$B$2,$A284,P$1+3*$B284)="","",OFFSET('(2)出場選手'!$B$2,$A284,P$1+3*$B284)))</f>
        <v/>
      </c>
      <c r="Q284" s="43" t="str">
        <f ca="1">IF(D284="","",VLOOKUP(N284,OFFSET(Competition_Events,0,1),11,FALSE)*IF($S284="リレー",IF(COUNTIF($T$3:$T284,$T284)&gt;1,0,1),1))</f>
        <v/>
      </c>
      <c r="R284" s="26" t="str">
        <f t="shared" ca="1" si="20"/>
        <v/>
      </c>
      <c r="S284" s="26" t="str">
        <f t="shared" ca="1" si="21"/>
        <v/>
      </c>
      <c r="T284" s="26" t="str">
        <f t="shared" ca="1" si="22"/>
        <v/>
      </c>
      <c r="U284" s="26" t="str">
        <f t="shared" ca="1" si="25"/>
        <v/>
      </c>
      <c r="W284" s="17" t="str">
        <f ca="1">IF($D284="","",OFFSET('(2)出場選手'!$B$2,$A284,W$1))</f>
        <v/>
      </c>
      <c r="X284" s="17" t="str">
        <f ca="1">IF($D284="","",OFFSET('(2)出場選手'!$B$2,$A284,X$1))</f>
        <v/>
      </c>
      <c r="Y284" s="17" t="str">
        <f ca="1">IF($D284="","",OFFSET('(2)出場選手'!$B$2,$A284,Y$1))</f>
        <v/>
      </c>
      <c r="Z284" s="17" t="str">
        <f ca="1">IF($D284="","",OFFSET('(2)出場選手'!$B$2,$A284,Z$1))</f>
        <v/>
      </c>
    </row>
    <row r="285" spans="1:26" x14ac:dyDescent="0.15">
      <c r="A285" s="17">
        <f>TRUNC((ROWS($D$3:D285)-2)/Max_Entry_Count)+1</f>
        <v>94</v>
      </c>
      <c r="B285" s="17" t="str">
        <f ca="1">IF($A285&gt;=ROWS(Entries)-2,"",IF(OFFSET('(2)出場選手'!$B$2,$A285,B$1+3*(MOD(ROWS($D$3:D285)-2,Max_Entry_Count)))="","",MOD(ROWS($D$3:D285)-2,Max_Entry_Count)))</f>
        <v/>
      </c>
      <c r="D285" s="26" t="str">
        <f ca="1">IF(OR($A285&gt;=ROWS(Entries)-2,$B285=""),"",'(1)鑑'!$E$6&amp;"-"&amp;OFFSET('(2)出場選手'!$B$2,$A285,D$1))</f>
        <v/>
      </c>
      <c r="E285" s="26" t="str">
        <f ca="1">IF($D285="","",OFFSET('(2)出場選手'!$B$2,$A285,E$1))</f>
        <v/>
      </c>
      <c r="F285" s="26" t="str">
        <f ca="1">IF($D285="","",IF(OFFSET('(2)出場選手'!$B$2,$A285,F$1)="","",OFFSET('(2)出場選手'!$B$2,$A285,F$1)))</f>
        <v/>
      </c>
      <c r="G285" s="26" t="str">
        <f t="shared" ca="1" si="18"/>
        <v/>
      </c>
      <c r="H285" s="26" t="str">
        <f t="shared" ca="1" si="26"/>
        <v/>
      </c>
      <c r="I285" s="26" t="str">
        <f ca="1">IF($D285="","",IF(OFFSET('(2)出場選手'!$B$2,$A285,I$1)="","",OFFSET('(2)出場選手'!$B$2,$A285,I$1)))</f>
        <v/>
      </c>
      <c r="J285" s="26" t="str">
        <f ca="1">IF($D285="","",IF(OFFSET('(2)出場選手'!$B$2,$A285,J$1)="",'(1)鑑'!$E$6,OFFSET('(2)出場選手'!$B$2,$A285,J$1)))</f>
        <v/>
      </c>
      <c r="K285" s="26" t="str">
        <f ca="1">IF($D285="","",TRIM(ASC(IF(OFFSET('(2)出場選手'!$B$2,$A285,K$1)="",'(1)鑑'!$E$7,OFFSET('(2)出場選手'!$B$2,$A285,K$1)))))</f>
        <v/>
      </c>
      <c r="L285" s="26" t="str">
        <f ca="1">IF($D285="","",SUBSTITUTE(SUBSTITUTE(SUBSTITUTE(IF(OFFSET('(2)出場選手'!$B$2,$A285,L$1)="",'(1)鑑'!$E$8,OFFSET('(2)出場選手'!$B$2,$A285,L$1)),"県",""),"府",""),"東京都","東京"))</f>
        <v/>
      </c>
      <c r="M285" s="57" t="str">
        <f ca="1">IF($D285="","",IF(OFFSET('(2)出場選手'!$B$2,$A285,M$1)="","",OFFSET('(2)出場選手'!$B$2,$A285,M$1)))</f>
        <v/>
      </c>
      <c r="N285" s="26" t="str">
        <f ca="1">IF($D285="","",OFFSET('(2)出場選手'!$B$2,$A285,N$1+3*$B285))</f>
        <v/>
      </c>
      <c r="O285" s="26" t="str">
        <f ca="1">IF($D285="","",IF(OFFSET('(2)出場選手'!$B$2,$A285,O$1+3*$B285)="","",OFFSET('(2)出場選手'!$B$2,$A285,O$1+3*$B285)))</f>
        <v/>
      </c>
      <c r="P285" s="26" t="str">
        <f ca="1">IF($D285="","",IF(OFFSET('(2)出場選手'!$B$2,$A285,P$1+3*$B285)="","",OFFSET('(2)出場選手'!$B$2,$A285,P$1+3*$B285)))</f>
        <v/>
      </c>
      <c r="Q285" s="43" t="str">
        <f ca="1">IF(D285="","",VLOOKUP(N285,OFFSET(Competition_Events,0,1),11,FALSE)*IF($S285="リレー",IF(COUNTIF($T$3:$T285,$T285)&gt;1,0,1),1))</f>
        <v/>
      </c>
      <c r="R285" s="26" t="str">
        <f t="shared" ca="1" si="20"/>
        <v/>
      </c>
      <c r="S285" s="26" t="str">
        <f t="shared" ca="1" si="21"/>
        <v/>
      </c>
      <c r="T285" s="26" t="str">
        <f t="shared" ca="1" si="22"/>
        <v/>
      </c>
      <c r="U285" s="26" t="str">
        <f t="shared" ca="1" si="25"/>
        <v/>
      </c>
      <c r="W285" s="17" t="str">
        <f ca="1">IF($D285="","",OFFSET('(2)出場選手'!$B$2,$A285,W$1))</f>
        <v/>
      </c>
      <c r="X285" s="17" t="str">
        <f ca="1">IF($D285="","",OFFSET('(2)出場選手'!$B$2,$A285,X$1))</f>
        <v/>
      </c>
      <c r="Y285" s="17" t="str">
        <f ca="1">IF($D285="","",OFFSET('(2)出場選手'!$B$2,$A285,Y$1))</f>
        <v/>
      </c>
      <c r="Z285" s="17" t="str">
        <f ca="1">IF($D285="","",OFFSET('(2)出場選手'!$B$2,$A285,Z$1))</f>
        <v/>
      </c>
    </row>
    <row r="286" spans="1:26" x14ac:dyDescent="0.15">
      <c r="A286" s="17">
        <f>TRUNC((ROWS($D$3:D286)-2)/Max_Entry_Count)+1</f>
        <v>95</v>
      </c>
      <c r="B286" s="17" t="str">
        <f ca="1">IF($A286&gt;=ROWS(Entries)-2,"",IF(OFFSET('(2)出場選手'!$B$2,$A286,B$1+3*(MOD(ROWS($D$3:D286)-2,Max_Entry_Count)))="","",MOD(ROWS($D$3:D286)-2,Max_Entry_Count)))</f>
        <v/>
      </c>
      <c r="D286" s="26" t="str">
        <f ca="1">IF(OR($A286&gt;=ROWS(Entries)-2,$B286=""),"",'(1)鑑'!$E$6&amp;"-"&amp;OFFSET('(2)出場選手'!$B$2,$A286,D$1))</f>
        <v/>
      </c>
      <c r="E286" s="26" t="str">
        <f ca="1">IF($D286="","",OFFSET('(2)出場選手'!$B$2,$A286,E$1))</f>
        <v/>
      </c>
      <c r="F286" s="26" t="str">
        <f ca="1">IF($D286="","",IF(OFFSET('(2)出場選手'!$B$2,$A286,F$1)="","",OFFSET('(2)出場選手'!$B$2,$A286,F$1)))</f>
        <v/>
      </c>
      <c r="G286" s="26" t="str">
        <f t="shared" ca="1" si="18"/>
        <v/>
      </c>
      <c r="H286" s="26" t="str">
        <f t="shared" ca="1" si="26"/>
        <v/>
      </c>
      <c r="I286" s="26" t="str">
        <f ca="1">IF($D286="","",IF(OFFSET('(2)出場選手'!$B$2,$A286,I$1)="","",OFFSET('(2)出場選手'!$B$2,$A286,I$1)))</f>
        <v/>
      </c>
      <c r="J286" s="26" t="str">
        <f ca="1">IF($D286="","",IF(OFFSET('(2)出場選手'!$B$2,$A286,J$1)="",'(1)鑑'!$E$6,OFFSET('(2)出場選手'!$B$2,$A286,J$1)))</f>
        <v/>
      </c>
      <c r="K286" s="26" t="str">
        <f ca="1">IF($D286="","",TRIM(ASC(IF(OFFSET('(2)出場選手'!$B$2,$A286,K$1)="",'(1)鑑'!$E$7,OFFSET('(2)出場選手'!$B$2,$A286,K$1)))))</f>
        <v/>
      </c>
      <c r="L286" s="26" t="str">
        <f ca="1">IF($D286="","",SUBSTITUTE(SUBSTITUTE(SUBSTITUTE(IF(OFFSET('(2)出場選手'!$B$2,$A286,L$1)="",'(1)鑑'!$E$8,OFFSET('(2)出場選手'!$B$2,$A286,L$1)),"県",""),"府",""),"東京都","東京"))</f>
        <v/>
      </c>
      <c r="M286" s="57" t="str">
        <f ca="1">IF($D286="","",IF(OFFSET('(2)出場選手'!$B$2,$A286,M$1)="","",OFFSET('(2)出場選手'!$B$2,$A286,M$1)))</f>
        <v/>
      </c>
      <c r="N286" s="26" t="str">
        <f ca="1">IF($D286="","",OFFSET('(2)出場選手'!$B$2,$A286,N$1+3*$B286))</f>
        <v/>
      </c>
      <c r="O286" s="26" t="str">
        <f ca="1">IF($D286="","",IF(OFFSET('(2)出場選手'!$B$2,$A286,O$1+3*$B286)="","",OFFSET('(2)出場選手'!$B$2,$A286,O$1+3*$B286)))</f>
        <v/>
      </c>
      <c r="P286" s="26" t="str">
        <f ca="1">IF($D286="","",IF(OFFSET('(2)出場選手'!$B$2,$A286,P$1+3*$B286)="","",OFFSET('(2)出場選手'!$B$2,$A286,P$1+3*$B286)))</f>
        <v/>
      </c>
      <c r="Q286" s="43" t="str">
        <f ca="1">IF(D286="","",VLOOKUP(N286,OFFSET(Competition_Events,0,1),11,FALSE)*IF($S286="リレー",IF(COUNTIF($T$3:$T286,$T286)&gt;1,0,1),1))</f>
        <v/>
      </c>
      <c r="R286" s="26" t="str">
        <f t="shared" ca="1" si="20"/>
        <v/>
      </c>
      <c r="S286" s="26" t="str">
        <f t="shared" ca="1" si="21"/>
        <v/>
      </c>
      <c r="T286" s="26" t="str">
        <f t="shared" ca="1" si="22"/>
        <v/>
      </c>
      <c r="U286" s="26" t="str">
        <f t="shared" ca="1" si="25"/>
        <v/>
      </c>
      <c r="W286" s="17" t="str">
        <f ca="1">IF($D286="","",OFFSET('(2)出場選手'!$B$2,$A286,W$1))</f>
        <v/>
      </c>
      <c r="X286" s="17" t="str">
        <f ca="1">IF($D286="","",OFFSET('(2)出場選手'!$B$2,$A286,X$1))</f>
        <v/>
      </c>
      <c r="Y286" s="17" t="str">
        <f ca="1">IF($D286="","",OFFSET('(2)出場選手'!$B$2,$A286,Y$1))</f>
        <v/>
      </c>
      <c r="Z286" s="17" t="str">
        <f ca="1">IF($D286="","",OFFSET('(2)出場選手'!$B$2,$A286,Z$1))</f>
        <v/>
      </c>
    </row>
    <row r="287" spans="1:26" x14ac:dyDescent="0.15">
      <c r="A287" s="17">
        <f>TRUNC((ROWS($D$3:D287)-2)/Max_Entry_Count)+1</f>
        <v>95</v>
      </c>
      <c r="B287" s="17" t="str">
        <f ca="1">IF($A287&gt;=ROWS(Entries)-2,"",IF(OFFSET('(2)出場選手'!$B$2,$A287,B$1+3*(MOD(ROWS($D$3:D287)-2,Max_Entry_Count)))="","",MOD(ROWS($D$3:D287)-2,Max_Entry_Count)))</f>
        <v/>
      </c>
      <c r="D287" s="26" t="str">
        <f ca="1">IF(OR($A287&gt;=ROWS(Entries)-2,$B287=""),"",'(1)鑑'!$E$6&amp;"-"&amp;OFFSET('(2)出場選手'!$B$2,$A287,D$1))</f>
        <v/>
      </c>
      <c r="E287" s="26" t="str">
        <f ca="1">IF($D287="","",OFFSET('(2)出場選手'!$B$2,$A287,E$1))</f>
        <v/>
      </c>
      <c r="F287" s="26" t="str">
        <f ca="1">IF($D287="","",IF(OFFSET('(2)出場選手'!$B$2,$A287,F$1)="","",OFFSET('(2)出場選手'!$B$2,$A287,F$1)))</f>
        <v/>
      </c>
      <c r="G287" s="26" t="str">
        <f t="shared" ca="1" si="18"/>
        <v/>
      </c>
      <c r="H287" s="26" t="str">
        <f t="shared" ca="1" si="26"/>
        <v/>
      </c>
      <c r="I287" s="26" t="str">
        <f ca="1">IF($D287="","",IF(OFFSET('(2)出場選手'!$B$2,$A287,I$1)="","",OFFSET('(2)出場選手'!$B$2,$A287,I$1)))</f>
        <v/>
      </c>
      <c r="J287" s="26" t="str">
        <f ca="1">IF($D287="","",IF(OFFSET('(2)出場選手'!$B$2,$A287,J$1)="",'(1)鑑'!$E$6,OFFSET('(2)出場選手'!$B$2,$A287,J$1)))</f>
        <v/>
      </c>
      <c r="K287" s="26" t="str">
        <f ca="1">IF($D287="","",TRIM(ASC(IF(OFFSET('(2)出場選手'!$B$2,$A287,K$1)="",'(1)鑑'!$E$7,OFFSET('(2)出場選手'!$B$2,$A287,K$1)))))</f>
        <v/>
      </c>
      <c r="L287" s="26" t="str">
        <f ca="1">IF($D287="","",SUBSTITUTE(SUBSTITUTE(SUBSTITUTE(IF(OFFSET('(2)出場選手'!$B$2,$A287,L$1)="",'(1)鑑'!$E$8,OFFSET('(2)出場選手'!$B$2,$A287,L$1)),"県",""),"府",""),"東京都","東京"))</f>
        <v/>
      </c>
      <c r="M287" s="57" t="str">
        <f ca="1">IF($D287="","",IF(OFFSET('(2)出場選手'!$B$2,$A287,M$1)="","",OFFSET('(2)出場選手'!$B$2,$A287,M$1)))</f>
        <v/>
      </c>
      <c r="N287" s="26" t="str">
        <f ca="1">IF($D287="","",OFFSET('(2)出場選手'!$B$2,$A287,N$1+3*$B287))</f>
        <v/>
      </c>
      <c r="O287" s="26" t="str">
        <f ca="1">IF($D287="","",IF(OFFSET('(2)出場選手'!$B$2,$A287,O$1+3*$B287)="","",OFFSET('(2)出場選手'!$B$2,$A287,O$1+3*$B287)))</f>
        <v/>
      </c>
      <c r="P287" s="26" t="str">
        <f ca="1">IF($D287="","",IF(OFFSET('(2)出場選手'!$B$2,$A287,P$1+3*$B287)="","",OFFSET('(2)出場選手'!$B$2,$A287,P$1+3*$B287)))</f>
        <v/>
      </c>
      <c r="Q287" s="43" t="str">
        <f ca="1">IF(D287="","",VLOOKUP(N287,OFFSET(Competition_Events,0,1),11,FALSE)*IF($S287="リレー",IF(COUNTIF($T$3:$T287,$T287)&gt;1,0,1),1))</f>
        <v/>
      </c>
      <c r="R287" s="26" t="str">
        <f t="shared" ca="1" si="20"/>
        <v/>
      </c>
      <c r="S287" s="26" t="str">
        <f t="shared" ca="1" si="21"/>
        <v/>
      </c>
      <c r="T287" s="26" t="str">
        <f t="shared" ca="1" si="22"/>
        <v/>
      </c>
      <c r="U287" s="26" t="str">
        <f t="shared" ca="1" si="25"/>
        <v/>
      </c>
      <c r="W287" s="17" t="str">
        <f ca="1">IF($D287="","",OFFSET('(2)出場選手'!$B$2,$A287,W$1))</f>
        <v/>
      </c>
      <c r="X287" s="17" t="str">
        <f ca="1">IF($D287="","",OFFSET('(2)出場選手'!$B$2,$A287,X$1))</f>
        <v/>
      </c>
      <c r="Y287" s="17" t="str">
        <f ca="1">IF($D287="","",OFFSET('(2)出場選手'!$B$2,$A287,Y$1))</f>
        <v/>
      </c>
      <c r="Z287" s="17" t="str">
        <f ca="1">IF($D287="","",OFFSET('(2)出場選手'!$B$2,$A287,Z$1))</f>
        <v/>
      </c>
    </row>
    <row r="288" spans="1:26" x14ac:dyDescent="0.15">
      <c r="A288" s="17">
        <f>TRUNC((ROWS($D$3:D288)-2)/Max_Entry_Count)+1</f>
        <v>95</v>
      </c>
      <c r="B288" s="17" t="str">
        <f ca="1">IF($A288&gt;=ROWS(Entries)-2,"",IF(OFFSET('(2)出場選手'!$B$2,$A288,B$1+3*(MOD(ROWS($D$3:D288)-2,Max_Entry_Count)))="","",MOD(ROWS($D$3:D288)-2,Max_Entry_Count)))</f>
        <v/>
      </c>
      <c r="D288" s="26" t="str">
        <f ca="1">IF(OR($A288&gt;=ROWS(Entries)-2,$B288=""),"",'(1)鑑'!$E$6&amp;"-"&amp;OFFSET('(2)出場選手'!$B$2,$A288,D$1))</f>
        <v/>
      </c>
      <c r="E288" s="26" t="str">
        <f ca="1">IF($D288="","",OFFSET('(2)出場選手'!$B$2,$A288,E$1))</f>
        <v/>
      </c>
      <c r="F288" s="26" t="str">
        <f ca="1">IF($D288="","",IF(OFFSET('(2)出場選手'!$B$2,$A288,F$1)="","",OFFSET('(2)出場選手'!$B$2,$A288,F$1)))</f>
        <v/>
      </c>
      <c r="G288" s="26" t="str">
        <f t="shared" ca="1" si="18"/>
        <v/>
      </c>
      <c r="H288" s="26" t="str">
        <f t="shared" ca="1" si="26"/>
        <v/>
      </c>
      <c r="I288" s="26" t="str">
        <f ca="1">IF($D288="","",IF(OFFSET('(2)出場選手'!$B$2,$A288,I$1)="","",OFFSET('(2)出場選手'!$B$2,$A288,I$1)))</f>
        <v/>
      </c>
      <c r="J288" s="26" t="str">
        <f ca="1">IF($D288="","",IF(OFFSET('(2)出場選手'!$B$2,$A288,J$1)="",'(1)鑑'!$E$6,OFFSET('(2)出場選手'!$B$2,$A288,J$1)))</f>
        <v/>
      </c>
      <c r="K288" s="26" t="str">
        <f ca="1">IF($D288="","",TRIM(ASC(IF(OFFSET('(2)出場選手'!$B$2,$A288,K$1)="",'(1)鑑'!$E$7,OFFSET('(2)出場選手'!$B$2,$A288,K$1)))))</f>
        <v/>
      </c>
      <c r="L288" s="26" t="str">
        <f ca="1">IF($D288="","",SUBSTITUTE(SUBSTITUTE(SUBSTITUTE(IF(OFFSET('(2)出場選手'!$B$2,$A288,L$1)="",'(1)鑑'!$E$8,OFFSET('(2)出場選手'!$B$2,$A288,L$1)),"県",""),"府",""),"東京都","東京"))</f>
        <v/>
      </c>
      <c r="M288" s="57" t="str">
        <f ca="1">IF($D288="","",IF(OFFSET('(2)出場選手'!$B$2,$A288,M$1)="","",OFFSET('(2)出場選手'!$B$2,$A288,M$1)))</f>
        <v/>
      </c>
      <c r="N288" s="26" t="str">
        <f ca="1">IF($D288="","",OFFSET('(2)出場選手'!$B$2,$A288,N$1+3*$B288))</f>
        <v/>
      </c>
      <c r="O288" s="26" t="str">
        <f ca="1">IF($D288="","",IF(OFFSET('(2)出場選手'!$B$2,$A288,O$1+3*$B288)="","",OFFSET('(2)出場選手'!$B$2,$A288,O$1+3*$B288)))</f>
        <v/>
      </c>
      <c r="P288" s="26" t="str">
        <f ca="1">IF($D288="","",IF(OFFSET('(2)出場選手'!$B$2,$A288,P$1+3*$B288)="","",OFFSET('(2)出場選手'!$B$2,$A288,P$1+3*$B288)))</f>
        <v/>
      </c>
      <c r="Q288" s="43" t="str">
        <f ca="1">IF(D288="","",VLOOKUP(N288,OFFSET(Competition_Events,0,1),11,FALSE)*IF($S288="リレー",IF(COUNTIF($T$3:$T288,$T288)&gt;1,0,1),1))</f>
        <v/>
      </c>
      <c r="R288" s="26" t="str">
        <f t="shared" ca="1" si="20"/>
        <v/>
      </c>
      <c r="S288" s="26" t="str">
        <f t="shared" ca="1" si="21"/>
        <v/>
      </c>
      <c r="T288" s="26" t="str">
        <f t="shared" ca="1" si="22"/>
        <v/>
      </c>
      <c r="U288" s="26" t="str">
        <f t="shared" ca="1" si="25"/>
        <v/>
      </c>
      <c r="W288" s="17" t="str">
        <f ca="1">IF($D288="","",OFFSET('(2)出場選手'!$B$2,$A288,W$1))</f>
        <v/>
      </c>
      <c r="X288" s="17" t="str">
        <f ca="1">IF($D288="","",OFFSET('(2)出場選手'!$B$2,$A288,X$1))</f>
        <v/>
      </c>
      <c r="Y288" s="17" t="str">
        <f ca="1">IF($D288="","",OFFSET('(2)出場選手'!$B$2,$A288,Y$1))</f>
        <v/>
      </c>
      <c r="Z288" s="17" t="str">
        <f ca="1">IF($D288="","",OFFSET('(2)出場選手'!$B$2,$A288,Z$1))</f>
        <v/>
      </c>
    </row>
    <row r="289" spans="1:26" x14ac:dyDescent="0.15">
      <c r="A289" s="17">
        <f>TRUNC((ROWS($D$3:D289)-2)/Max_Entry_Count)+1</f>
        <v>96</v>
      </c>
      <c r="B289" s="17" t="str">
        <f ca="1">IF($A289&gt;=ROWS(Entries)-2,"",IF(OFFSET('(2)出場選手'!$B$2,$A289,B$1+3*(MOD(ROWS($D$3:D289)-2,Max_Entry_Count)))="","",MOD(ROWS($D$3:D289)-2,Max_Entry_Count)))</f>
        <v/>
      </c>
      <c r="D289" s="26" t="str">
        <f ca="1">IF(OR($A289&gt;=ROWS(Entries)-2,$B289=""),"",'(1)鑑'!$E$6&amp;"-"&amp;OFFSET('(2)出場選手'!$B$2,$A289,D$1))</f>
        <v/>
      </c>
      <c r="E289" s="26" t="str">
        <f ca="1">IF($D289="","",OFFSET('(2)出場選手'!$B$2,$A289,E$1))</f>
        <v/>
      </c>
      <c r="F289" s="26" t="str">
        <f ca="1">IF($D289="","",IF(OFFSET('(2)出場選手'!$B$2,$A289,F$1)="","",OFFSET('(2)出場選手'!$B$2,$A289,F$1)))</f>
        <v/>
      </c>
      <c r="G289" s="26" t="str">
        <f t="shared" ca="1" si="18"/>
        <v/>
      </c>
      <c r="H289" s="26" t="str">
        <f t="shared" ca="1" si="26"/>
        <v/>
      </c>
      <c r="I289" s="26" t="str">
        <f ca="1">IF($D289="","",IF(OFFSET('(2)出場選手'!$B$2,$A289,I$1)="","",OFFSET('(2)出場選手'!$B$2,$A289,I$1)))</f>
        <v/>
      </c>
      <c r="J289" s="26" t="str">
        <f ca="1">IF($D289="","",IF(OFFSET('(2)出場選手'!$B$2,$A289,J$1)="",'(1)鑑'!$E$6,OFFSET('(2)出場選手'!$B$2,$A289,J$1)))</f>
        <v/>
      </c>
      <c r="K289" s="26" t="str">
        <f ca="1">IF($D289="","",TRIM(ASC(IF(OFFSET('(2)出場選手'!$B$2,$A289,K$1)="",'(1)鑑'!$E$7,OFFSET('(2)出場選手'!$B$2,$A289,K$1)))))</f>
        <v/>
      </c>
      <c r="L289" s="26" t="str">
        <f ca="1">IF($D289="","",SUBSTITUTE(SUBSTITUTE(SUBSTITUTE(IF(OFFSET('(2)出場選手'!$B$2,$A289,L$1)="",'(1)鑑'!$E$8,OFFSET('(2)出場選手'!$B$2,$A289,L$1)),"県",""),"府",""),"東京都","東京"))</f>
        <v/>
      </c>
      <c r="M289" s="57" t="str">
        <f ca="1">IF($D289="","",IF(OFFSET('(2)出場選手'!$B$2,$A289,M$1)="","",OFFSET('(2)出場選手'!$B$2,$A289,M$1)))</f>
        <v/>
      </c>
      <c r="N289" s="26" t="str">
        <f ca="1">IF($D289="","",OFFSET('(2)出場選手'!$B$2,$A289,N$1+3*$B289))</f>
        <v/>
      </c>
      <c r="O289" s="26" t="str">
        <f ca="1">IF($D289="","",IF(OFFSET('(2)出場選手'!$B$2,$A289,O$1+3*$B289)="","",OFFSET('(2)出場選手'!$B$2,$A289,O$1+3*$B289)))</f>
        <v/>
      </c>
      <c r="P289" s="26" t="str">
        <f ca="1">IF($D289="","",IF(OFFSET('(2)出場選手'!$B$2,$A289,P$1+3*$B289)="","",OFFSET('(2)出場選手'!$B$2,$A289,P$1+3*$B289)))</f>
        <v/>
      </c>
      <c r="Q289" s="43" t="str">
        <f ca="1">IF(D289="","",VLOOKUP(N289,OFFSET(Competition_Events,0,1),11,FALSE)*IF($S289="リレー",IF(COUNTIF($T$3:$T289,$T289)&gt;1,0,1),1))</f>
        <v/>
      </c>
      <c r="R289" s="26" t="str">
        <f t="shared" ca="1" si="20"/>
        <v/>
      </c>
      <c r="S289" s="26" t="str">
        <f t="shared" ca="1" si="21"/>
        <v/>
      </c>
      <c r="T289" s="26" t="str">
        <f t="shared" ca="1" si="22"/>
        <v/>
      </c>
      <c r="U289" s="26" t="str">
        <f t="shared" ca="1" si="25"/>
        <v/>
      </c>
      <c r="W289" s="17" t="str">
        <f ca="1">IF($D289="","",OFFSET('(2)出場選手'!$B$2,$A289,W$1))</f>
        <v/>
      </c>
      <c r="X289" s="17" t="str">
        <f ca="1">IF($D289="","",OFFSET('(2)出場選手'!$B$2,$A289,X$1))</f>
        <v/>
      </c>
      <c r="Y289" s="17" t="str">
        <f ca="1">IF($D289="","",OFFSET('(2)出場選手'!$B$2,$A289,Y$1))</f>
        <v/>
      </c>
      <c r="Z289" s="17" t="str">
        <f ca="1">IF($D289="","",OFFSET('(2)出場選手'!$B$2,$A289,Z$1))</f>
        <v/>
      </c>
    </row>
    <row r="290" spans="1:26" x14ac:dyDescent="0.15">
      <c r="A290" s="17">
        <f>TRUNC((ROWS($D$3:D290)-2)/Max_Entry_Count)+1</f>
        <v>96</v>
      </c>
      <c r="B290" s="17" t="str">
        <f ca="1">IF($A290&gt;=ROWS(Entries)-2,"",IF(OFFSET('(2)出場選手'!$B$2,$A290,B$1+3*(MOD(ROWS($D$3:D290)-2,Max_Entry_Count)))="","",MOD(ROWS($D$3:D290)-2,Max_Entry_Count)))</f>
        <v/>
      </c>
      <c r="D290" s="26" t="str">
        <f ca="1">IF(OR($A290&gt;=ROWS(Entries)-2,$B290=""),"",'(1)鑑'!$E$6&amp;"-"&amp;OFFSET('(2)出場選手'!$B$2,$A290,D$1))</f>
        <v/>
      </c>
      <c r="E290" s="26" t="str">
        <f ca="1">IF($D290="","",OFFSET('(2)出場選手'!$B$2,$A290,E$1))</f>
        <v/>
      </c>
      <c r="F290" s="26" t="str">
        <f ca="1">IF($D290="","",IF(OFFSET('(2)出場選手'!$B$2,$A290,F$1)="","",OFFSET('(2)出場選手'!$B$2,$A290,F$1)))</f>
        <v/>
      </c>
      <c r="G290" s="26" t="str">
        <f t="shared" ca="1" si="18"/>
        <v/>
      </c>
      <c r="H290" s="26" t="str">
        <f t="shared" ca="1" si="26"/>
        <v/>
      </c>
      <c r="I290" s="26" t="str">
        <f ca="1">IF($D290="","",IF(OFFSET('(2)出場選手'!$B$2,$A290,I$1)="","",OFFSET('(2)出場選手'!$B$2,$A290,I$1)))</f>
        <v/>
      </c>
      <c r="J290" s="26" t="str">
        <f ca="1">IF($D290="","",IF(OFFSET('(2)出場選手'!$B$2,$A290,J$1)="",'(1)鑑'!$E$6,OFFSET('(2)出場選手'!$B$2,$A290,J$1)))</f>
        <v/>
      </c>
      <c r="K290" s="26" t="str">
        <f ca="1">IF($D290="","",TRIM(ASC(IF(OFFSET('(2)出場選手'!$B$2,$A290,K$1)="",'(1)鑑'!$E$7,OFFSET('(2)出場選手'!$B$2,$A290,K$1)))))</f>
        <v/>
      </c>
      <c r="L290" s="26" t="str">
        <f ca="1">IF($D290="","",SUBSTITUTE(SUBSTITUTE(SUBSTITUTE(IF(OFFSET('(2)出場選手'!$B$2,$A290,L$1)="",'(1)鑑'!$E$8,OFFSET('(2)出場選手'!$B$2,$A290,L$1)),"県",""),"府",""),"東京都","東京"))</f>
        <v/>
      </c>
      <c r="M290" s="57" t="str">
        <f ca="1">IF($D290="","",IF(OFFSET('(2)出場選手'!$B$2,$A290,M$1)="","",OFFSET('(2)出場選手'!$B$2,$A290,M$1)))</f>
        <v/>
      </c>
      <c r="N290" s="26" t="str">
        <f ca="1">IF($D290="","",OFFSET('(2)出場選手'!$B$2,$A290,N$1+3*$B290))</f>
        <v/>
      </c>
      <c r="O290" s="26" t="str">
        <f ca="1">IF($D290="","",IF(OFFSET('(2)出場選手'!$B$2,$A290,O$1+3*$B290)="","",OFFSET('(2)出場選手'!$B$2,$A290,O$1+3*$B290)))</f>
        <v/>
      </c>
      <c r="P290" s="26" t="str">
        <f ca="1">IF($D290="","",IF(OFFSET('(2)出場選手'!$B$2,$A290,P$1+3*$B290)="","",OFFSET('(2)出場選手'!$B$2,$A290,P$1+3*$B290)))</f>
        <v/>
      </c>
      <c r="Q290" s="43" t="str">
        <f ca="1">IF(D290="","",VLOOKUP(N290,OFFSET(Competition_Events,0,1),11,FALSE)*IF($S290="リレー",IF(COUNTIF($T$3:$T290,$T290)&gt;1,0,1),1))</f>
        <v/>
      </c>
      <c r="R290" s="26" t="str">
        <f t="shared" ca="1" si="20"/>
        <v/>
      </c>
      <c r="S290" s="26" t="str">
        <f t="shared" ca="1" si="21"/>
        <v/>
      </c>
      <c r="T290" s="26" t="str">
        <f t="shared" ca="1" si="22"/>
        <v/>
      </c>
      <c r="U290" s="26" t="str">
        <f t="shared" ca="1" si="25"/>
        <v/>
      </c>
      <c r="W290" s="17" t="str">
        <f ca="1">IF($D290="","",OFFSET('(2)出場選手'!$B$2,$A290,W$1))</f>
        <v/>
      </c>
      <c r="X290" s="17" t="str">
        <f ca="1">IF($D290="","",OFFSET('(2)出場選手'!$B$2,$A290,X$1))</f>
        <v/>
      </c>
      <c r="Y290" s="17" t="str">
        <f ca="1">IF($D290="","",OFFSET('(2)出場選手'!$B$2,$A290,Y$1))</f>
        <v/>
      </c>
      <c r="Z290" s="17" t="str">
        <f ca="1">IF($D290="","",OFFSET('(2)出場選手'!$B$2,$A290,Z$1))</f>
        <v/>
      </c>
    </row>
    <row r="291" spans="1:26" x14ac:dyDescent="0.15">
      <c r="A291" s="17">
        <f>TRUNC((ROWS($D$3:D291)-2)/Max_Entry_Count)+1</f>
        <v>96</v>
      </c>
      <c r="B291" s="17" t="str">
        <f ca="1">IF($A291&gt;=ROWS(Entries)-2,"",IF(OFFSET('(2)出場選手'!$B$2,$A291,B$1+3*(MOD(ROWS($D$3:D291)-2,Max_Entry_Count)))="","",MOD(ROWS($D$3:D291)-2,Max_Entry_Count)))</f>
        <v/>
      </c>
      <c r="D291" s="26" t="str">
        <f ca="1">IF(OR($A291&gt;=ROWS(Entries)-2,$B291=""),"",'(1)鑑'!$E$6&amp;"-"&amp;OFFSET('(2)出場選手'!$B$2,$A291,D$1))</f>
        <v/>
      </c>
      <c r="E291" s="26" t="str">
        <f ca="1">IF($D291="","",OFFSET('(2)出場選手'!$B$2,$A291,E$1))</f>
        <v/>
      </c>
      <c r="F291" s="26" t="str">
        <f ca="1">IF($D291="","",IF(OFFSET('(2)出場選手'!$B$2,$A291,F$1)="","",OFFSET('(2)出場選手'!$B$2,$A291,F$1)))</f>
        <v/>
      </c>
      <c r="G291" s="26" t="str">
        <f t="shared" ca="1" si="18"/>
        <v/>
      </c>
      <c r="H291" s="26" t="str">
        <f t="shared" ca="1" si="26"/>
        <v/>
      </c>
      <c r="I291" s="26" t="str">
        <f ca="1">IF($D291="","",IF(OFFSET('(2)出場選手'!$B$2,$A291,I$1)="","",OFFSET('(2)出場選手'!$B$2,$A291,I$1)))</f>
        <v/>
      </c>
      <c r="J291" s="26" t="str">
        <f ca="1">IF($D291="","",IF(OFFSET('(2)出場選手'!$B$2,$A291,J$1)="",'(1)鑑'!$E$6,OFFSET('(2)出場選手'!$B$2,$A291,J$1)))</f>
        <v/>
      </c>
      <c r="K291" s="26" t="str">
        <f ca="1">IF($D291="","",TRIM(ASC(IF(OFFSET('(2)出場選手'!$B$2,$A291,K$1)="",'(1)鑑'!$E$7,OFFSET('(2)出場選手'!$B$2,$A291,K$1)))))</f>
        <v/>
      </c>
      <c r="L291" s="26" t="str">
        <f ca="1">IF($D291="","",SUBSTITUTE(SUBSTITUTE(SUBSTITUTE(IF(OFFSET('(2)出場選手'!$B$2,$A291,L$1)="",'(1)鑑'!$E$8,OFFSET('(2)出場選手'!$B$2,$A291,L$1)),"県",""),"府",""),"東京都","東京"))</f>
        <v/>
      </c>
      <c r="M291" s="57" t="str">
        <f ca="1">IF($D291="","",IF(OFFSET('(2)出場選手'!$B$2,$A291,M$1)="","",OFFSET('(2)出場選手'!$B$2,$A291,M$1)))</f>
        <v/>
      </c>
      <c r="N291" s="26" t="str">
        <f ca="1">IF($D291="","",OFFSET('(2)出場選手'!$B$2,$A291,N$1+3*$B291))</f>
        <v/>
      </c>
      <c r="O291" s="26" t="str">
        <f ca="1">IF($D291="","",IF(OFFSET('(2)出場選手'!$B$2,$A291,O$1+3*$B291)="","",OFFSET('(2)出場選手'!$B$2,$A291,O$1+3*$B291)))</f>
        <v/>
      </c>
      <c r="P291" s="26" t="str">
        <f ca="1">IF($D291="","",IF(OFFSET('(2)出場選手'!$B$2,$A291,P$1+3*$B291)="","",OFFSET('(2)出場選手'!$B$2,$A291,P$1+3*$B291)))</f>
        <v/>
      </c>
      <c r="Q291" s="43" t="str">
        <f ca="1">IF(D291="","",VLOOKUP(N291,OFFSET(Competition_Events,0,1),11,FALSE)*IF($S291="リレー",IF(COUNTIF($T$3:$T291,$T291)&gt;1,0,1),1))</f>
        <v/>
      </c>
      <c r="R291" s="26" t="str">
        <f t="shared" ca="1" si="20"/>
        <v/>
      </c>
      <c r="S291" s="26" t="str">
        <f t="shared" ca="1" si="21"/>
        <v/>
      </c>
      <c r="T291" s="26" t="str">
        <f t="shared" ca="1" si="22"/>
        <v/>
      </c>
      <c r="U291" s="26" t="str">
        <f t="shared" ca="1" si="25"/>
        <v/>
      </c>
      <c r="W291" s="17" t="str">
        <f ca="1">IF($D291="","",OFFSET('(2)出場選手'!$B$2,$A291,W$1))</f>
        <v/>
      </c>
      <c r="X291" s="17" t="str">
        <f ca="1">IF($D291="","",OFFSET('(2)出場選手'!$B$2,$A291,X$1))</f>
        <v/>
      </c>
      <c r="Y291" s="17" t="str">
        <f ca="1">IF($D291="","",OFFSET('(2)出場選手'!$B$2,$A291,Y$1))</f>
        <v/>
      </c>
      <c r="Z291" s="17" t="str">
        <f ca="1">IF($D291="","",OFFSET('(2)出場選手'!$B$2,$A291,Z$1))</f>
        <v/>
      </c>
    </row>
    <row r="292" spans="1:26" x14ac:dyDescent="0.15">
      <c r="A292" s="17">
        <f>TRUNC((ROWS($D$3:D292)-2)/Max_Entry_Count)+1</f>
        <v>97</v>
      </c>
      <c r="B292" s="17" t="str">
        <f ca="1">IF($A292&gt;=ROWS(Entries)-2,"",IF(OFFSET('(2)出場選手'!$B$2,$A292,B$1+3*(MOD(ROWS($D$3:D292)-2,Max_Entry_Count)))="","",MOD(ROWS($D$3:D292)-2,Max_Entry_Count)))</f>
        <v/>
      </c>
      <c r="D292" s="26" t="str">
        <f ca="1">IF(OR($A292&gt;=ROWS(Entries)-2,$B292=""),"",'(1)鑑'!$E$6&amp;"-"&amp;OFFSET('(2)出場選手'!$B$2,$A292,D$1))</f>
        <v/>
      </c>
      <c r="E292" s="26" t="str">
        <f ca="1">IF($D292="","",OFFSET('(2)出場選手'!$B$2,$A292,E$1))</f>
        <v/>
      </c>
      <c r="F292" s="26" t="str">
        <f ca="1">IF($D292="","",IF(OFFSET('(2)出場選手'!$B$2,$A292,F$1)="","",OFFSET('(2)出場選手'!$B$2,$A292,F$1)))</f>
        <v/>
      </c>
      <c r="G292" s="26" t="str">
        <f t="shared" ca="1" si="18"/>
        <v/>
      </c>
      <c r="H292" s="26" t="str">
        <f t="shared" ca="1" si="26"/>
        <v/>
      </c>
      <c r="I292" s="26" t="str">
        <f ca="1">IF($D292="","",IF(OFFSET('(2)出場選手'!$B$2,$A292,I$1)="","",OFFSET('(2)出場選手'!$B$2,$A292,I$1)))</f>
        <v/>
      </c>
      <c r="J292" s="26" t="str">
        <f ca="1">IF($D292="","",IF(OFFSET('(2)出場選手'!$B$2,$A292,J$1)="",'(1)鑑'!$E$6,OFFSET('(2)出場選手'!$B$2,$A292,J$1)))</f>
        <v/>
      </c>
      <c r="K292" s="26" t="str">
        <f ca="1">IF($D292="","",TRIM(ASC(IF(OFFSET('(2)出場選手'!$B$2,$A292,K$1)="",'(1)鑑'!$E$7,OFFSET('(2)出場選手'!$B$2,$A292,K$1)))))</f>
        <v/>
      </c>
      <c r="L292" s="26" t="str">
        <f ca="1">IF($D292="","",SUBSTITUTE(SUBSTITUTE(SUBSTITUTE(IF(OFFSET('(2)出場選手'!$B$2,$A292,L$1)="",'(1)鑑'!$E$8,OFFSET('(2)出場選手'!$B$2,$A292,L$1)),"県",""),"府",""),"東京都","東京"))</f>
        <v/>
      </c>
      <c r="M292" s="57" t="str">
        <f ca="1">IF($D292="","",IF(OFFSET('(2)出場選手'!$B$2,$A292,M$1)="","",OFFSET('(2)出場選手'!$B$2,$A292,M$1)))</f>
        <v/>
      </c>
      <c r="N292" s="26" t="str">
        <f ca="1">IF($D292="","",OFFSET('(2)出場選手'!$B$2,$A292,N$1+3*$B292))</f>
        <v/>
      </c>
      <c r="O292" s="26" t="str">
        <f ca="1">IF($D292="","",IF(OFFSET('(2)出場選手'!$B$2,$A292,O$1+3*$B292)="","",OFFSET('(2)出場選手'!$B$2,$A292,O$1+3*$B292)))</f>
        <v/>
      </c>
      <c r="P292" s="26" t="str">
        <f ca="1">IF($D292="","",IF(OFFSET('(2)出場選手'!$B$2,$A292,P$1+3*$B292)="","",OFFSET('(2)出場選手'!$B$2,$A292,P$1+3*$B292)))</f>
        <v/>
      </c>
      <c r="Q292" s="43" t="str">
        <f ca="1">IF(D292="","",VLOOKUP(N292,OFFSET(Competition_Events,0,1),11,FALSE)*IF($S292="リレー",IF(COUNTIF($T$3:$T292,$T292)&gt;1,0,1),1))</f>
        <v/>
      </c>
      <c r="R292" s="26" t="str">
        <f t="shared" ca="1" si="20"/>
        <v/>
      </c>
      <c r="S292" s="26" t="str">
        <f t="shared" ca="1" si="21"/>
        <v/>
      </c>
      <c r="T292" s="26" t="str">
        <f t="shared" ca="1" si="22"/>
        <v/>
      </c>
      <c r="U292" s="26" t="str">
        <f t="shared" ca="1" si="25"/>
        <v/>
      </c>
      <c r="W292" s="17" t="str">
        <f ca="1">IF($D292="","",OFFSET('(2)出場選手'!$B$2,$A292,W$1))</f>
        <v/>
      </c>
      <c r="X292" s="17" t="str">
        <f ca="1">IF($D292="","",OFFSET('(2)出場選手'!$B$2,$A292,X$1))</f>
        <v/>
      </c>
      <c r="Y292" s="17" t="str">
        <f ca="1">IF($D292="","",OFFSET('(2)出場選手'!$B$2,$A292,Y$1))</f>
        <v/>
      </c>
      <c r="Z292" s="17" t="str">
        <f ca="1">IF($D292="","",OFFSET('(2)出場選手'!$B$2,$A292,Z$1))</f>
        <v/>
      </c>
    </row>
    <row r="293" spans="1:26" x14ac:dyDescent="0.15">
      <c r="A293" s="17">
        <f>TRUNC((ROWS($D$3:D293)-2)/Max_Entry_Count)+1</f>
        <v>97</v>
      </c>
      <c r="B293" s="17" t="str">
        <f ca="1">IF($A293&gt;=ROWS(Entries)-2,"",IF(OFFSET('(2)出場選手'!$B$2,$A293,B$1+3*(MOD(ROWS($D$3:D293)-2,Max_Entry_Count)))="","",MOD(ROWS($D$3:D293)-2,Max_Entry_Count)))</f>
        <v/>
      </c>
      <c r="D293" s="26" t="str">
        <f ca="1">IF(OR($A293&gt;=ROWS(Entries)-2,$B293=""),"",'(1)鑑'!$E$6&amp;"-"&amp;OFFSET('(2)出場選手'!$B$2,$A293,D$1))</f>
        <v/>
      </c>
      <c r="E293" s="26" t="str">
        <f ca="1">IF($D293="","",OFFSET('(2)出場選手'!$B$2,$A293,E$1))</f>
        <v/>
      </c>
      <c r="F293" s="26" t="str">
        <f ca="1">IF($D293="","",IF(OFFSET('(2)出場選手'!$B$2,$A293,F$1)="","",OFFSET('(2)出場選手'!$B$2,$A293,F$1)))</f>
        <v/>
      </c>
      <c r="G293" s="26" t="str">
        <f t="shared" ca="1" si="18"/>
        <v/>
      </c>
      <c r="H293" s="26" t="str">
        <f t="shared" ca="1" si="26"/>
        <v/>
      </c>
      <c r="I293" s="26" t="str">
        <f ca="1">IF($D293="","",IF(OFFSET('(2)出場選手'!$B$2,$A293,I$1)="","",OFFSET('(2)出場選手'!$B$2,$A293,I$1)))</f>
        <v/>
      </c>
      <c r="J293" s="26" t="str">
        <f ca="1">IF($D293="","",IF(OFFSET('(2)出場選手'!$B$2,$A293,J$1)="",'(1)鑑'!$E$6,OFFSET('(2)出場選手'!$B$2,$A293,J$1)))</f>
        <v/>
      </c>
      <c r="K293" s="26" t="str">
        <f ca="1">IF($D293="","",TRIM(ASC(IF(OFFSET('(2)出場選手'!$B$2,$A293,K$1)="",'(1)鑑'!$E$7,OFFSET('(2)出場選手'!$B$2,$A293,K$1)))))</f>
        <v/>
      </c>
      <c r="L293" s="26" t="str">
        <f ca="1">IF($D293="","",SUBSTITUTE(SUBSTITUTE(SUBSTITUTE(IF(OFFSET('(2)出場選手'!$B$2,$A293,L$1)="",'(1)鑑'!$E$8,OFFSET('(2)出場選手'!$B$2,$A293,L$1)),"県",""),"府",""),"東京都","東京"))</f>
        <v/>
      </c>
      <c r="M293" s="57" t="str">
        <f ca="1">IF($D293="","",IF(OFFSET('(2)出場選手'!$B$2,$A293,M$1)="","",OFFSET('(2)出場選手'!$B$2,$A293,M$1)))</f>
        <v/>
      </c>
      <c r="N293" s="26" t="str">
        <f ca="1">IF($D293="","",OFFSET('(2)出場選手'!$B$2,$A293,N$1+3*$B293))</f>
        <v/>
      </c>
      <c r="O293" s="26" t="str">
        <f ca="1">IF($D293="","",IF(OFFSET('(2)出場選手'!$B$2,$A293,O$1+3*$B293)="","",OFFSET('(2)出場選手'!$B$2,$A293,O$1+3*$B293)))</f>
        <v/>
      </c>
      <c r="P293" s="26" t="str">
        <f ca="1">IF($D293="","",IF(OFFSET('(2)出場選手'!$B$2,$A293,P$1+3*$B293)="","",OFFSET('(2)出場選手'!$B$2,$A293,P$1+3*$B293)))</f>
        <v/>
      </c>
      <c r="Q293" s="43" t="str">
        <f ca="1">IF(D293="","",VLOOKUP(N293,OFFSET(Competition_Events,0,1),11,FALSE)*IF($S293="リレー",IF(COUNTIF($T$3:$T293,$T293)&gt;1,0,1),1))</f>
        <v/>
      </c>
      <c r="R293" s="26" t="str">
        <f t="shared" ca="1" si="20"/>
        <v/>
      </c>
      <c r="S293" s="26" t="str">
        <f t="shared" ca="1" si="21"/>
        <v/>
      </c>
      <c r="T293" s="26" t="str">
        <f t="shared" ca="1" si="22"/>
        <v/>
      </c>
      <c r="U293" s="26" t="str">
        <f t="shared" ca="1" si="25"/>
        <v/>
      </c>
      <c r="W293" s="17" t="str">
        <f ca="1">IF($D293="","",OFFSET('(2)出場選手'!$B$2,$A293,W$1))</f>
        <v/>
      </c>
      <c r="X293" s="17" t="str">
        <f ca="1">IF($D293="","",OFFSET('(2)出場選手'!$B$2,$A293,X$1))</f>
        <v/>
      </c>
      <c r="Y293" s="17" t="str">
        <f ca="1">IF($D293="","",OFFSET('(2)出場選手'!$B$2,$A293,Y$1))</f>
        <v/>
      </c>
      <c r="Z293" s="17" t="str">
        <f ca="1">IF($D293="","",OFFSET('(2)出場選手'!$B$2,$A293,Z$1))</f>
        <v/>
      </c>
    </row>
    <row r="294" spans="1:26" x14ac:dyDescent="0.15">
      <c r="A294" s="17">
        <f>TRUNC((ROWS($D$3:D294)-2)/Max_Entry_Count)+1</f>
        <v>97</v>
      </c>
      <c r="B294" s="17" t="str">
        <f ca="1">IF($A294&gt;=ROWS(Entries)-2,"",IF(OFFSET('(2)出場選手'!$B$2,$A294,B$1+3*(MOD(ROWS($D$3:D294)-2,Max_Entry_Count)))="","",MOD(ROWS($D$3:D294)-2,Max_Entry_Count)))</f>
        <v/>
      </c>
      <c r="D294" s="26" t="str">
        <f ca="1">IF(OR($A294&gt;=ROWS(Entries)-2,$B294=""),"",'(1)鑑'!$E$6&amp;"-"&amp;OFFSET('(2)出場選手'!$B$2,$A294,D$1))</f>
        <v/>
      </c>
      <c r="E294" s="26" t="str">
        <f ca="1">IF($D294="","",OFFSET('(2)出場選手'!$B$2,$A294,E$1))</f>
        <v/>
      </c>
      <c r="F294" s="26" t="str">
        <f ca="1">IF($D294="","",IF(OFFSET('(2)出場選手'!$B$2,$A294,F$1)="","",OFFSET('(2)出場選手'!$B$2,$A294,F$1)))</f>
        <v/>
      </c>
      <c r="G294" s="26" t="str">
        <f t="shared" ca="1" si="18"/>
        <v/>
      </c>
      <c r="H294" s="26" t="str">
        <f t="shared" ca="1" si="26"/>
        <v/>
      </c>
      <c r="I294" s="26" t="str">
        <f ca="1">IF($D294="","",IF(OFFSET('(2)出場選手'!$B$2,$A294,I$1)="","",OFFSET('(2)出場選手'!$B$2,$A294,I$1)))</f>
        <v/>
      </c>
      <c r="J294" s="26" t="str">
        <f ca="1">IF($D294="","",IF(OFFSET('(2)出場選手'!$B$2,$A294,J$1)="",'(1)鑑'!$E$6,OFFSET('(2)出場選手'!$B$2,$A294,J$1)))</f>
        <v/>
      </c>
      <c r="K294" s="26" t="str">
        <f ca="1">IF($D294="","",TRIM(ASC(IF(OFFSET('(2)出場選手'!$B$2,$A294,K$1)="",'(1)鑑'!$E$7,OFFSET('(2)出場選手'!$B$2,$A294,K$1)))))</f>
        <v/>
      </c>
      <c r="L294" s="26" t="str">
        <f ca="1">IF($D294="","",SUBSTITUTE(SUBSTITUTE(SUBSTITUTE(IF(OFFSET('(2)出場選手'!$B$2,$A294,L$1)="",'(1)鑑'!$E$8,OFFSET('(2)出場選手'!$B$2,$A294,L$1)),"県",""),"府",""),"東京都","東京"))</f>
        <v/>
      </c>
      <c r="M294" s="57" t="str">
        <f ca="1">IF($D294="","",IF(OFFSET('(2)出場選手'!$B$2,$A294,M$1)="","",OFFSET('(2)出場選手'!$B$2,$A294,M$1)))</f>
        <v/>
      </c>
      <c r="N294" s="26" t="str">
        <f ca="1">IF($D294="","",OFFSET('(2)出場選手'!$B$2,$A294,N$1+3*$B294))</f>
        <v/>
      </c>
      <c r="O294" s="26" t="str">
        <f ca="1">IF($D294="","",IF(OFFSET('(2)出場選手'!$B$2,$A294,O$1+3*$B294)="","",OFFSET('(2)出場選手'!$B$2,$A294,O$1+3*$B294)))</f>
        <v/>
      </c>
      <c r="P294" s="26" t="str">
        <f ca="1">IF($D294="","",IF(OFFSET('(2)出場選手'!$B$2,$A294,P$1+3*$B294)="","",OFFSET('(2)出場選手'!$B$2,$A294,P$1+3*$B294)))</f>
        <v/>
      </c>
      <c r="Q294" s="43" t="str">
        <f ca="1">IF(D294="","",VLOOKUP(N294,OFFSET(Competition_Events,0,1),11,FALSE)*IF($S294="リレー",IF(COUNTIF($T$3:$T294,$T294)&gt;1,0,1),1))</f>
        <v/>
      </c>
      <c r="R294" s="26" t="str">
        <f t="shared" ca="1" si="20"/>
        <v/>
      </c>
      <c r="S294" s="26" t="str">
        <f t="shared" ca="1" si="21"/>
        <v/>
      </c>
      <c r="T294" s="26" t="str">
        <f t="shared" ca="1" si="22"/>
        <v/>
      </c>
      <c r="U294" s="26" t="str">
        <f t="shared" ca="1" si="25"/>
        <v/>
      </c>
      <c r="W294" s="17" t="str">
        <f ca="1">IF($D294="","",OFFSET('(2)出場選手'!$B$2,$A294,W$1))</f>
        <v/>
      </c>
      <c r="X294" s="17" t="str">
        <f ca="1">IF($D294="","",OFFSET('(2)出場選手'!$B$2,$A294,X$1))</f>
        <v/>
      </c>
      <c r="Y294" s="17" t="str">
        <f ca="1">IF($D294="","",OFFSET('(2)出場選手'!$B$2,$A294,Y$1))</f>
        <v/>
      </c>
      <c r="Z294" s="17" t="str">
        <f ca="1">IF($D294="","",OFFSET('(2)出場選手'!$B$2,$A294,Z$1))</f>
        <v/>
      </c>
    </row>
    <row r="295" spans="1:26" x14ac:dyDescent="0.15">
      <c r="A295" s="17">
        <f>TRUNC((ROWS($D$3:D295)-2)/Max_Entry_Count)+1</f>
        <v>98</v>
      </c>
      <c r="B295" s="17" t="str">
        <f ca="1">IF($A295&gt;=ROWS(Entries)-2,"",IF(OFFSET('(2)出場選手'!$B$2,$A295,B$1+3*(MOD(ROWS($D$3:D295)-2,Max_Entry_Count)))="","",MOD(ROWS($D$3:D295)-2,Max_Entry_Count)))</f>
        <v/>
      </c>
      <c r="D295" s="26" t="str">
        <f ca="1">IF(OR($A295&gt;=ROWS(Entries)-2,$B295=""),"",'(1)鑑'!$E$6&amp;"-"&amp;OFFSET('(2)出場選手'!$B$2,$A295,D$1))</f>
        <v/>
      </c>
      <c r="E295" s="26" t="str">
        <f ca="1">IF($D295="","",OFFSET('(2)出場選手'!$B$2,$A295,E$1))</f>
        <v/>
      </c>
      <c r="F295" s="26" t="str">
        <f ca="1">IF($D295="","",IF(OFFSET('(2)出場選手'!$B$2,$A295,F$1)="","",OFFSET('(2)出場選手'!$B$2,$A295,F$1)))</f>
        <v/>
      </c>
      <c r="G295" s="26" t="str">
        <f t="shared" ca="1" si="18"/>
        <v/>
      </c>
      <c r="H295" s="26" t="str">
        <f t="shared" ca="1" si="26"/>
        <v/>
      </c>
      <c r="I295" s="26" t="str">
        <f ca="1">IF($D295="","",IF(OFFSET('(2)出場選手'!$B$2,$A295,I$1)="","",OFFSET('(2)出場選手'!$B$2,$A295,I$1)))</f>
        <v/>
      </c>
      <c r="J295" s="26" t="str">
        <f ca="1">IF($D295="","",IF(OFFSET('(2)出場選手'!$B$2,$A295,J$1)="",'(1)鑑'!$E$6,OFFSET('(2)出場選手'!$B$2,$A295,J$1)))</f>
        <v/>
      </c>
      <c r="K295" s="26" t="str">
        <f ca="1">IF($D295="","",TRIM(ASC(IF(OFFSET('(2)出場選手'!$B$2,$A295,K$1)="",'(1)鑑'!$E$7,OFFSET('(2)出場選手'!$B$2,$A295,K$1)))))</f>
        <v/>
      </c>
      <c r="L295" s="26" t="str">
        <f ca="1">IF($D295="","",SUBSTITUTE(SUBSTITUTE(SUBSTITUTE(IF(OFFSET('(2)出場選手'!$B$2,$A295,L$1)="",'(1)鑑'!$E$8,OFFSET('(2)出場選手'!$B$2,$A295,L$1)),"県",""),"府",""),"東京都","東京"))</f>
        <v/>
      </c>
      <c r="M295" s="57" t="str">
        <f ca="1">IF($D295="","",IF(OFFSET('(2)出場選手'!$B$2,$A295,M$1)="","",OFFSET('(2)出場選手'!$B$2,$A295,M$1)))</f>
        <v/>
      </c>
      <c r="N295" s="26" t="str">
        <f ca="1">IF($D295="","",OFFSET('(2)出場選手'!$B$2,$A295,N$1+3*$B295))</f>
        <v/>
      </c>
      <c r="O295" s="26" t="str">
        <f ca="1">IF($D295="","",IF(OFFSET('(2)出場選手'!$B$2,$A295,O$1+3*$B295)="","",OFFSET('(2)出場選手'!$B$2,$A295,O$1+3*$B295)))</f>
        <v/>
      </c>
      <c r="P295" s="26" t="str">
        <f ca="1">IF($D295="","",IF(OFFSET('(2)出場選手'!$B$2,$A295,P$1+3*$B295)="","",OFFSET('(2)出場選手'!$B$2,$A295,P$1+3*$B295)))</f>
        <v/>
      </c>
      <c r="Q295" s="43" t="str">
        <f ca="1">IF(D295="","",VLOOKUP(N295,OFFSET(Competition_Events,0,1),11,FALSE)*IF($S295="リレー",IF(COUNTIF($T$3:$T295,$T295)&gt;1,0,1),1))</f>
        <v/>
      </c>
      <c r="R295" s="26" t="str">
        <f t="shared" ca="1" si="20"/>
        <v/>
      </c>
      <c r="S295" s="26" t="str">
        <f t="shared" ca="1" si="21"/>
        <v/>
      </c>
      <c r="T295" s="26" t="str">
        <f t="shared" ca="1" si="22"/>
        <v/>
      </c>
      <c r="U295" s="26" t="str">
        <f t="shared" ca="1" si="25"/>
        <v/>
      </c>
      <c r="W295" s="17" t="str">
        <f ca="1">IF($D295="","",OFFSET('(2)出場選手'!$B$2,$A295,W$1))</f>
        <v/>
      </c>
      <c r="X295" s="17" t="str">
        <f ca="1">IF($D295="","",OFFSET('(2)出場選手'!$B$2,$A295,X$1))</f>
        <v/>
      </c>
      <c r="Y295" s="17" t="str">
        <f ca="1">IF($D295="","",OFFSET('(2)出場選手'!$B$2,$A295,Y$1))</f>
        <v/>
      </c>
      <c r="Z295" s="17" t="str">
        <f ca="1">IF($D295="","",OFFSET('(2)出場選手'!$B$2,$A295,Z$1))</f>
        <v/>
      </c>
    </row>
    <row r="296" spans="1:26" x14ac:dyDescent="0.15">
      <c r="A296" s="17">
        <f>TRUNC((ROWS($D$3:D296)-2)/Max_Entry_Count)+1</f>
        <v>98</v>
      </c>
      <c r="B296" s="17" t="str">
        <f ca="1">IF($A296&gt;=ROWS(Entries)-2,"",IF(OFFSET('(2)出場選手'!$B$2,$A296,B$1+3*(MOD(ROWS($D$3:D296)-2,Max_Entry_Count)))="","",MOD(ROWS($D$3:D296)-2,Max_Entry_Count)))</f>
        <v/>
      </c>
      <c r="D296" s="26" t="str">
        <f ca="1">IF(OR($A296&gt;=ROWS(Entries)-2,$B296=""),"",'(1)鑑'!$E$6&amp;"-"&amp;OFFSET('(2)出場選手'!$B$2,$A296,D$1))</f>
        <v/>
      </c>
      <c r="E296" s="26" t="str">
        <f ca="1">IF($D296="","",OFFSET('(2)出場選手'!$B$2,$A296,E$1))</f>
        <v/>
      </c>
      <c r="F296" s="26" t="str">
        <f ca="1">IF($D296="","",IF(OFFSET('(2)出場選手'!$B$2,$A296,F$1)="","",OFFSET('(2)出場選手'!$B$2,$A296,F$1)))</f>
        <v/>
      </c>
      <c r="G296" s="26" t="str">
        <f t="shared" ca="1" si="18"/>
        <v/>
      </c>
      <c r="H296" s="26" t="str">
        <f t="shared" ca="1" si="26"/>
        <v/>
      </c>
      <c r="I296" s="26" t="str">
        <f ca="1">IF($D296="","",IF(OFFSET('(2)出場選手'!$B$2,$A296,I$1)="","",OFFSET('(2)出場選手'!$B$2,$A296,I$1)))</f>
        <v/>
      </c>
      <c r="J296" s="26" t="str">
        <f ca="1">IF($D296="","",IF(OFFSET('(2)出場選手'!$B$2,$A296,J$1)="",'(1)鑑'!$E$6,OFFSET('(2)出場選手'!$B$2,$A296,J$1)))</f>
        <v/>
      </c>
      <c r="K296" s="26" t="str">
        <f ca="1">IF($D296="","",TRIM(ASC(IF(OFFSET('(2)出場選手'!$B$2,$A296,K$1)="",'(1)鑑'!$E$7,OFFSET('(2)出場選手'!$B$2,$A296,K$1)))))</f>
        <v/>
      </c>
      <c r="L296" s="26" t="str">
        <f ca="1">IF($D296="","",SUBSTITUTE(SUBSTITUTE(SUBSTITUTE(IF(OFFSET('(2)出場選手'!$B$2,$A296,L$1)="",'(1)鑑'!$E$8,OFFSET('(2)出場選手'!$B$2,$A296,L$1)),"県",""),"府",""),"東京都","東京"))</f>
        <v/>
      </c>
      <c r="M296" s="57" t="str">
        <f ca="1">IF($D296="","",IF(OFFSET('(2)出場選手'!$B$2,$A296,M$1)="","",OFFSET('(2)出場選手'!$B$2,$A296,M$1)))</f>
        <v/>
      </c>
      <c r="N296" s="26" t="str">
        <f ca="1">IF($D296="","",OFFSET('(2)出場選手'!$B$2,$A296,N$1+3*$B296))</f>
        <v/>
      </c>
      <c r="O296" s="26" t="str">
        <f ca="1">IF($D296="","",IF(OFFSET('(2)出場選手'!$B$2,$A296,O$1+3*$B296)="","",OFFSET('(2)出場選手'!$B$2,$A296,O$1+3*$B296)))</f>
        <v/>
      </c>
      <c r="P296" s="26" t="str">
        <f ca="1">IF($D296="","",IF(OFFSET('(2)出場選手'!$B$2,$A296,P$1+3*$B296)="","",OFFSET('(2)出場選手'!$B$2,$A296,P$1+3*$B296)))</f>
        <v/>
      </c>
      <c r="Q296" s="43" t="str">
        <f ca="1">IF(D296="","",VLOOKUP(N296,OFFSET(Competition_Events,0,1),11,FALSE)*IF($S296="リレー",IF(COUNTIF($T$3:$T296,$T296)&gt;1,0,1),1))</f>
        <v/>
      </c>
      <c r="R296" s="26" t="str">
        <f t="shared" ca="1" si="20"/>
        <v/>
      </c>
      <c r="S296" s="26" t="str">
        <f t="shared" ca="1" si="21"/>
        <v/>
      </c>
      <c r="T296" s="26" t="str">
        <f t="shared" ca="1" si="22"/>
        <v/>
      </c>
      <c r="U296" s="26" t="str">
        <f t="shared" ca="1" si="25"/>
        <v/>
      </c>
      <c r="W296" s="17" t="str">
        <f ca="1">IF($D296="","",OFFSET('(2)出場選手'!$B$2,$A296,W$1))</f>
        <v/>
      </c>
      <c r="X296" s="17" t="str">
        <f ca="1">IF($D296="","",OFFSET('(2)出場選手'!$B$2,$A296,X$1))</f>
        <v/>
      </c>
      <c r="Y296" s="17" t="str">
        <f ca="1">IF($D296="","",OFFSET('(2)出場選手'!$B$2,$A296,Y$1))</f>
        <v/>
      </c>
      <c r="Z296" s="17" t="str">
        <f ca="1">IF($D296="","",OFFSET('(2)出場選手'!$B$2,$A296,Z$1))</f>
        <v/>
      </c>
    </row>
    <row r="297" spans="1:26" x14ac:dyDescent="0.15">
      <c r="A297" s="17">
        <f>TRUNC((ROWS($D$3:D297)-2)/Max_Entry_Count)+1</f>
        <v>98</v>
      </c>
      <c r="B297" s="17" t="str">
        <f ca="1">IF($A297&gt;=ROWS(Entries)-2,"",IF(OFFSET('(2)出場選手'!$B$2,$A297,B$1+3*(MOD(ROWS($D$3:D297)-2,Max_Entry_Count)))="","",MOD(ROWS($D$3:D297)-2,Max_Entry_Count)))</f>
        <v/>
      </c>
      <c r="D297" s="26" t="str">
        <f ca="1">IF(OR($A297&gt;=ROWS(Entries)-2,$B297=""),"",'(1)鑑'!$E$6&amp;"-"&amp;OFFSET('(2)出場選手'!$B$2,$A297,D$1))</f>
        <v/>
      </c>
      <c r="E297" s="26" t="str">
        <f ca="1">IF($D297="","",OFFSET('(2)出場選手'!$B$2,$A297,E$1))</f>
        <v/>
      </c>
      <c r="F297" s="26" t="str">
        <f ca="1">IF($D297="","",IF(OFFSET('(2)出場選手'!$B$2,$A297,F$1)="","",OFFSET('(2)出場選手'!$B$2,$A297,F$1)))</f>
        <v/>
      </c>
      <c r="G297" s="26" t="str">
        <f t="shared" ca="1" si="18"/>
        <v/>
      </c>
      <c r="H297" s="26" t="str">
        <f t="shared" ca="1" si="26"/>
        <v/>
      </c>
      <c r="I297" s="26" t="str">
        <f ca="1">IF($D297="","",IF(OFFSET('(2)出場選手'!$B$2,$A297,I$1)="","",OFFSET('(2)出場選手'!$B$2,$A297,I$1)))</f>
        <v/>
      </c>
      <c r="J297" s="26" t="str">
        <f ca="1">IF($D297="","",IF(OFFSET('(2)出場選手'!$B$2,$A297,J$1)="",'(1)鑑'!$E$6,OFFSET('(2)出場選手'!$B$2,$A297,J$1)))</f>
        <v/>
      </c>
      <c r="K297" s="26" t="str">
        <f ca="1">IF($D297="","",TRIM(ASC(IF(OFFSET('(2)出場選手'!$B$2,$A297,K$1)="",'(1)鑑'!$E$7,OFFSET('(2)出場選手'!$B$2,$A297,K$1)))))</f>
        <v/>
      </c>
      <c r="L297" s="26" t="str">
        <f ca="1">IF($D297="","",SUBSTITUTE(SUBSTITUTE(SUBSTITUTE(IF(OFFSET('(2)出場選手'!$B$2,$A297,L$1)="",'(1)鑑'!$E$8,OFFSET('(2)出場選手'!$B$2,$A297,L$1)),"県",""),"府",""),"東京都","東京"))</f>
        <v/>
      </c>
      <c r="M297" s="57" t="str">
        <f ca="1">IF($D297="","",IF(OFFSET('(2)出場選手'!$B$2,$A297,M$1)="","",OFFSET('(2)出場選手'!$B$2,$A297,M$1)))</f>
        <v/>
      </c>
      <c r="N297" s="26" t="str">
        <f ca="1">IF($D297="","",OFFSET('(2)出場選手'!$B$2,$A297,N$1+3*$B297))</f>
        <v/>
      </c>
      <c r="O297" s="26" t="str">
        <f ca="1">IF($D297="","",IF(OFFSET('(2)出場選手'!$B$2,$A297,O$1+3*$B297)="","",OFFSET('(2)出場選手'!$B$2,$A297,O$1+3*$B297)))</f>
        <v/>
      </c>
      <c r="P297" s="26" t="str">
        <f ca="1">IF($D297="","",IF(OFFSET('(2)出場選手'!$B$2,$A297,P$1+3*$B297)="","",OFFSET('(2)出場選手'!$B$2,$A297,P$1+3*$B297)))</f>
        <v/>
      </c>
      <c r="Q297" s="43" t="str">
        <f ca="1">IF(D297="","",VLOOKUP(N297,OFFSET(Competition_Events,0,1),11,FALSE)*IF($S297="リレー",IF(COUNTIF($T$3:$T297,$T297)&gt;1,0,1),1))</f>
        <v/>
      </c>
      <c r="R297" s="26" t="str">
        <f t="shared" ca="1" si="20"/>
        <v/>
      </c>
      <c r="S297" s="26" t="str">
        <f t="shared" ca="1" si="21"/>
        <v/>
      </c>
      <c r="T297" s="26" t="str">
        <f t="shared" ca="1" si="22"/>
        <v/>
      </c>
      <c r="U297" s="26" t="str">
        <f t="shared" ca="1" si="25"/>
        <v/>
      </c>
      <c r="W297" s="17" t="str">
        <f ca="1">IF($D297="","",OFFSET('(2)出場選手'!$B$2,$A297,W$1))</f>
        <v/>
      </c>
      <c r="X297" s="17" t="str">
        <f ca="1">IF($D297="","",OFFSET('(2)出場選手'!$B$2,$A297,X$1))</f>
        <v/>
      </c>
      <c r="Y297" s="17" t="str">
        <f ca="1">IF($D297="","",OFFSET('(2)出場選手'!$B$2,$A297,Y$1))</f>
        <v/>
      </c>
      <c r="Z297" s="17" t="str">
        <f ca="1">IF($D297="","",OFFSET('(2)出場選手'!$B$2,$A297,Z$1))</f>
        <v/>
      </c>
    </row>
    <row r="298" spans="1:26" x14ac:dyDescent="0.15">
      <c r="A298" s="17">
        <f>TRUNC((ROWS($D$3:D298)-2)/Max_Entry_Count)+1</f>
        <v>99</v>
      </c>
      <c r="B298" s="17" t="str">
        <f ca="1">IF($A298&gt;=ROWS(Entries)-2,"",IF(OFFSET('(2)出場選手'!$B$2,$A298,B$1+3*(MOD(ROWS($D$3:D298)-2,Max_Entry_Count)))="","",MOD(ROWS($D$3:D298)-2,Max_Entry_Count)))</f>
        <v/>
      </c>
      <c r="D298" s="26" t="str">
        <f ca="1">IF(OR($A298&gt;=ROWS(Entries)-2,$B298=""),"",'(1)鑑'!$E$6&amp;"-"&amp;OFFSET('(2)出場選手'!$B$2,$A298,D$1))</f>
        <v/>
      </c>
      <c r="E298" s="26" t="str">
        <f ca="1">IF($D298="","",OFFSET('(2)出場選手'!$B$2,$A298,E$1))</f>
        <v/>
      </c>
      <c r="F298" s="26" t="str">
        <f ca="1">IF($D298="","",IF(OFFSET('(2)出場選手'!$B$2,$A298,F$1)="","",OFFSET('(2)出場選手'!$B$2,$A298,F$1)))</f>
        <v/>
      </c>
      <c r="G298" s="26" t="str">
        <f t="shared" ca="1" si="18"/>
        <v/>
      </c>
      <c r="H298" s="26" t="str">
        <f t="shared" ca="1" si="26"/>
        <v/>
      </c>
      <c r="I298" s="26" t="str">
        <f ca="1">IF($D298="","",IF(OFFSET('(2)出場選手'!$B$2,$A298,I$1)="","",OFFSET('(2)出場選手'!$B$2,$A298,I$1)))</f>
        <v/>
      </c>
      <c r="J298" s="26" t="str">
        <f ca="1">IF($D298="","",IF(OFFSET('(2)出場選手'!$B$2,$A298,J$1)="",'(1)鑑'!$E$6,OFFSET('(2)出場選手'!$B$2,$A298,J$1)))</f>
        <v/>
      </c>
      <c r="K298" s="26" t="str">
        <f ca="1">IF($D298="","",TRIM(ASC(IF(OFFSET('(2)出場選手'!$B$2,$A298,K$1)="",'(1)鑑'!$E$7,OFFSET('(2)出場選手'!$B$2,$A298,K$1)))))</f>
        <v/>
      </c>
      <c r="L298" s="26" t="str">
        <f ca="1">IF($D298="","",SUBSTITUTE(SUBSTITUTE(SUBSTITUTE(IF(OFFSET('(2)出場選手'!$B$2,$A298,L$1)="",'(1)鑑'!$E$8,OFFSET('(2)出場選手'!$B$2,$A298,L$1)),"県",""),"府",""),"東京都","東京"))</f>
        <v/>
      </c>
      <c r="M298" s="57" t="str">
        <f ca="1">IF($D298="","",IF(OFFSET('(2)出場選手'!$B$2,$A298,M$1)="","",OFFSET('(2)出場選手'!$B$2,$A298,M$1)))</f>
        <v/>
      </c>
      <c r="N298" s="26" t="str">
        <f ca="1">IF($D298="","",OFFSET('(2)出場選手'!$B$2,$A298,N$1+3*$B298))</f>
        <v/>
      </c>
      <c r="O298" s="26" t="str">
        <f ca="1">IF($D298="","",IF(OFFSET('(2)出場選手'!$B$2,$A298,O$1+3*$B298)="","",OFFSET('(2)出場選手'!$B$2,$A298,O$1+3*$B298)))</f>
        <v/>
      </c>
      <c r="P298" s="26" t="str">
        <f ca="1">IF($D298="","",IF(OFFSET('(2)出場選手'!$B$2,$A298,P$1+3*$B298)="","",OFFSET('(2)出場選手'!$B$2,$A298,P$1+3*$B298)))</f>
        <v/>
      </c>
      <c r="Q298" s="43" t="str">
        <f ca="1">IF(D298="","",VLOOKUP(N298,OFFSET(Competition_Events,0,1),11,FALSE)*IF($S298="リレー",IF(COUNTIF($T$3:$T298,$T298)&gt;1,0,1),1))</f>
        <v/>
      </c>
      <c r="R298" s="26" t="str">
        <f t="shared" ca="1" si="20"/>
        <v/>
      </c>
      <c r="S298" s="26" t="str">
        <f t="shared" ca="1" si="21"/>
        <v/>
      </c>
      <c r="T298" s="26" t="str">
        <f t="shared" ca="1" si="22"/>
        <v/>
      </c>
      <c r="U298" s="26" t="str">
        <f t="shared" ca="1" si="25"/>
        <v/>
      </c>
      <c r="W298" s="17" t="str">
        <f ca="1">IF($D298="","",OFFSET('(2)出場選手'!$B$2,$A298,W$1))</f>
        <v/>
      </c>
      <c r="X298" s="17" t="str">
        <f ca="1">IF($D298="","",OFFSET('(2)出場選手'!$B$2,$A298,X$1))</f>
        <v/>
      </c>
      <c r="Y298" s="17" t="str">
        <f ca="1">IF($D298="","",OFFSET('(2)出場選手'!$B$2,$A298,Y$1))</f>
        <v/>
      </c>
      <c r="Z298" s="17" t="str">
        <f ca="1">IF($D298="","",OFFSET('(2)出場選手'!$B$2,$A298,Z$1))</f>
        <v/>
      </c>
    </row>
    <row r="299" spans="1:26" x14ac:dyDescent="0.15">
      <c r="A299" s="17">
        <f>TRUNC((ROWS($D$3:D299)-2)/Max_Entry_Count)+1</f>
        <v>99</v>
      </c>
      <c r="B299" s="17" t="str">
        <f ca="1">IF($A299&gt;=ROWS(Entries)-2,"",IF(OFFSET('(2)出場選手'!$B$2,$A299,B$1+3*(MOD(ROWS($D$3:D299)-2,Max_Entry_Count)))="","",MOD(ROWS($D$3:D299)-2,Max_Entry_Count)))</f>
        <v/>
      </c>
      <c r="D299" s="26" t="str">
        <f ca="1">IF(OR($A299&gt;=ROWS(Entries)-2,$B299=""),"",'(1)鑑'!$E$6&amp;"-"&amp;OFFSET('(2)出場選手'!$B$2,$A299,D$1))</f>
        <v/>
      </c>
      <c r="E299" s="26" t="str">
        <f ca="1">IF($D299="","",OFFSET('(2)出場選手'!$B$2,$A299,E$1))</f>
        <v/>
      </c>
      <c r="F299" s="26" t="str">
        <f ca="1">IF($D299="","",IF(OFFSET('(2)出場選手'!$B$2,$A299,F$1)="","",OFFSET('(2)出場選手'!$B$2,$A299,F$1)))</f>
        <v/>
      </c>
      <c r="G299" s="26" t="str">
        <f t="shared" ca="1" si="18"/>
        <v/>
      </c>
      <c r="H299" s="26" t="str">
        <f t="shared" ca="1" si="26"/>
        <v/>
      </c>
      <c r="I299" s="26" t="str">
        <f ca="1">IF($D299="","",IF(OFFSET('(2)出場選手'!$B$2,$A299,I$1)="","",OFFSET('(2)出場選手'!$B$2,$A299,I$1)))</f>
        <v/>
      </c>
      <c r="J299" s="26" t="str">
        <f ca="1">IF($D299="","",IF(OFFSET('(2)出場選手'!$B$2,$A299,J$1)="",'(1)鑑'!$E$6,OFFSET('(2)出場選手'!$B$2,$A299,J$1)))</f>
        <v/>
      </c>
      <c r="K299" s="26" t="str">
        <f ca="1">IF($D299="","",TRIM(ASC(IF(OFFSET('(2)出場選手'!$B$2,$A299,K$1)="",'(1)鑑'!$E$7,OFFSET('(2)出場選手'!$B$2,$A299,K$1)))))</f>
        <v/>
      </c>
      <c r="L299" s="26" t="str">
        <f ca="1">IF($D299="","",SUBSTITUTE(SUBSTITUTE(SUBSTITUTE(IF(OFFSET('(2)出場選手'!$B$2,$A299,L$1)="",'(1)鑑'!$E$8,OFFSET('(2)出場選手'!$B$2,$A299,L$1)),"県",""),"府",""),"東京都","東京"))</f>
        <v/>
      </c>
      <c r="M299" s="57" t="str">
        <f ca="1">IF($D299="","",IF(OFFSET('(2)出場選手'!$B$2,$A299,M$1)="","",OFFSET('(2)出場選手'!$B$2,$A299,M$1)))</f>
        <v/>
      </c>
      <c r="N299" s="26" t="str">
        <f ca="1">IF($D299="","",OFFSET('(2)出場選手'!$B$2,$A299,N$1+3*$B299))</f>
        <v/>
      </c>
      <c r="O299" s="26" t="str">
        <f ca="1">IF($D299="","",IF(OFFSET('(2)出場選手'!$B$2,$A299,O$1+3*$B299)="","",OFFSET('(2)出場選手'!$B$2,$A299,O$1+3*$B299)))</f>
        <v/>
      </c>
      <c r="P299" s="26" t="str">
        <f ca="1">IF($D299="","",IF(OFFSET('(2)出場選手'!$B$2,$A299,P$1+3*$B299)="","",OFFSET('(2)出場選手'!$B$2,$A299,P$1+3*$B299)))</f>
        <v/>
      </c>
      <c r="Q299" s="43" t="str">
        <f ca="1">IF(D299="","",VLOOKUP(N299,OFFSET(Competition_Events,0,1),11,FALSE)*IF($S299="リレー",IF(COUNTIF($T$3:$T299,$T299)&gt;1,0,1),1))</f>
        <v/>
      </c>
      <c r="R299" s="26" t="str">
        <f t="shared" ca="1" si="20"/>
        <v/>
      </c>
      <c r="S299" s="26" t="str">
        <f t="shared" ca="1" si="21"/>
        <v/>
      </c>
      <c r="T299" s="26" t="str">
        <f t="shared" ca="1" si="22"/>
        <v/>
      </c>
      <c r="U299" s="26" t="str">
        <f t="shared" ca="1" si="25"/>
        <v/>
      </c>
      <c r="W299" s="17" t="str">
        <f ca="1">IF($D299="","",OFFSET('(2)出場選手'!$B$2,$A299,W$1))</f>
        <v/>
      </c>
      <c r="X299" s="17" t="str">
        <f ca="1">IF($D299="","",OFFSET('(2)出場選手'!$B$2,$A299,X$1))</f>
        <v/>
      </c>
      <c r="Y299" s="17" t="str">
        <f ca="1">IF($D299="","",OFFSET('(2)出場選手'!$B$2,$A299,Y$1))</f>
        <v/>
      </c>
      <c r="Z299" s="17" t="str">
        <f ca="1">IF($D299="","",OFFSET('(2)出場選手'!$B$2,$A299,Z$1))</f>
        <v/>
      </c>
    </row>
    <row r="300" spans="1:26" x14ac:dyDescent="0.15">
      <c r="A300" s="17">
        <f>TRUNC((ROWS($D$3:D300)-2)/Max_Entry_Count)+1</f>
        <v>99</v>
      </c>
      <c r="B300" s="17" t="str">
        <f ca="1">IF($A300&gt;=ROWS(Entries)-2,"",IF(OFFSET('(2)出場選手'!$B$2,$A300,B$1+3*(MOD(ROWS($D$3:D300)-2,Max_Entry_Count)))="","",MOD(ROWS($D$3:D300)-2,Max_Entry_Count)))</f>
        <v/>
      </c>
      <c r="D300" s="26" t="str">
        <f ca="1">IF(OR($A300&gt;=ROWS(Entries)-2,$B300=""),"",'(1)鑑'!$E$6&amp;"-"&amp;OFFSET('(2)出場選手'!$B$2,$A300,D$1))</f>
        <v/>
      </c>
      <c r="E300" s="26" t="str">
        <f ca="1">IF($D300="","",OFFSET('(2)出場選手'!$B$2,$A300,E$1))</f>
        <v/>
      </c>
      <c r="F300" s="26" t="str">
        <f ca="1">IF($D300="","",IF(OFFSET('(2)出場選手'!$B$2,$A300,F$1)="","",OFFSET('(2)出場選手'!$B$2,$A300,F$1)))</f>
        <v/>
      </c>
      <c r="G300" s="26" t="str">
        <f t="shared" ca="1" si="18"/>
        <v/>
      </c>
      <c r="H300" s="26" t="str">
        <f t="shared" ca="1" si="26"/>
        <v/>
      </c>
      <c r="I300" s="26" t="str">
        <f ca="1">IF($D300="","",IF(OFFSET('(2)出場選手'!$B$2,$A300,I$1)="","",OFFSET('(2)出場選手'!$B$2,$A300,I$1)))</f>
        <v/>
      </c>
      <c r="J300" s="26" t="str">
        <f ca="1">IF($D300="","",IF(OFFSET('(2)出場選手'!$B$2,$A300,J$1)="",'(1)鑑'!$E$6,OFFSET('(2)出場選手'!$B$2,$A300,J$1)))</f>
        <v/>
      </c>
      <c r="K300" s="26" t="str">
        <f ca="1">IF($D300="","",TRIM(ASC(IF(OFFSET('(2)出場選手'!$B$2,$A300,K$1)="",'(1)鑑'!$E$7,OFFSET('(2)出場選手'!$B$2,$A300,K$1)))))</f>
        <v/>
      </c>
      <c r="L300" s="26" t="str">
        <f ca="1">IF($D300="","",SUBSTITUTE(SUBSTITUTE(SUBSTITUTE(IF(OFFSET('(2)出場選手'!$B$2,$A300,L$1)="",'(1)鑑'!$E$8,OFFSET('(2)出場選手'!$B$2,$A300,L$1)),"県",""),"府",""),"東京都","東京"))</f>
        <v/>
      </c>
      <c r="M300" s="57" t="str">
        <f ca="1">IF($D300="","",IF(OFFSET('(2)出場選手'!$B$2,$A300,M$1)="","",OFFSET('(2)出場選手'!$B$2,$A300,M$1)))</f>
        <v/>
      </c>
      <c r="N300" s="26" t="str">
        <f ca="1">IF($D300="","",OFFSET('(2)出場選手'!$B$2,$A300,N$1+3*$B300))</f>
        <v/>
      </c>
      <c r="O300" s="26" t="str">
        <f ca="1">IF($D300="","",IF(OFFSET('(2)出場選手'!$B$2,$A300,O$1+3*$B300)="","",OFFSET('(2)出場選手'!$B$2,$A300,O$1+3*$B300)))</f>
        <v/>
      </c>
      <c r="P300" s="26" t="str">
        <f ca="1">IF($D300="","",IF(OFFSET('(2)出場選手'!$B$2,$A300,P$1+3*$B300)="","",OFFSET('(2)出場選手'!$B$2,$A300,P$1+3*$B300)))</f>
        <v/>
      </c>
      <c r="Q300" s="43" t="str">
        <f ca="1">IF(D300="","",VLOOKUP(N300,OFFSET(Competition_Events,0,1),11,FALSE)*IF($S300="リレー",IF(COUNTIF($T$3:$T300,$T300)&gt;1,0,1),1))</f>
        <v/>
      </c>
      <c r="R300" s="26" t="str">
        <f t="shared" ca="1" si="20"/>
        <v/>
      </c>
      <c r="S300" s="26" t="str">
        <f t="shared" ca="1" si="21"/>
        <v/>
      </c>
      <c r="T300" s="26" t="str">
        <f t="shared" ca="1" si="22"/>
        <v/>
      </c>
      <c r="U300" s="26" t="str">
        <f t="shared" ca="1" si="25"/>
        <v/>
      </c>
      <c r="W300" s="17" t="str">
        <f ca="1">IF($D300="","",OFFSET('(2)出場選手'!$B$2,$A300,W$1))</f>
        <v/>
      </c>
      <c r="X300" s="17" t="str">
        <f ca="1">IF($D300="","",OFFSET('(2)出場選手'!$B$2,$A300,X$1))</f>
        <v/>
      </c>
      <c r="Y300" s="17" t="str">
        <f ca="1">IF($D300="","",OFFSET('(2)出場選手'!$B$2,$A300,Y$1))</f>
        <v/>
      </c>
      <c r="Z300" s="17" t="str">
        <f ca="1">IF($D300="","",OFFSET('(2)出場選手'!$B$2,$A300,Z$1))</f>
        <v/>
      </c>
    </row>
    <row r="301" spans="1:26" x14ac:dyDescent="0.15">
      <c r="A301" s="17">
        <f>TRUNC((ROWS($D$3:D301)-2)/Max_Entry_Count)+1</f>
        <v>100</v>
      </c>
      <c r="B301" s="17" t="str">
        <f ca="1">IF($A301&gt;=ROWS(Entries)-2,"",IF(OFFSET('(2)出場選手'!$B$2,$A301,B$1+3*(MOD(ROWS($D$3:D301)-2,Max_Entry_Count)))="","",MOD(ROWS($D$3:D301)-2,Max_Entry_Count)))</f>
        <v/>
      </c>
      <c r="D301" s="26" t="str">
        <f ca="1">IF(OR($A301&gt;=ROWS(Entries)-2,$B301=""),"",'(1)鑑'!$E$6&amp;"-"&amp;OFFSET('(2)出場選手'!$B$2,$A301,D$1))</f>
        <v/>
      </c>
      <c r="E301" s="26" t="str">
        <f ca="1">IF($D301="","",OFFSET('(2)出場選手'!$B$2,$A301,E$1))</f>
        <v/>
      </c>
      <c r="F301" s="26" t="str">
        <f ca="1">IF($D301="","",IF(OFFSET('(2)出場選手'!$B$2,$A301,F$1)="","",OFFSET('(2)出場選手'!$B$2,$A301,F$1)))</f>
        <v/>
      </c>
      <c r="G301" s="26" t="str">
        <f t="shared" ca="1" si="18"/>
        <v/>
      </c>
      <c r="H301" s="26" t="str">
        <f t="shared" ca="1" si="26"/>
        <v/>
      </c>
      <c r="I301" s="26" t="str">
        <f ca="1">IF($D301="","",IF(OFFSET('(2)出場選手'!$B$2,$A301,I$1)="","",OFFSET('(2)出場選手'!$B$2,$A301,I$1)))</f>
        <v/>
      </c>
      <c r="J301" s="26" t="str">
        <f ca="1">IF($D301="","",IF(OFFSET('(2)出場選手'!$B$2,$A301,J$1)="",'(1)鑑'!$E$6,OFFSET('(2)出場選手'!$B$2,$A301,J$1)))</f>
        <v/>
      </c>
      <c r="K301" s="26" t="str">
        <f ca="1">IF($D301="","",TRIM(ASC(IF(OFFSET('(2)出場選手'!$B$2,$A301,K$1)="",'(1)鑑'!$E$7,OFFSET('(2)出場選手'!$B$2,$A301,K$1)))))</f>
        <v/>
      </c>
      <c r="L301" s="26" t="str">
        <f ca="1">IF($D301="","",SUBSTITUTE(SUBSTITUTE(SUBSTITUTE(IF(OFFSET('(2)出場選手'!$B$2,$A301,L$1)="",'(1)鑑'!$E$8,OFFSET('(2)出場選手'!$B$2,$A301,L$1)),"県",""),"府",""),"東京都","東京"))</f>
        <v/>
      </c>
      <c r="M301" s="57" t="str">
        <f ca="1">IF($D301="","",IF(OFFSET('(2)出場選手'!$B$2,$A301,M$1)="","",OFFSET('(2)出場選手'!$B$2,$A301,M$1)))</f>
        <v/>
      </c>
      <c r="N301" s="26" t="str">
        <f ca="1">IF($D301="","",OFFSET('(2)出場選手'!$B$2,$A301,N$1+3*$B301))</f>
        <v/>
      </c>
      <c r="O301" s="26" t="str">
        <f ca="1">IF($D301="","",IF(OFFSET('(2)出場選手'!$B$2,$A301,O$1+3*$B301)="","",OFFSET('(2)出場選手'!$B$2,$A301,O$1+3*$B301)))</f>
        <v/>
      </c>
      <c r="P301" s="26" t="str">
        <f ca="1">IF($D301="","",IF(OFFSET('(2)出場選手'!$B$2,$A301,P$1+3*$B301)="","",OFFSET('(2)出場選手'!$B$2,$A301,P$1+3*$B301)))</f>
        <v/>
      </c>
      <c r="Q301" s="43" t="str">
        <f ca="1">IF(D301="","",VLOOKUP(N301,OFFSET(Competition_Events,0,1),11,FALSE)*IF($S301="リレー",IF(COUNTIF($T$3:$T301,$T301)&gt;1,0,1),1))</f>
        <v/>
      </c>
      <c r="R301" s="26" t="str">
        <f t="shared" ca="1" si="20"/>
        <v/>
      </c>
      <c r="S301" s="26" t="str">
        <f t="shared" ca="1" si="21"/>
        <v/>
      </c>
      <c r="T301" s="26" t="str">
        <f t="shared" ca="1" si="22"/>
        <v/>
      </c>
      <c r="U301" s="26" t="str">
        <f t="shared" ca="1" si="25"/>
        <v/>
      </c>
      <c r="W301" s="17" t="str">
        <f ca="1">IF($D301="","",OFFSET('(2)出場選手'!$B$2,$A301,W$1))</f>
        <v/>
      </c>
      <c r="X301" s="17" t="str">
        <f ca="1">IF($D301="","",OFFSET('(2)出場選手'!$B$2,$A301,X$1))</f>
        <v/>
      </c>
      <c r="Y301" s="17" t="str">
        <f ca="1">IF($D301="","",OFFSET('(2)出場選手'!$B$2,$A301,Y$1))</f>
        <v/>
      </c>
      <c r="Z301" s="17" t="str">
        <f ca="1">IF($D301="","",OFFSET('(2)出場選手'!$B$2,$A301,Z$1))</f>
        <v/>
      </c>
    </row>
    <row r="302" spans="1:26" x14ac:dyDescent="0.15">
      <c r="A302" s="17">
        <f>TRUNC((ROWS($D$3:D302)-2)/Max_Entry_Count)+1</f>
        <v>100</v>
      </c>
      <c r="B302" s="17" t="str">
        <f ca="1">IF($A302&gt;=ROWS(Entries)-2,"",IF(OFFSET('(2)出場選手'!$B$2,$A302,B$1+3*(MOD(ROWS($D$3:D302)-2,Max_Entry_Count)))="","",MOD(ROWS($D$3:D302)-2,Max_Entry_Count)))</f>
        <v/>
      </c>
      <c r="D302" s="26" t="str">
        <f ca="1">IF(OR($A302&gt;=ROWS(Entries)-2,$B302=""),"",'(1)鑑'!$E$6&amp;"-"&amp;OFFSET('(2)出場選手'!$B$2,$A302,D$1))</f>
        <v/>
      </c>
      <c r="E302" s="26" t="str">
        <f ca="1">IF($D302="","",OFFSET('(2)出場選手'!$B$2,$A302,E$1))</f>
        <v/>
      </c>
      <c r="F302" s="26" t="str">
        <f ca="1">IF($D302="","",IF(OFFSET('(2)出場選手'!$B$2,$A302,F$1)="","",OFFSET('(2)出場選手'!$B$2,$A302,F$1)))</f>
        <v/>
      </c>
      <c r="G302" s="26" t="str">
        <f t="shared" ca="1" si="18"/>
        <v/>
      </c>
      <c r="H302" s="26" t="str">
        <f t="shared" ca="1" si="26"/>
        <v/>
      </c>
      <c r="I302" s="26" t="str">
        <f ca="1">IF($D302="","",IF(OFFSET('(2)出場選手'!$B$2,$A302,I$1)="","",OFFSET('(2)出場選手'!$B$2,$A302,I$1)))</f>
        <v/>
      </c>
      <c r="J302" s="26" t="str">
        <f ca="1">IF($D302="","",IF(OFFSET('(2)出場選手'!$B$2,$A302,J$1)="",'(1)鑑'!$E$6,OFFSET('(2)出場選手'!$B$2,$A302,J$1)))</f>
        <v/>
      </c>
      <c r="K302" s="26" t="str">
        <f ca="1">IF($D302="","",TRIM(ASC(IF(OFFSET('(2)出場選手'!$B$2,$A302,K$1)="",'(1)鑑'!$E$7,OFFSET('(2)出場選手'!$B$2,$A302,K$1)))))</f>
        <v/>
      </c>
      <c r="L302" s="26" t="str">
        <f ca="1">IF($D302="","",SUBSTITUTE(SUBSTITUTE(SUBSTITUTE(IF(OFFSET('(2)出場選手'!$B$2,$A302,L$1)="",'(1)鑑'!$E$8,OFFSET('(2)出場選手'!$B$2,$A302,L$1)),"県",""),"府",""),"東京都","東京"))</f>
        <v/>
      </c>
      <c r="M302" s="57" t="str">
        <f ca="1">IF($D302="","",IF(OFFSET('(2)出場選手'!$B$2,$A302,M$1)="","",OFFSET('(2)出場選手'!$B$2,$A302,M$1)))</f>
        <v/>
      </c>
      <c r="N302" s="26" t="str">
        <f ca="1">IF($D302="","",OFFSET('(2)出場選手'!$B$2,$A302,N$1+3*$B302))</f>
        <v/>
      </c>
      <c r="O302" s="26" t="str">
        <f ca="1">IF($D302="","",IF(OFFSET('(2)出場選手'!$B$2,$A302,O$1+3*$B302)="","",OFFSET('(2)出場選手'!$B$2,$A302,O$1+3*$B302)))</f>
        <v/>
      </c>
      <c r="P302" s="26" t="str">
        <f ca="1">IF($D302="","",IF(OFFSET('(2)出場選手'!$B$2,$A302,P$1+3*$B302)="","",OFFSET('(2)出場選手'!$B$2,$A302,P$1+3*$B302)))</f>
        <v/>
      </c>
      <c r="Q302" s="43" t="str">
        <f ca="1">IF(D302="","",VLOOKUP(N302,OFFSET(Competition_Events,0,1),11,FALSE)*IF($S302="リレー",IF(COUNTIF($T$3:$T302,$T302)&gt;1,0,1),1))</f>
        <v/>
      </c>
      <c r="R302" s="26" t="str">
        <f t="shared" ca="1" si="20"/>
        <v/>
      </c>
      <c r="S302" s="26" t="str">
        <f t="shared" ca="1" si="21"/>
        <v/>
      </c>
      <c r="T302" s="26" t="str">
        <f t="shared" ca="1" si="22"/>
        <v/>
      </c>
      <c r="U302" s="26" t="str">
        <f t="shared" ca="1" si="25"/>
        <v/>
      </c>
      <c r="W302" s="17" t="str">
        <f ca="1">IF($D302="","",OFFSET('(2)出場選手'!$B$2,$A302,W$1))</f>
        <v/>
      </c>
      <c r="X302" s="17" t="str">
        <f ca="1">IF($D302="","",OFFSET('(2)出場選手'!$B$2,$A302,X$1))</f>
        <v/>
      </c>
      <c r="Y302" s="17" t="str">
        <f ca="1">IF($D302="","",OFFSET('(2)出場選手'!$B$2,$A302,Y$1))</f>
        <v/>
      </c>
      <c r="Z302" s="17" t="str">
        <f ca="1">IF($D302="","",OFFSET('(2)出場選手'!$B$2,$A302,Z$1))</f>
        <v/>
      </c>
    </row>
    <row r="303" spans="1:26" x14ac:dyDescent="0.15">
      <c r="A303" s="17">
        <f>TRUNC((ROWS($D$3:D303)-2)/Max_Entry_Count)+1</f>
        <v>100</v>
      </c>
      <c r="B303" s="17" t="str">
        <f ca="1">IF($A303&gt;=ROWS(Entries)-2,"",IF(OFFSET('(2)出場選手'!$B$2,$A303,B$1+3*(MOD(ROWS($D$3:D303)-2,Max_Entry_Count)))="","",MOD(ROWS($D$3:D303)-2,Max_Entry_Count)))</f>
        <v/>
      </c>
      <c r="D303" s="26" t="str">
        <f ca="1">IF(OR($A303&gt;=ROWS(Entries)-2,$B303=""),"",'(1)鑑'!$E$6&amp;"-"&amp;OFFSET('(2)出場選手'!$B$2,$A303,D$1))</f>
        <v/>
      </c>
      <c r="E303" s="26" t="str">
        <f ca="1">IF($D303="","",OFFSET('(2)出場選手'!$B$2,$A303,E$1))</f>
        <v/>
      </c>
      <c r="F303" s="26" t="str">
        <f ca="1">IF($D303="","",IF(OFFSET('(2)出場選手'!$B$2,$A303,F$1)="","",OFFSET('(2)出場選手'!$B$2,$A303,F$1)))</f>
        <v/>
      </c>
      <c r="G303" s="26" t="str">
        <f t="shared" ca="1" si="18"/>
        <v/>
      </c>
      <c r="H303" s="26" t="str">
        <f t="shared" ca="1" si="26"/>
        <v/>
      </c>
      <c r="I303" s="26" t="str">
        <f ca="1">IF($D303="","",IF(OFFSET('(2)出場選手'!$B$2,$A303,I$1)="","",OFFSET('(2)出場選手'!$B$2,$A303,I$1)))</f>
        <v/>
      </c>
      <c r="J303" s="26" t="str">
        <f ca="1">IF($D303="","",IF(OFFSET('(2)出場選手'!$B$2,$A303,J$1)="",'(1)鑑'!$E$6,OFFSET('(2)出場選手'!$B$2,$A303,J$1)))</f>
        <v/>
      </c>
      <c r="K303" s="26" t="str">
        <f ca="1">IF($D303="","",TRIM(ASC(IF(OFFSET('(2)出場選手'!$B$2,$A303,K$1)="",'(1)鑑'!$E$7,OFFSET('(2)出場選手'!$B$2,$A303,K$1)))))</f>
        <v/>
      </c>
      <c r="L303" s="26" t="str">
        <f ca="1">IF($D303="","",SUBSTITUTE(SUBSTITUTE(SUBSTITUTE(IF(OFFSET('(2)出場選手'!$B$2,$A303,L$1)="",'(1)鑑'!$E$8,OFFSET('(2)出場選手'!$B$2,$A303,L$1)),"県",""),"府",""),"東京都","東京"))</f>
        <v/>
      </c>
      <c r="M303" s="57" t="str">
        <f ca="1">IF($D303="","",IF(OFFSET('(2)出場選手'!$B$2,$A303,M$1)="","",OFFSET('(2)出場選手'!$B$2,$A303,M$1)))</f>
        <v/>
      </c>
      <c r="N303" s="26" t="str">
        <f ca="1">IF($D303="","",OFFSET('(2)出場選手'!$B$2,$A303,N$1+3*$B303))</f>
        <v/>
      </c>
      <c r="O303" s="26" t="str">
        <f ca="1">IF($D303="","",IF(OFFSET('(2)出場選手'!$B$2,$A303,O$1+3*$B303)="","",OFFSET('(2)出場選手'!$B$2,$A303,O$1+3*$B303)))</f>
        <v/>
      </c>
      <c r="P303" s="26" t="str">
        <f ca="1">IF($D303="","",IF(OFFSET('(2)出場選手'!$B$2,$A303,P$1+3*$B303)="","",OFFSET('(2)出場選手'!$B$2,$A303,P$1+3*$B303)))</f>
        <v/>
      </c>
      <c r="Q303" s="43" t="str">
        <f ca="1">IF(D303="","",VLOOKUP(N303,OFFSET(Competition_Events,0,1),11,FALSE)*IF($S303="リレー",IF(COUNTIF($T$3:$T303,$T303)&gt;1,0,1),1))</f>
        <v/>
      </c>
      <c r="R303" s="26" t="str">
        <f t="shared" ca="1" si="20"/>
        <v/>
      </c>
      <c r="S303" s="26" t="str">
        <f t="shared" ca="1" si="21"/>
        <v/>
      </c>
      <c r="T303" s="26" t="str">
        <f t="shared" ca="1" si="22"/>
        <v/>
      </c>
      <c r="U303" s="26" t="str">
        <f t="shared" ca="1" si="25"/>
        <v/>
      </c>
      <c r="W303" s="17" t="str">
        <f ca="1">IF($D303="","",OFFSET('(2)出場選手'!$B$2,$A303,W$1))</f>
        <v/>
      </c>
      <c r="X303" s="17" t="str">
        <f ca="1">IF($D303="","",OFFSET('(2)出場選手'!$B$2,$A303,X$1))</f>
        <v/>
      </c>
      <c r="Y303" s="17" t="str">
        <f ca="1">IF($D303="","",OFFSET('(2)出場選手'!$B$2,$A303,Y$1))</f>
        <v/>
      </c>
      <c r="Z303" s="17" t="str">
        <f ca="1">IF($D303="","",OFFSET('(2)出場選手'!$B$2,$A303,Z$1))</f>
        <v/>
      </c>
    </row>
    <row r="304" spans="1:26" x14ac:dyDescent="0.15">
      <c r="A304" s="17">
        <f>TRUNC((ROWS($D$3:D304)-2)/Max_Entry_Count)+1</f>
        <v>101</v>
      </c>
      <c r="B304" s="17" t="str">
        <f ca="1">IF($A304&gt;=ROWS(Entries)-2,"",IF(OFFSET('(2)出場選手'!$B$2,$A304,B$1+3*(MOD(ROWS($D$3:D304)-2,Max_Entry_Count)))="","",MOD(ROWS($D$3:D304)-2,Max_Entry_Count)))</f>
        <v/>
      </c>
      <c r="D304" s="26" t="str">
        <f ca="1">IF(OR($A304&gt;=ROWS(Entries)-2,$B304=""),"",'(1)鑑'!$E$6&amp;"-"&amp;OFFSET('(2)出場選手'!$B$2,$A304,D$1))</f>
        <v/>
      </c>
      <c r="E304" s="26" t="str">
        <f ca="1">IF($D304="","",OFFSET('(2)出場選手'!$B$2,$A304,E$1))</f>
        <v/>
      </c>
      <c r="F304" s="26" t="str">
        <f ca="1">IF($D304="","",IF(OFFSET('(2)出場選手'!$B$2,$A304,F$1)="","",OFFSET('(2)出場選手'!$B$2,$A304,F$1)))</f>
        <v/>
      </c>
      <c r="G304" s="26" t="str">
        <f t="shared" ca="1" si="18"/>
        <v/>
      </c>
      <c r="H304" s="26" t="str">
        <f t="shared" ca="1" si="26"/>
        <v/>
      </c>
      <c r="I304" s="26" t="str">
        <f ca="1">IF($D304="","",IF(OFFSET('(2)出場選手'!$B$2,$A304,I$1)="","",OFFSET('(2)出場選手'!$B$2,$A304,I$1)))</f>
        <v/>
      </c>
      <c r="J304" s="26" t="str">
        <f ca="1">IF($D304="","",IF(OFFSET('(2)出場選手'!$B$2,$A304,J$1)="",'(1)鑑'!$E$6,OFFSET('(2)出場選手'!$B$2,$A304,J$1)))</f>
        <v/>
      </c>
      <c r="K304" s="26" t="str">
        <f ca="1">IF($D304="","",TRIM(ASC(IF(OFFSET('(2)出場選手'!$B$2,$A304,K$1)="",'(1)鑑'!$E$7,OFFSET('(2)出場選手'!$B$2,$A304,K$1)))))</f>
        <v/>
      </c>
      <c r="L304" s="26" t="str">
        <f ca="1">IF($D304="","",SUBSTITUTE(SUBSTITUTE(SUBSTITUTE(IF(OFFSET('(2)出場選手'!$B$2,$A304,L$1)="",'(1)鑑'!$E$8,OFFSET('(2)出場選手'!$B$2,$A304,L$1)),"県",""),"府",""),"東京都","東京"))</f>
        <v/>
      </c>
      <c r="M304" s="57" t="str">
        <f ca="1">IF($D304="","",IF(OFFSET('(2)出場選手'!$B$2,$A304,M$1)="","",OFFSET('(2)出場選手'!$B$2,$A304,M$1)))</f>
        <v/>
      </c>
      <c r="N304" s="26" t="str">
        <f ca="1">IF($D304="","",OFFSET('(2)出場選手'!$B$2,$A304,N$1+3*$B304))</f>
        <v/>
      </c>
      <c r="O304" s="26" t="str">
        <f ca="1">IF($D304="","",IF(OFFSET('(2)出場選手'!$B$2,$A304,O$1+3*$B304)="","",OFFSET('(2)出場選手'!$B$2,$A304,O$1+3*$B304)))</f>
        <v/>
      </c>
      <c r="P304" s="26" t="str">
        <f ca="1">IF($D304="","",IF(OFFSET('(2)出場選手'!$B$2,$A304,P$1+3*$B304)="","",OFFSET('(2)出場選手'!$B$2,$A304,P$1+3*$B304)))</f>
        <v/>
      </c>
      <c r="Q304" s="43" t="str">
        <f ca="1">IF(D304="","",VLOOKUP(N304,OFFSET(Competition_Events,0,1),11,FALSE)*IF($S304="リレー",IF(COUNTIF($T$3:$T304,$T304)&gt;1,0,1),1))</f>
        <v/>
      </c>
      <c r="R304" s="26" t="str">
        <f t="shared" ca="1" si="20"/>
        <v/>
      </c>
      <c r="S304" s="26" t="str">
        <f t="shared" ca="1" si="21"/>
        <v/>
      </c>
      <c r="T304" s="26" t="str">
        <f t="shared" ca="1" si="22"/>
        <v/>
      </c>
      <c r="U304" s="26" t="str">
        <f t="shared" ca="1" si="25"/>
        <v/>
      </c>
      <c r="W304" s="17" t="str">
        <f ca="1">IF($D304="","",OFFSET('(2)出場選手'!$B$2,$A304,W$1))</f>
        <v/>
      </c>
      <c r="X304" s="17" t="str">
        <f ca="1">IF($D304="","",OFFSET('(2)出場選手'!$B$2,$A304,X$1))</f>
        <v/>
      </c>
      <c r="Y304" s="17" t="str">
        <f ca="1">IF($D304="","",OFFSET('(2)出場選手'!$B$2,$A304,Y$1))</f>
        <v/>
      </c>
      <c r="Z304" s="17" t="str">
        <f ca="1">IF($D304="","",OFFSET('(2)出場選手'!$B$2,$A304,Z$1))</f>
        <v/>
      </c>
    </row>
    <row r="305" spans="1:26" x14ac:dyDescent="0.15">
      <c r="A305" s="17">
        <f>TRUNC((ROWS($D$3:D305)-2)/Max_Entry_Count)+1</f>
        <v>101</v>
      </c>
      <c r="B305" s="17" t="str">
        <f ca="1">IF($A305&gt;=ROWS(Entries)-2,"",IF(OFFSET('(2)出場選手'!$B$2,$A305,B$1+3*(MOD(ROWS($D$3:D305)-2,Max_Entry_Count)))="","",MOD(ROWS($D$3:D305)-2,Max_Entry_Count)))</f>
        <v/>
      </c>
      <c r="D305" s="26" t="str">
        <f ca="1">IF(OR($A305&gt;=ROWS(Entries)-2,$B305=""),"",'(1)鑑'!$E$6&amp;"-"&amp;OFFSET('(2)出場選手'!$B$2,$A305,D$1))</f>
        <v/>
      </c>
      <c r="E305" s="26" t="str">
        <f ca="1">IF($D305="","",OFFSET('(2)出場選手'!$B$2,$A305,E$1))</f>
        <v/>
      </c>
      <c r="F305" s="26" t="str">
        <f ca="1">IF($D305="","",IF(OFFSET('(2)出場選手'!$B$2,$A305,F$1)="","",OFFSET('(2)出場選手'!$B$2,$A305,F$1)))</f>
        <v/>
      </c>
      <c r="G305" s="26" t="str">
        <f t="shared" ca="1" si="18"/>
        <v/>
      </c>
      <c r="H305" s="26" t="str">
        <f t="shared" ca="1" si="26"/>
        <v/>
      </c>
      <c r="I305" s="26" t="str">
        <f ca="1">IF($D305="","",IF(OFFSET('(2)出場選手'!$B$2,$A305,I$1)="","",OFFSET('(2)出場選手'!$B$2,$A305,I$1)))</f>
        <v/>
      </c>
      <c r="J305" s="26" t="str">
        <f ca="1">IF($D305="","",IF(OFFSET('(2)出場選手'!$B$2,$A305,J$1)="",'(1)鑑'!$E$6,OFFSET('(2)出場選手'!$B$2,$A305,J$1)))</f>
        <v/>
      </c>
      <c r="K305" s="26" t="str">
        <f ca="1">IF($D305="","",TRIM(ASC(IF(OFFSET('(2)出場選手'!$B$2,$A305,K$1)="",'(1)鑑'!$E$7,OFFSET('(2)出場選手'!$B$2,$A305,K$1)))))</f>
        <v/>
      </c>
      <c r="L305" s="26" t="str">
        <f ca="1">IF($D305="","",SUBSTITUTE(SUBSTITUTE(SUBSTITUTE(IF(OFFSET('(2)出場選手'!$B$2,$A305,L$1)="",'(1)鑑'!$E$8,OFFSET('(2)出場選手'!$B$2,$A305,L$1)),"県",""),"府",""),"東京都","東京"))</f>
        <v/>
      </c>
      <c r="M305" s="57" t="str">
        <f ca="1">IF($D305="","",IF(OFFSET('(2)出場選手'!$B$2,$A305,M$1)="","",OFFSET('(2)出場選手'!$B$2,$A305,M$1)))</f>
        <v/>
      </c>
      <c r="N305" s="26" t="str">
        <f ca="1">IF($D305="","",OFFSET('(2)出場選手'!$B$2,$A305,N$1+3*$B305))</f>
        <v/>
      </c>
      <c r="O305" s="26" t="str">
        <f ca="1">IF($D305="","",IF(OFFSET('(2)出場選手'!$B$2,$A305,O$1+3*$B305)="","",OFFSET('(2)出場選手'!$B$2,$A305,O$1+3*$B305)))</f>
        <v/>
      </c>
      <c r="P305" s="26" t="str">
        <f ca="1">IF($D305="","",IF(OFFSET('(2)出場選手'!$B$2,$A305,P$1+3*$B305)="","",OFFSET('(2)出場選手'!$B$2,$A305,P$1+3*$B305)))</f>
        <v/>
      </c>
      <c r="Q305" s="43" t="str">
        <f ca="1">IF(D305="","",VLOOKUP(N305,OFFSET(Competition_Events,0,1),11,FALSE)*IF($S305="リレー",IF(COUNTIF($T$3:$T305,$T305)&gt;1,0,1),1))</f>
        <v/>
      </c>
      <c r="R305" s="26" t="str">
        <f t="shared" ca="1" si="20"/>
        <v/>
      </c>
      <c r="S305" s="26" t="str">
        <f t="shared" ca="1" si="21"/>
        <v/>
      </c>
      <c r="T305" s="26" t="str">
        <f t="shared" ca="1" si="22"/>
        <v/>
      </c>
      <c r="U305" s="26" t="str">
        <f t="shared" ca="1" si="25"/>
        <v/>
      </c>
      <c r="W305" s="17" t="str">
        <f ca="1">IF($D305="","",OFFSET('(2)出場選手'!$B$2,$A305,W$1))</f>
        <v/>
      </c>
      <c r="X305" s="17" t="str">
        <f ca="1">IF($D305="","",OFFSET('(2)出場選手'!$B$2,$A305,X$1))</f>
        <v/>
      </c>
      <c r="Y305" s="17" t="str">
        <f ca="1">IF($D305="","",OFFSET('(2)出場選手'!$B$2,$A305,Y$1))</f>
        <v/>
      </c>
      <c r="Z305" s="17" t="str">
        <f ca="1">IF($D305="","",OFFSET('(2)出場選手'!$B$2,$A305,Z$1))</f>
        <v/>
      </c>
    </row>
    <row r="306" spans="1:26" x14ac:dyDescent="0.15">
      <c r="A306" s="17">
        <f>TRUNC((ROWS($D$3:D306)-2)/Max_Entry_Count)+1</f>
        <v>101</v>
      </c>
      <c r="B306" s="17" t="str">
        <f ca="1">IF($A306&gt;=ROWS(Entries)-2,"",IF(OFFSET('(2)出場選手'!$B$2,$A306,B$1+3*(MOD(ROWS($D$3:D306)-2,Max_Entry_Count)))="","",MOD(ROWS($D$3:D306)-2,Max_Entry_Count)))</f>
        <v/>
      </c>
      <c r="D306" s="26" t="str">
        <f ca="1">IF(OR($A306&gt;=ROWS(Entries)-2,$B306=""),"",'(1)鑑'!$E$6&amp;"-"&amp;OFFSET('(2)出場選手'!$B$2,$A306,D$1))</f>
        <v/>
      </c>
      <c r="E306" s="26" t="str">
        <f ca="1">IF($D306="","",OFFSET('(2)出場選手'!$B$2,$A306,E$1))</f>
        <v/>
      </c>
      <c r="F306" s="26" t="str">
        <f ca="1">IF($D306="","",IF(OFFSET('(2)出場選手'!$B$2,$A306,F$1)="","",OFFSET('(2)出場選手'!$B$2,$A306,F$1)))</f>
        <v/>
      </c>
      <c r="G306" s="26" t="str">
        <f t="shared" ca="1" si="18"/>
        <v/>
      </c>
      <c r="H306" s="26" t="str">
        <f t="shared" ca="1" si="26"/>
        <v/>
      </c>
      <c r="I306" s="26" t="str">
        <f ca="1">IF($D306="","",IF(OFFSET('(2)出場選手'!$B$2,$A306,I$1)="","",OFFSET('(2)出場選手'!$B$2,$A306,I$1)))</f>
        <v/>
      </c>
      <c r="J306" s="26" t="str">
        <f ca="1">IF($D306="","",IF(OFFSET('(2)出場選手'!$B$2,$A306,J$1)="",'(1)鑑'!$E$6,OFFSET('(2)出場選手'!$B$2,$A306,J$1)))</f>
        <v/>
      </c>
      <c r="K306" s="26" t="str">
        <f ca="1">IF($D306="","",TRIM(ASC(IF(OFFSET('(2)出場選手'!$B$2,$A306,K$1)="",'(1)鑑'!$E$7,OFFSET('(2)出場選手'!$B$2,$A306,K$1)))))</f>
        <v/>
      </c>
      <c r="L306" s="26" t="str">
        <f ca="1">IF($D306="","",SUBSTITUTE(SUBSTITUTE(SUBSTITUTE(IF(OFFSET('(2)出場選手'!$B$2,$A306,L$1)="",'(1)鑑'!$E$8,OFFSET('(2)出場選手'!$B$2,$A306,L$1)),"県",""),"府",""),"東京都","東京"))</f>
        <v/>
      </c>
      <c r="M306" s="57" t="str">
        <f ca="1">IF($D306="","",IF(OFFSET('(2)出場選手'!$B$2,$A306,M$1)="","",OFFSET('(2)出場選手'!$B$2,$A306,M$1)))</f>
        <v/>
      </c>
      <c r="N306" s="26" t="str">
        <f ca="1">IF($D306="","",OFFSET('(2)出場選手'!$B$2,$A306,N$1+3*$B306))</f>
        <v/>
      </c>
      <c r="O306" s="26" t="str">
        <f ca="1">IF($D306="","",IF(OFFSET('(2)出場選手'!$B$2,$A306,O$1+3*$B306)="","",OFFSET('(2)出場選手'!$B$2,$A306,O$1+3*$B306)))</f>
        <v/>
      </c>
      <c r="P306" s="26" t="str">
        <f ca="1">IF($D306="","",IF(OFFSET('(2)出場選手'!$B$2,$A306,P$1+3*$B306)="","",OFFSET('(2)出場選手'!$B$2,$A306,P$1+3*$B306)))</f>
        <v/>
      </c>
      <c r="Q306" s="43" t="str">
        <f ca="1">IF(D306="","",VLOOKUP(N306,OFFSET(Competition_Events,0,1),11,FALSE)*IF($S306="リレー",IF(COUNTIF($T$3:$T306,$T306)&gt;1,0,1),1))</f>
        <v/>
      </c>
      <c r="R306" s="26" t="str">
        <f t="shared" ca="1" si="20"/>
        <v/>
      </c>
      <c r="S306" s="26" t="str">
        <f t="shared" ca="1" si="21"/>
        <v/>
      </c>
      <c r="T306" s="26" t="str">
        <f t="shared" ca="1" si="22"/>
        <v/>
      </c>
      <c r="U306" s="26" t="str">
        <f t="shared" ca="1" si="25"/>
        <v/>
      </c>
      <c r="W306" s="17" t="str">
        <f ca="1">IF($D306="","",OFFSET('(2)出場選手'!$B$2,$A306,W$1))</f>
        <v/>
      </c>
      <c r="X306" s="17" t="str">
        <f ca="1">IF($D306="","",OFFSET('(2)出場選手'!$B$2,$A306,X$1))</f>
        <v/>
      </c>
      <c r="Y306" s="17" t="str">
        <f ca="1">IF($D306="","",OFFSET('(2)出場選手'!$B$2,$A306,Y$1))</f>
        <v/>
      </c>
      <c r="Z306" s="17" t="str">
        <f ca="1">IF($D306="","",OFFSET('(2)出場選手'!$B$2,$A306,Z$1))</f>
        <v/>
      </c>
    </row>
    <row r="307" spans="1:26" x14ac:dyDescent="0.15">
      <c r="A307" s="17">
        <f>TRUNC((ROWS($D$3:D307)-2)/Max_Entry_Count)+1</f>
        <v>102</v>
      </c>
      <c r="B307" s="17" t="str">
        <f ca="1">IF($A307&gt;=ROWS(Entries)-2,"",IF(OFFSET('(2)出場選手'!$B$2,$A307,B$1+3*(MOD(ROWS($D$3:D307)-2,Max_Entry_Count)))="","",MOD(ROWS($D$3:D307)-2,Max_Entry_Count)))</f>
        <v/>
      </c>
      <c r="D307" s="26" t="str">
        <f ca="1">IF(OR($A307&gt;=ROWS(Entries)-2,$B307=""),"",'(1)鑑'!$E$6&amp;"-"&amp;OFFSET('(2)出場選手'!$B$2,$A307,D$1))</f>
        <v/>
      </c>
      <c r="E307" s="26" t="str">
        <f ca="1">IF($D307="","",OFFSET('(2)出場選手'!$B$2,$A307,E$1))</f>
        <v/>
      </c>
      <c r="F307" s="26" t="str">
        <f ca="1">IF($D307="","",IF(OFFSET('(2)出場選手'!$B$2,$A307,F$1)="","",OFFSET('(2)出場選手'!$B$2,$A307,F$1)))</f>
        <v/>
      </c>
      <c r="G307" s="26" t="str">
        <f t="shared" ca="1" si="18"/>
        <v/>
      </c>
      <c r="H307" s="26" t="str">
        <f t="shared" ca="1" si="26"/>
        <v/>
      </c>
      <c r="I307" s="26" t="str">
        <f ca="1">IF($D307="","",IF(OFFSET('(2)出場選手'!$B$2,$A307,I$1)="","",OFFSET('(2)出場選手'!$B$2,$A307,I$1)))</f>
        <v/>
      </c>
      <c r="J307" s="26" t="str">
        <f ca="1">IF($D307="","",IF(OFFSET('(2)出場選手'!$B$2,$A307,J$1)="",'(1)鑑'!$E$6,OFFSET('(2)出場選手'!$B$2,$A307,J$1)))</f>
        <v/>
      </c>
      <c r="K307" s="26" t="str">
        <f ca="1">IF($D307="","",TRIM(ASC(IF(OFFSET('(2)出場選手'!$B$2,$A307,K$1)="",'(1)鑑'!$E$7,OFFSET('(2)出場選手'!$B$2,$A307,K$1)))))</f>
        <v/>
      </c>
      <c r="L307" s="26" t="str">
        <f ca="1">IF($D307="","",SUBSTITUTE(SUBSTITUTE(SUBSTITUTE(IF(OFFSET('(2)出場選手'!$B$2,$A307,L$1)="",'(1)鑑'!$E$8,OFFSET('(2)出場選手'!$B$2,$A307,L$1)),"県",""),"府",""),"東京都","東京"))</f>
        <v/>
      </c>
      <c r="M307" s="57" t="str">
        <f ca="1">IF($D307="","",IF(OFFSET('(2)出場選手'!$B$2,$A307,M$1)="","",OFFSET('(2)出場選手'!$B$2,$A307,M$1)))</f>
        <v/>
      </c>
      <c r="N307" s="26" t="str">
        <f ca="1">IF($D307="","",OFFSET('(2)出場選手'!$B$2,$A307,N$1+3*$B307))</f>
        <v/>
      </c>
      <c r="O307" s="26" t="str">
        <f ca="1">IF($D307="","",IF(OFFSET('(2)出場選手'!$B$2,$A307,O$1+3*$B307)="","",OFFSET('(2)出場選手'!$B$2,$A307,O$1+3*$B307)))</f>
        <v/>
      </c>
      <c r="P307" s="26" t="str">
        <f ca="1">IF($D307="","",IF(OFFSET('(2)出場選手'!$B$2,$A307,P$1+3*$B307)="","",OFFSET('(2)出場選手'!$B$2,$A307,P$1+3*$B307)))</f>
        <v/>
      </c>
      <c r="Q307" s="43" t="str">
        <f ca="1">IF(D307="","",VLOOKUP(N307,OFFSET(Competition_Events,0,1),11,FALSE)*IF($S307="リレー",IF(COUNTIF($T$3:$T307,$T307)&gt;1,0,1),1))</f>
        <v/>
      </c>
      <c r="R307" s="26" t="str">
        <f t="shared" ca="1" si="20"/>
        <v/>
      </c>
      <c r="S307" s="26" t="str">
        <f t="shared" ca="1" si="21"/>
        <v/>
      </c>
      <c r="T307" s="26" t="str">
        <f t="shared" ca="1" si="22"/>
        <v/>
      </c>
      <c r="U307" s="26" t="str">
        <f t="shared" ca="1" si="25"/>
        <v/>
      </c>
      <c r="W307" s="17" t="str">
        <f ca="1">IF($D307="","",OFFSET('(2)出場選手'!$B$2,$A307,W$1))</f>
        <v/>
      </c>
      <c r="X307" s="17" t="str">
        <f ca="1">IF($D307="","",OFFSET('(2)出場選手'!$B$2,$A307,X$1))</f>
        <v/>
      </c>
      <c r="Y307" s="17" t="str">
        <f ca="1">IF($D307="","",OFFSET('(2)出場選手'!$B$2,$A307,Y$1))</f>
        <v/>
      </c>
      <c r="Z307" s="17" t="str">
        <f ca="1">IF($D307="","",OFFSET('(2)出場選手'!$B$2,$A307,Z$1))</f>
        <v/>
      </c>
    </row>
    <row r="308" spans="1:26" x14ac:dyDescent="0.15">
      <c r="A308" s="17">
        <f>TRUNC((ROWS($D$3:D308)-2)/Max_Entry_Count)+1</f>
        <v>102</v>
      </c>
      <c r="B308" s="17" t="str">
        <f ca="1">IF($A308&gt;=ROWS(Entries)-2,"",IF(OFFSET('(2)出場選手'!$B$2,$A308,B$1+3*(MOD(ROWS($D$3:D308)-2,Max_Entry_Count)))="","",MOD(ROWS($D$3:D308)-2,Max_Entry_Count)))</f>
        <v/>
      </c>
      <c r="D308" s="26" t="str">
        <f ca="1">IF(OR($A308&gt;=ROWS(Entries)-2,$B308=""),"",'(1)鑑'!$E$6&amp;"-"&amp;OFFSET('(2)出場選手'!$B$2,$A308,D$1))</f>
        <v/>
      </c>
      <c r="E308" s="26" t="str">
        <f ca="1">IF($D308="","",OFFSET('(2)出場選手'!$B$2,$A308,E$1))</f>
        <v/>
      </c>
      <c r="F308" s="26" t="str">
        <f ca="1">IF($D308="","",IF(OFFSET('(2)出場選手'!$B$2,$A308,F$1)="","",OFFSET('(2)出場選手'!$B$2,$A308,F$1)))</f>
        <v/>
      </c>
      <c r="G308" s="26" t="str">
        <f t="shared" ca="1" si="18"/>
        <v/>
      </c>
      <c r="H308" s="26" t="str">
        <f t="shared" ca="1" si="26"/>
        <v/>
      </c>
      <c r="I308" s="26" t="str">
        <f ca="1">IF($D308="","",IF(OFFSET('(2)出場選手'!$B$2,$A308,I$1)="","",OFFSET('(2)出場選手'!$B$2,$A308,I$1)))</f>
        <v/>
      </c>
      <c r="J308" s="26" t="str">
        <f ca="1">IF($D308="","",IF(OFFSET('(2)出場選手'!$B$2,$A308,J$1)="",'(1)鑑'!$E$6,OFFSET('(2)出場選手'!$B$2,$A308,J$1)))</f>
        <v/>
      </c>
      <c r="K308" s="26" t="str">
        <f ca="1">IF($D308="","",TRIM(ASC(IF(OFFSET('(2)出場選手'!$B$2,$A308,K$1)="",'(1)鑑'!$E$7,OFFSET('(2)出場選手'!$B$2,$A308,K$1)))))</f>
        <v/>
      </c>
      <c r="L308" s="26" t="str">
        <f ca="1">IF($D308="","",SUBSTITUTE(SUBSTITUTE(SUBSTITUTE(IF(OFFSET('(2)出場選手'!$B$2,$A308,L$1)="",'(1)鑑'!$E$8,OFFSET('(2)出場選手'!$B$2,$A308,L$1)),"県",""),"府",""),"東京都","東京"))</f>
        <v/>
      </c>
      <c r="M308" s="57" t="str">
        <f ca="1">IF($D308="","",IF(OFFSET('(2)出場選手'!$B$2,$A308,M$1)="","",OFFSET('(2)出場選手'!$B$2,$A308,M$1)))</f>
        <v/>
      </c>
      <c r="N308" s="26" t="str">
        <f ca="1">IF($D308="","",OFFSET('(2)出場選手'!$B$2,$A308,N$1+3*$B308))</f>
        <v/>
      </c>
      <c r="O308" s="26" t="str">
        <f ca="1">IF($D308="","",IF(OFFSET('(2)出場選手'!$B$2,$A308,O$1+3*$B308)="","",OFFSET('(2)出場選手'!$B$2,$A308,O$1+3*$B308)))</f>
        <v/>
      </c>
      <c r="P308" s="26" t="str">
        <f ca="1">IF($D308="","",IF(OFFSET('(2)出場選手'!$B$2,$A308,P$1+3*$B308)="","",OFFSET('(2)出場選手'!$B$2,$A308,P$1+3*$B308)))</f>
        <v/>
      </c>
      <c r="Q308" s="43" t="str">
        <f ca="1">IF(D308="","",VLOOKUP(N308,OFFSET(Competition_Events,0,1),11,FALSE)*IF($S308="リレー",IF(COUNTIF($T$3:$T308,$T308)&gt;1,0,1),1))</f>
        <v/>
      </c>
      <c r="R308" s="26" t="str">
        <f t="shared" ca="1" si="20"/>
        <v/>
      </c>
      <c r="S308" s="26" t="str">
        <f t="shared" ca="1" si="21"/>
        <v/>
      </c>
      <c r="T308" s="26" t="str">
        <f t="shared" ca="1" si="22"/>
        <v/>
      </c>
      <c r="U308" s="26" t="str">
        <f t="shared" ca="1" si="25"/>
        <v/>
      </c>
      <c r="W308" s="17" t="str">
        <f ca="1">IF($D308="","",OFFSET('(2)出場選手'!$B$2,$A308,W$1))</f>
        <v/>
      </c>
      <c r="X308" s="17" t="str">
        <f ca="1">IF($D308="","",OFFSET('(2)出場選手'!$B$2,$A308,X$1))</f>
        <v/>
      </c>
      <c r="Y308" s="17" t="str">
        <f ca="1">IF($D308="","",OFFSET('(2)出場選手'!$B$2,$A308,Y$1))</f>
        <v/>
      </c>
      <c r="Z308" s="17" t="str">
        <f ca="1">IF($D308="","",OFFSET('(2)出場選手'!$B$2,$A308,Z$1))</f>
        <v/>
      </c>
    </row>
    <row r="309" spans="1:26" x14ac:dyDescent="0.15">
      <c r="A309" s="17">
        <f>TRUNC((ROWS($D$3:D309)-2)/Max_Entry_Count)+1</f>
        <v>102</v>
      </c>
      <c r="B309" s="17" t="str">
        <f ca="1">IF($A309&gt;=ROWS(Entries)-2,"",IF(OFFSET('(2)出場選手'!$B$2,$A309,B$1+3*(MOD(ROWS($D$3:D309)-2,Max_Entry_Count)))="","",MOD(ROWS($D$3:D309)-2,Max_Entry_Count)))</f>
        <v/>
      </c>
      <c r="D309" s="26" t="str">
        <f ca="1">IF(OR($A309&gt;=ROWS(Entries)-2,$B309=""),"",'(1)鑑'!$E$6&amp;"-"&amp;OFFSET('(2)出場選手'!$B$2,$A309,D$1))</f>
        <v/>
      </c>
      <c r="E309" s="26" t="str">
        <f ca="1">IF($D309="","",OFFSET('(2)出場選手'!$B$2,$A309,E$1))</f>
        <v/>
      </c>
      <c r="F309" s="26" t="str">
        <f ca="1">IF($D309="","",IF(OFFSET('(2)出場選手'!$B$2,$A309,F$1)="","",OFFSET('(2)出場選手'!$B$2,$A309,F$1)))</f>
        <v/>
      </c>
      <c r="G309" s="26" t="str">
        <f t="shared" ca="1" si="18"/>
        <v/>
      </c>
      <c r="H309" s="26" t="str">
        <f t="shared" ca="1" si="26"/>
        <v/>
      </c>
      <c r="I309" s="26" t="str">
        <f ca="1">IF($D309="","",IF(OFFSET('(2)出場選手'!$B$2,$A309,I$1)="","",OFFSET('(2)出場選手'!$B$2,$A309,I$1)))</f>
        <v/>
      </c>
      <c r="J309" s="26" t="str">
        <f ca="1">IF($D309="","",IF(OFFSET('(2)出場選手'!$B$2,$A309,J$1)="",'(1)鑑'!$E$6,OFFSET('(2)出場選手'!$B$2,$A309,J$1)))</f>
        <v/>
      </c>
      <c r="K309" s="26" t="str">
        <f ca="1">IF($D309="","",TRIM(ASC(IF(OFFSET('(2)出場選手'!$B$2,$A309,K$1)="",'(1)鑑'!$E$7,OFFSET('(2)出場選手'!$B$2,$A309,K$1)))))</f>
        <v/>
      </c>
      <c r="L309" s="26" t="str">
        <f ca="1">IF($D309="","",SUBSTITUTE(SUBSTITUTE(SUBSTITUTE(IF(OFFSET('(2)出場選手'!$B$2,$A309,L$1)="",'(1)鑑'!$E$8,OFFSET('(2)出場選手'!$B$2,$A309,L$1)),"県",""),"府",""),"東京都","東京"))</f>
        <v/>
      </c>
      <c r="M309" s="57" t="str">
        <f ca="1">IF($D309="","",IF(OFFSET('(2)出場選手'!$B$2,$A309,M$1)="","",OFFSET('(2)出場選手'!$B$2,$A309,M$1)))</f>
        <v/>
      </c>
      <c r="N309" s="26" t="str">
        <f ca="1">IF($D309="","",OFFSET('(2)出場選手'!$B$2,$A309,N$1+3*$B309))</f>
        <v/>
      </c>
      <c r="O309" s="26" t="str">
        <f ca="1">IF($D309="","",IF(OFFSET('(2)出場選手'!$B$2,$A309,O$1+3*$B309)="","",OFFSET('(2)出場選手'!$B$2,$A309,O$1+3*$B309)))</f>
        <v/>
      </c>
      <c r="P309" s="26" t="str">
        <f ca="1">IF($D309="","",IF(OFFSET('(2)出場選手'!$B$2,$A309,P$1+3*$B309)="","",OFFSET('(2)出場選手'!$B$2,$A309,P$1+3*$B309)))</f>
        <v/>
      </c>
      <c r="Q309" s="43" t="str">
        <f ca="1">IF(D309="","",VLOOKUP(N309,OFFSET(Competition_Events,0,1),11,FALSE)*IF($S309="リレー",IF(COUNTIF($T$3:$T309,$T309)&gt;1,0,1),1))</f>
        <v/>
      </c>
      <c r="R309" s="26" t="str">
        <f t="shared" ca="1" si="20"/>
        <v/>
      </c>
      <c r="S309" s="26" t="str">
        <f t="shared" ca="1" si="21"/>
        <v/>
      </c>
      <c r="T309" s="26" t="str">
        <f t="shared" ca="1" si="22"/>
        <v/>
      </c>
      <c r="U309" s="26" t="str">
        <f t="shared" ca="1" si="25"/>
        <v/>
      </c>
      <c r="W309" s="17" t="str">
        <f ca="1">IF($D309="","",OFFSET('(2)出場選手'!$B$2,$A309,W$1))</f>
        <v/>
      </c>
      <c r="X309" s="17" t="str">
        <f ca="1">IF($D309="","",OFFSET('(2)出場選手'!$B$2,$A309,X$1))</f>
        <v/>
      </c>
      <c r="Y309" s="17" t="str">
        <f ca="1">IF($D309="","",OFFSET('(2)出場選手'!$B$2,$A309,Y$1))</f>
        <v/>
      </c>
      <c r="Z309" s="17" t="str">
        <f ca="1">IF($D309="","",OFFSET('(2)出場選手'!$B$2,$A309,Z$1))</f>
        <v/>
      </c>
    </row>
    <row r="310" spans="1:26" x14ac:dyDescent="0.15">
      <c r="A310" s="17">
        <f>TRUNC((ROWS($D$3:D310)-2)/Max_Entry_Count)+1</f>
        <v>103</v>
      </c>
      <c r="B310" s="17" t="str">
        <f ca="1">IF($A310&gt;=ROWS(Entries)-2,"",IF(OFFSET('(2)出場選手'!$B$2,$A310,B$1+3*(MOD(ROWS($D$3:D310)-2,Max_Entry_Count)))="","",MOD(ROWS($D$3:D310)-2,Max_Entry_Count)))</f>
        <v/>
      </c>
      <c r="D310" s="26" t="str">
        <f ca="1">IF(OR($A310&gt;=ROWS(Entries)-2,$B310=""),"",'(1)鑑'!$E$6&amp;"-"&amp;OFFSET('(2)出場選手'!$B$2,$A310,D$1))</f>
        <v/>
      </c>
      <c r="E310" s="26" t="str">
        <f ca="1">IF($D310="","",OFFSET('(2)出場選手'!$B$2,$A310,E$1))</f>
        <v/>
      </c>
      <c r="F310" s="26" t="str">
        <f ca="1">IF($D310="","",IF(OFFSET('(2)出場選手'!$B$2,$A310,F$1)="","",OFFSET('(2)出場選手'!$B$2,$A310,F$1)))</f>
        <v/>
      </c>
      <c r="G310" s="26" t="str">
        <f t="shared" ca="1" si="18"/>
        <v/>
      </c>
      <c r="H310" s="26" t="str">
        <f t="shared" ca="1" si="26"/>
        <v/>
      </c>
      <c r="I310" s="26" t="str">
        <f ca="1">IF($D310="","",IF(OFFSET('(2)出場選手'!$B$2,$A310,I$1)="","",OFFSET('(2)出場選手'!$B$2,$A310,I$1)))</f>
        <v/>
      </c>
      <c r="J310" s="26" t="str">
        <f ca="1">IF($D310="","",IF(OFFSET('(2)出場選手'!$B$2,$A310,J$1)="",'(1)鑑'!$E$6,OFFSET('(2)出場選手'!$B$2,$A310,J$1)))</f>
        <v/>
      </c>
      <c r="K310" s="26" t="str">
        <f ca="1">IF($D310="","",TRIM(ASC(IF(OFFSET('(2)出場選手'!$B$2,$A310,K$1)="",'(1)鑑'!$E$7,OFFSET('(2)出場選手'!$B$2,$A310,K$1)))))</f>
        <v/>
      </c>
      <c r="L310" s="26" t="str">
        <f ca="1">IF($D310="","",SUBSTITUTE(SUBSTITUTE(SUBSTITUTE(IF(OFFSET('(2)出場選手'!$B$2,$A310,L$1)="",'(1)鑑'!$E$8,OFFSET('(2)出場選手'!$B$2,$A310,L$1)),"県",""),"府",""),"東京都","東京"))</f>
        <v/>
      </c>
      <c r="M310" s="57" t="str">
        <f ca="1">IF($D310="","",IF(OFFSET('(2)出場選手'!$B$2,$A310,M$1)="","",OFFSET('(2)出場選手'!$B$2,$A310,M$1)))</f>
        <v/>
      </c>
      <c r="N310" s="26" t="str">
        <f ca="1">IF($D310="","",OFFSET('(2)出場選手'!$B$2,$A310,N$1+3*$B310))</f>
        <v/>
      </c>
      <c r="O310" s="26" t="str">
        <f ca="1">IF($D310="","",IF(OFFSET('(2)出場選手'!$B$2,$A310,O$1+3*$B310)="","",OFFSET('(2)出場選手'!$B$2,$A310,O$1+3*$B310)))</f>
        <v/>
      </c>
      <c r="P310" s="26" t="str">
        <f ca="1">IF($D310="","",IF(OFFSET('(2)出場選手'!$B$2,$A310,P$1+3*$B310)="","",OFFSET('(2)出場選手'!$B$2,$A310,P$1+3*$B310)))</f>
        <v/>
      </c>
      <c r="Q310" s="43" t="str">
        <f ca="1">IF(D310="","",VLOOKUP(N310,OFFSET(Competition_Events,0,1),11,FALSE)*IF($S310="リレー",IF(COUNTIF($T$3:$T310,$T310)&gt;1,0,1),1))</f>
        <v/>
      </c>
      <c r="R310" s="26" t="str">
        <f t="shared" ca="1" si="20"/>
        <v/>
      </c>
      <c r="S310" s="26" t="str">
        <f t="shared" ca="1" si="21"/>
        <v/>
      </c>
      <c r="T310" s="26" t="str">
        <f t="shared" ca="1" si="22"/>
        <v/>
      </c>
      <c r="U310" s="26" t="str">
        <f t="shared" ca="1" si="25"/>
        <v/>
      </c>
      <c r="W310" s="17" t="str">
        <f ca="1">IF($D310="","",OFFSET('(2)出場選手'!$B$2,$A310,W$1))</f>
        <v/>
      </c>
      <c r="X310" s="17" t="str">
        <f ca="1">IF($D310="","",OFFSET('(2)出場選手'!$B$2,$A310,X$1))</f>
        <v/>
      </c>
      <c r="Y310" s="17" t="str">
        <f ca="1">IF($D310="","",OFFSET('(2)出場選手'!$B$2,$A310,Y$1))</f>
        <v/>
      </c>
      <c r="Z310" s="17" t="str">
        <f ca="1">IF($D310="","",OFFSET('(2)出場選手'!$B$2,$A310,Z$1))</f>
        <v/>
      </c>
    </row>
    <row r="311" spans="1:26" x14ac:dyDescent="0.15">
      <c r="A311" s="17">
        <f>TRUNC((ROWS($D$3:D311)-2)/Max_Entry_Count)+1</f>
        <v>103</v>
      </c>
      <c r="B311" s="17" t="str">
        <f ca="1">IF($A311&gt;=ROWS(Entries)-2,"",IF(OFFSET('(2)出場選手'!$B$2,$A311,B$1+3*(MOD(ROWS($D$3:D311)-2,Max_Entry_Count)))="","",MOD(ROWS($D$3:D311)-2,Max_Entry_Count)))</f>
        <v/>
      </c>
      <c r="D311" s="26" t="str">
        <f ca="1">IF(OR($A311&gt;=ROWS(Entries)-2,$B311=""),"",'(1)鑑'!$E$6&amp;"-"&amp;OFFSET('(2)出場選手'!$B$2,$A311,D$1))</f>
        <v/>
      </c>
      <c r="E311" s="26" t="str">
        <f ca="1">IF($D311="","",OFFSET('(2)出場選手'!$B$2,$A311,E$1))</f>
        <v/>
      </c>
      <c r="F311" s="26" t="str">
        <f ca="1">IF($D311="","",IF(OFFSET('(2)出場選手'!$B$2,$A311,F$1)="","",OFFSET('(2)出場選手'!$B$2,$A311,F$1)))</f>
        <v/>
      </c>
      <c r="G311" s="26" t="str">
        <f t="shared" ca="1" si="18"/>
        <v/>
      </c>
      <c r="H311" s="26" t="str">
        <f t="shared" ca="1" si="26"/>
        <v/>
      </c>
      <c r="I311" s="26" t="str">
        <f ca="1">IF($D311="","",IF(OFFSET('(2)出場選手'!$B$2,$A311,I$1)="","",OFFSET('(2)出場選手'!$B$2,$A311,I$1)))</f>
        <v/>
      </c>
      <c r="J311" s="26" t="str">
        <f ca="1">IF($D311="","",IF(OFFSET('(2)出場選手'!$B$2,$A311,J$1)="",'(1)鑑'!$E$6,OFFSET('(2)出場選手'!$B$2,$A311,J$1)))</f>
        <v/>
      </c>
      <c r="K311" s="26" t="str">
        <f ca="1">IF($D311="","",TRIM(ASC(IF(OFFSET('(2)出場選手'!$B$2,$A311,K$1)="",'(1)鑑'!$E$7,OFFSET('(2)出場選手'!$B$2,$A311,K$1)))))</f>
        <v/>
      </c>
      <c r="L311" s="26" t="str">
        <f ca="1">IF($D311="","",SUBSTITUTE(SUBSTITUTE(SUBSTITUTE(IF(OFFSET('(2)出場選手'!$B$2,$A311,L$1)="",'(1)鑑'!$E$8,OFFSET('(2)出場選手'!$B$2,$A311,L$1)),"県",""),"府",""),"東京都","東京"))</f>
        <v/>
      </c>
      <c r="M311" s="57" t="str">
        <f ca="1">IF($D311="","",IF(OFFSET('(2)出場選手'!$B$2,$A311,M$1)="","",OFFSET('(2)出場選手'!$B$2,$A311,M$1)))</f>
        <v/>
      </c>
      <c r="N311" s="26" t="str">
        <f ca="1">IF($D311="","",OFFSET('(2)出場選手'!$B$2,$A311,N$1+3*$B311))</f>
        <v/>
      </c>
      <c r="O311" s="26" t="str">
        <f ca="1">IF($D311="","",IF(OFFSET('(2)出場選手'!$B$2,$A311,O$1+3*$B311)="","",OFFSET('(2)出場選手'!$B$2,$A311,O$1+3*$B311)))</f>
        <v/>
      </c>
      <c r="P311" s="26" t="str">
        <f ca="1">IF($D311="","",IF(OFFSET('(2)出場選手'!$B$2,$A311,P$1+3*$B311)="","",OFFSET('(2)出場選手'!$B$2,$A311,P$1+3*$B311)))</f>
        <v/>
      </c>
      <c r="Q311" s="43" t="str">
        <f ca="1">IF(D311="","",VLOOKUP(N311,OFFSET(Competition_Events,0,1),11,FALSE)*IF($S311="リレー",IF(COUNTIF($T$3:$T311,$T311)&gt;1,0,1),1))</f>
        <v/>
      </c>
      <c r="R311" s="26" t="str">
        <f t="shared" ca="1" si="20"/>
        <v/>
      </c>
      <c r="S311" s="26" t="str">
        <f t="shared" ca="1" si="21"/>
        <v/>
      </c>
      <c r="T311" s="26" t="str">
        <f t="shared" ca="1" si="22"/>
        <v/>
      </c>
      <c r="U311" s="26" t="str">
        <f t="shared" ca="1" si="25"/>
        <v/>
      </c>
      <c r="W311" s="17" t="str">
        <f ca="1">IF($D311="","",OFFSET('(2)出場選手'!$B$2,$A311,W$1))</f>
        <v/>
      </c>
      <c r="X311" s="17" t="str">
        <f ca="1">IF($D311="","",OFFSET('(2)出場選手'!$B$2,$A311,X$1))</f>
        <v/>
      </c>
      <c r="Y311" s="17" t="str">
        <f ca="1">IF($D311="","",OFFSET('(2)出場選手'!$B$2,$A311,Y$1))</f>
        <v/>
      </c>
      <c r="Z311" s="17" t="str">
        <f ca="1">IF($D311="","",OFFSET('(2)出場選手'!$B$2,$A311,Z$1))</f>
        <v/>
      </c>
    </row>
    <row r="312" spans="1:26" x14ac:dyDescent="0.15">
      <c r="A312" s="17">
        <f>TRUNC((ROWS($D$3:D312)-2)/Max_Entry_Count)+1</f>
        <v>103</v>
      </c>
      <c r="B312" s="17" t="str">
        <f ca="1">IF($A312&gt;=ROWS(Entries)-2,"",IF(OFFSET('(2)出場選手'!$B$2,$A312,B$1+3*(MOD(ROWS($D$3:D312)-2,Max_Entry_Count)))="","",MOD(ROWS($D$3:D312)-2,Max_Entry_Count)))</f>
        <v/>
      </c>
      <c r="D312" s="26" t="str">
        <f ca="1">IF(OR($A312&gt;=ROWS(Entries)-2,$B312=""),"",'(1)鑑'!$E$6&amp;"-"&amp;OFFSET('(2)出場選手'!$B$2,$A312,D$1))</f>
        <v/>
      </c>
      <c r="E312" s="26" t="str">
        <f ca="1">IF($D312="","",OFFSET('(2)出場選手'!$B$2,$A312,E$1))</f>
        <v/>
      </c>
      <c r="F312" s="26" t="str">
        <f ca="1">IF($D312="","",IF(OFFSET('(2)出場選手'!$B$2,$A312,F$1)="","",OFFSET('(2)出場選手'!$B$2,$A312,F$1)))</f>
        <v/>
      </c>
      <c r="G312" s="26" t="str">
        <f t="shared" ca="1" si="18"/>
        <v/>
      </c>
      <c r="H312" s="26" t="str">
        <f t="shared" ca="1" si="26"/>
        <v/>
      </c>
      <c r="I312" s="26" t="str">
        <f ca="1">IF($D312="","",IF(OFFSET('(2)出場選手'!$B$2,$A312,I$1)="","",OFFSET('(2)出場選手'!$B$2,$A312,I$1)))</f>
        <v/>
      </c>
      <c r="J312" s="26" t="str">
        <f ca="1">IF($D312="","",IF(OFFSET('(2)出場選手'!$B$2,$A312,J$1)="",'(1)鑑'!$E$6,OFFSET('(2)出場選手'!$B$2,$A312,J$1)))</f>
        <v/>
      </c>
      <c r="K312" s="26" t="str">
        <f ca="1">IF($D312="","",TRIM(ASC(IF(OFFSET('(2)出場選手'!$B$2,$A312,K$1)="",'(1)鑑'!$E$7,OFFSET('(2)出場選手'!$B$2,$A312,K$1)))))</f>
        <v/>
      </c>
      <c r="L312" s="26" t="str">
        <f ca="1">IF($D312="","",SUBSTITUTE(SUBSTITUTE(SUBSTITUTE(IF(OFFSET('(2)出場選手'!$B$2,$A312,L$1)="",'(1)鑑'!$E$8,OFFSET('(2)出場選手'!$B$2,$A312,L$1)),"県",""),"府",""),"東京都","東京"))</f>
        <v/>
      </c>
      <c r="M312" s="57" t="str">
        <f ca="1">IF($D312="","",IF(OFFSET('(2)出場選手'!$B$2,$A312,M$1)="","",OFFSET('(2)出場選手'!$B$2,$A312,M$1)))</f>
        <v/>
      </c>
      <c r="N312" s="26" t="str">
        <f ca="1">IF($D312="","",OFFSET('(2)出場選手'!$B$2,$A312,N$1+3*$B312))</f>
        <v/>
      </c>
      <c r="O312" s="26" t="str">
        <f ca="1">IF($D312="","",IF(OFFSET('(2)出場選手'!$B$2,$A312,O$1+3*$B312)="","",OFFSET('(2)出場選手'!$B$2,$A312,O$1+3*$B312)))</f>
        <v/>
      </c>
      <c r="P312" s="26" t="str">
        <f ca="1">IF($D312="","",IF(OFFSET('(2)出場選手'!$B$2,$A312,P$1+3*$B312)="","",OFFSET('(2)出場選手'!$B$2,$A312,P$1+3*$B312)))</f>
        <v/>
      </c>
      <c r="Q312" s="43" t="str">
        <f ca="1">IF(D312="","",VLOOKUP(N312,OFFSET(Competition_Events,0,1),11,FALSE)*IF($S312="リレー",IF(COUNTIF($T$3:$T312,$T312)&gt;1,0,1),1))</f>
        <v/>
      </c>
      <c r="R312" s="26" t="str">
        <f t="shared" ca="1" si="20"/>
        <v/>
      </c>
      <c r="S312" s="26" t="str">
        <f t="shared" ca="1" si="21"/>
        <v/>
      </c>
      <c r="T312" s="26" t="str">
        <f t="shared" ca="1" si="22"/>
        <v/>
      </c>
      <c r="U312" s="26" t="str">
        <f t="shared" ca="1" si="25"/>
        <v/>
      </c>
      <c r="W312" s="17" t="str">
        <f ca="1">IF($D312="","",OFFSET('(2)出場選手'!$B$2,$A312,W$1))</f>
        <v/>
      </c>
      <c r="X312" s="17" t="str">
        <f ca="1">IF($D312="","",OFFSET('(2)出場選手'!$B$2,$A312,X$1))</f>
        <v/>
      </c>
      <c r="Y312" s="17" t="str">
        <f ca="1">IF($D312="","",OFFSET('(2)出場選手'!$B$2,$A312,Y$1))</f>
        <v/>
      </c>
      <c r="Z312" s="17" t="str">
        <f ca="1">IF($D312="","",OFFSET('(2)出場選手'!$B$2,$A312,Z$1))</f>
        <v/>
      </c>
    </row>
    <row r="313" spans="1:26" x14ac:dyDescent="0.15">
      <c r="A313" s="17">
        <f>TRUNC((ROWS($D$3:D313)-2)/Max_Entry_Count)+1</f>
        <v>104</v>
      </c>
      <c r="B313" s="17" t="str">
        <f ca="1">IF($A313&gt;=ROWS(Entries)-2,"",IF(OFFSET('(2)出場選手'!$B$2,$A313,B$1+3*(MOD(ROWS($D$3:D313)-2,Max_Entry_Count)))="","",MOD(ROWS($D$3:D313)-2,Max_Entry_Count)))</f>
        <v/>
      </c>
      <c r="D313" s="26" t="str">
        <f ca="1">IF(OR($A313&gt;=ROWS(Entries)-2,$B313=""),"",'(1)鑑'!$E$6&amp;"-"&amp;OFFSET('(2)出場選手'!$B$2,$A313,D$1))</f>
        <v/>
      </c>
      <c r="E313" s="26" t="str">
        <f ca="1">IF($D313="","",OFFSET('(2)出場選手'!$B$2,$A313,E$1))</f>
        <v/>
      </c>
      <c r="F313" s="26" t="str">
        <f ca="1">IF($D313="","",IF(OFFSET('(2)出場選手'!$B$2,$A313,F$1)="","",OFFSET('(2)出場選手'!$B$2,$A313,F$1)))</f>
        <v/>
      </c>
      <c r="G313" s="26" t="str">
        <f t="shared" ca="1" si="18"/>
        <v/>
      </c>
      <c r="H313" s="26" t="str">
        <f t="shared" ca="1" si="26"/>
        <v/>
      </c>
      <c r="I313" s="26" t="str">
        <f ca="1">IF($D313="","",IF(OFFSET('(2)出場選手'!$B$2,$A313,I$1)="","",OFFSET('(2)出場選手'!$B$2,$A313,I$1)))</f>
        <v/>
      </c>
      <c r="J313" s="26" t="str">
        <f ca="1">IF($D313="","",IF(OFFSET('(2)出場選手'!$B$2,$A313,J$1)="",'(1)鑑'!$E$6,OFFSET('(2)出場選手'!$B$2,$A313,J$1)))</f>
        <v/>
      </c>
      <c r="K313" s="26" t="str">
        <f ca="1">IF($D313="","",TRIM(ASC(IF(OFFSET('(2)出場選手'!$B$2,$A313,K$1)="",'(1)鑑'!$E$7,OFFSET('(2)出場選手'!$B$2,$A313,K$1)))))</f>
        <v/>
      </c>
      <c r="L313" s="26" t="str">
        <f ca="1">IF($D313="","",SUBSTITUTE(SUBSTITUTE(SUBSTITUTE(IF(OFFSET('(2)出場選手'!$B$2,$A313,L$1)="",'(1)鑑'!$E$8,OFFSET('(2)出場選手'!$B$2,$A313,L$1)),"県",""),"府",""),"東京都","東京"))</f>
        <v/>
      </c>
      <c r="M313" s="57" t="str">
        <f ca="1">IF($D313="","",IF(OFFSET('(2)出場選手'!$B$2,$A313,M$1)="","",OFFSET('(2)出場選手'!$B$2,$A313,M$1)))</f>
        <v/>
      </c>
      <c r="N313" s="26" t="str">
        <f ca="1">IF($D313="","",OFFSET('(2)出場選手'!$B$2,$A313,N$1+3*$B313))</f>
        <v/>
      </c>
      <c r="O313" s="26" t="str">
        <f ca="1">IF($D313="","",IF(OFFSET('(2)出場選手'!$B$2,$A313,O$1+3*$B313)="","",OFFSET('(2)出場選手'!$B$2,$A313,O$1+3*$B313)))</f>
        <v/>
      </c>
      <c r="P313" s="26" t="str">
        <f ca="1">IF($D313="","",IF(OFFSET('(2)出場選手'!$B$2,$A313,P$1+3*$B313)="","",OFFSET('(2)出場選手'!$B$2,$A313,P$1+3*$B313)))</f>
        <v/>
      </c>
      <c r="Q313" s="43" t="str">
        <f ca="1">IF(D313="","",VLOOKUP(N313,OFFSET(Competition_Events,0,1),11,FALSE)*IF($S313="リレー",IF(COUNTIF($T$3:$T313,$T313)&gt;1,0,1),1))</f>
        <v/>
      </c>
      <c r="R313" s="26" t="str">
        <f t="shared" ca="1" si="20"/>
        <v/>
      </c>
      <c r="S313" s="26" t="str">
        <f t="shared" ca="1" si="21"/>
        <v/>
      </c>
      <c r="T313" s="26" t="str">
        <f t="shared" ca="1" si="22"/>
        <v/>
      </c>
      <c r="U313" s="26" t="str">
        <f t="shared" ca="1" si="25"/>
        <v/>
      </c>
      <c r="W313" s="17" t="str">
        <f ca="1">IF($D313="","",OFFSET('(2)出場選手'!$B$2,$A313,W$1))</f>
        <v/>
      </c>
      <c r="X313" s="17" t="str">
        <f ca="1">IF($D313="","",OFFSET('(2)出場選手'!$B$2,$A313,X$1))</f>
        <v/>
      </c>
      <c r="Y313" s="17" t="str">
        <f ca="1">IF($D313="","",OFFSET('(2)出場選手'!$B$2,$A313,Y$1))</f>
        <v/>
      </c>
      <c r="Z313" s="17" t="str">
        <f ca="1">IF($D313="","",OFFSET('(2)出場選手'!$B$2,$A313,Z$1))</f>
        <v/>
      </c>
    </row>
    <row r="314" spans="1:26" x14ac:dyDescent="0.15">
      <c r="A314" s="17">
        <f>TRUNC((ROWS($D$3:D314)-2)/Max_Entry_Count)+1</f>
        <v>104</v>
      </c>
      <c r="B314" s="17" t="str">
        <f ca="1">IF($A314&gt;=ROWS(Entries)-2,"",IF(OFFSET('(2)出場選手'!$B$2,$A314,B$1+3*(MOD(ROWS($D$3:D314)-2,Max_Entry_Count)))="","",MOD(ROWS($D$3:D314)-2,Max_Entry_Count)))</f>
        <v/>
      </c>
      <c r="D314" s="26" t="str">
        <f ca="1">IF(OR($A314&gt;=ROWS(Entries)-2,$B314=""),"",'(1)鑑'!$E$6&amp;"-"&amp;OFFSET('(2)出場選手'!$B$2,$A314,D$1))</f>
        <v/>
      </c>
      <c r="E314" s="26" t="str">
        <f ca="1">IF($D314="","",OFFSET('(2)出場選手'!$B$2,$A314,E$1))</f>
        <v/>
      </c>
      <c r="F314" s="26" t="str">
        <f ca="1">IF($D314="","",IF(OFFSET('(2)出場選手'!$B$2,$A314,F$1)="","",OFFSET('(2)出場選手'!$B$2,$A314,F$1)))</f>
        <v/>
      </c>
      <c r="G314" s="26" t="str">
        <f t="shared" ca="1" si="18"/>
        <v/>
      </c>
      <c r="H314" s="26" t="str">
        <f t="shared" ca="1" si="26"/>
        <v/>
      </c>
      <c r="I314" s="26" t="str">
        <f ca="1">IF($D314="","",IF(OFFSET('(2)出場選手'!$B$2,$A314,I$1)="","",OFFSET('(2)出場選手'!$B$2,$A314,I$1)))</f>
        <v/>
      </c>
      <c r="J314" s="26" t="str">
        <f ca="1">IF($D314="","",IF(OFFSET('(2)出場選手'!$B$2,$A314,J$1)="",'(1)鑑'!$E$6,OFFSET('(2)出場選手'!$B$2,$A314,J$1)))</f>
        <v/>
      </c>
      <c r="K314" s="26" t="str">
        <f ca="1">IF($D314="","",TRIM(ASC(IF(OFFSET('(2)出場選手'!$B$2,$A314,K$1)="",'(1)鑑'!$E$7,OFFSET('(2)出場選手'!$B$2,$A314,K$1)))))</f>
        <v/>
      </c>
      <c r="L314" s="26" t="str">
        <f ca="1">IF($D314="","",SUBSTITUTE(SUBSTITUTE(SUBSTITUTE(IF(OFFSET('(2)出場選手'!$B$2,$A314,L$1)="",'(1)鑑'!$E$8,OFFSET('(2)出場選手'!$B$2,$A314,L$1)),"県",""),"府",""),"東京都","東京"))</f>
        <v/>
      </c>
      <c r="M314" s="57" t="str">
        <f ca="1">IF($D314="","",IF(OFFSET('(2)出場選手'!$B$2,$A314,M$1)="","",OFFSET('(2)出場選手'!$B$2,$A314,M$1)))</f>
        <v/>
      </c>
      <c r="N314" s="26" t="str">
        <f ca="1">IF($D314="","",OFFSET('(2)出場選手'!$B$2,$A314,N$1+3*$B314))</f>
        <v/>
      </c>
      <c r="O314" s="26" t="str">
        <f ca="1">IF($D314="","",IF(OFFSET('(2)出場選手'!$B$2,$A314,O$1+3*$B314)="","",OFFSET('(2)出場選手'!$B$2,$A314,O$1+3*$B314)))</f>
        <v/>
      </c>
      <c r="P314" s="26" t="str">
        <f ca="1">IF($D314="","",IF(OFFSET('(2)出場選手'!$B$2,$A314,P$1+3*$B314)="","",OFFSET('(2)出場選手'!$B$2,$A314,P$1+3*$B314)))</f>
        <v/>
      </c>
      <c r="Q314" s="43" t="str">
        <f ca="1">IF(D314="","",VLOOKUP(N314,OFFSET(Competition_Events,0,1),11,FALSE)*IF($S314="リレー",IF(COUNTIF($T$3:$T314,$T314)&gt;1,0,1),1))</f>
        <v/>
      </c>
      <c r="R314" s="26" t="str">
        <f t="shared" ca="1" si="20"/>
        <v/>
      </c>
      <c r="S314" s="26" t="str">
        <f t="shared" ca="1" si="21"/>
        <v/>
      </c>
      <c r="T314" s="26" t="str">
        <f t="shared" ca="1" si="22"/>
        <v/>
      </c>
      <c r="U314" s="26" t="str">
        <f t="shared" ca="1" si="25"/>
        <v/>
      </c>
      <c r="W314" s="17" t="str">
        <f ca="1">IF($D314="","",OFFSET('(2)出場選手'!$B$2,$A314,W$1))</f>
        <v/>
      </c>
      <c r="X314" s="17" t="str">
        <f ca="1">IF($D314="","",OFFSET('(2)出場選手'!$B$2,$A314,X$1))</f>
        <v/>
      </c>
      <c r="Y314" s="17" t="str">
        <f ca="1">IF($D314="","",OFFSET('(2)出場選手'!$B$2,$A314,Y$1))</f>
        <v/>
      </c>
      <c r="Z314" s="17" t="str">
        <f ca="1">IF($D314="","",OFFSET('(2)出場選手'!$B$2,$A314,Z$1))</f>
        <v/>
      </c>
    </row>
    <row r="315" spans="1:26" x14ac:dyDescent="0.15">
      <c r="A315" s="17">
        <f>TRUNC((ROWS($D$3:D315)-2)/Max_Entry_Count)+1</f>
        <v>104</v>
      </c>
      <c r="B315" s="17" t="str">
        <f ca="1">IF($A315&gt;=ROWS(Entries)-2,"",IF(OFFSET('(2)出場選手'!$B$2,$A315,B$1+3*(MOD(ROWS($D$3:D315)-2,Max_Entry_Count)))="","",MOD(ROWS($D$3:D315)-2,Max_Entry_Count)))</f>
        <v/>
      </c>
      <c r="D315" s="26" t="str">
        <f ca="1">IF(OR($A315&gt;=ROWS(Entries)-2,$B315=""),"",'(1)鑑'!$E$6&amp;"-"&amp;OFFSET('(2)出場選手'!$B$2,$A315,D$1))</f>
        <v/>
      </c>
      <c r="E315" s="26" t="str">
        <f ca="1">IF($D315="","",OFFSET('(2)出場選手'!$B$2,$A315,E$1))</f>
        <v/>
      </c>
      <c r="F315" s="26" t="str">
        <f ca="1">IF($D315="","",IF(OFFSET('(2)出場選手'!$B$2,$A315,F$1)="","",OFFSET('(2)出場選手'!$B$2,$A315,F$1)))</f>
        <v/>
      </c>
      <c r="G315" s="26" t="str">
        <f t="shared" ca="1" si="18"/>
        <v/>
      </c>
      <c r="H315" s="26" t="str">
        <f t="shared" ca="1" si="26"/>
        <v/>
      </c>
      <c r="I315" s="26" t="str">
        <f ca="1">IF($D315="","",IF(OFFSET('(2)出場選手'!$B$2,$A315,I$1)="","",OFFSET('(2)出場選手'!$B$2,$A315,I$1)))</f>
        <v/>
      </c>
      <c r="J315" s="26" t="str">
        <f ca="1">IF($D315="","",IF(OFFSET('(2)出場選手'!$B$2,$A315,J$1)="",'(1)鑑'!$E$6,OFFSET('(2)出場選手'!$B$2,$A315,J$1)))</f>
        <v/>
      </c>
      <c r="K315" s="26" t="str">
        <f ca="1">IF($D315="","",TRIM(ASC(IF(OFFSET('(2)出場選手'!$B$2,$A315,K$1)="",'(1)鑑'!$E$7,OFFSET('(2)出場選手'!$B$2,$A315,K$1)))))</f>
        <v/>
      </c>
      <c r="L315" s="26" t="str">
        <f ca="1">IF($D315="","",SUBSTITUTE(SUBSTITUTE(SUBSTITUTE(IF(OFFSET('(2)出場選手'!$B$2,$A315,L$1)="",'(1)鑑'!$E$8,OFFSET('(2)出場選手'!$B$2,$A315,L$1)),"県",""),"府",""),"東京都","東京"))</f>
        <v/>
      </c>
      <c r="M315" s="57" t="str">
        <f ca="1">IF($D315="","",IF(OFFSET('(2)出場選手'!$B$2,$A315,M$1)="","",OFFSET('(2)出場選手'!$B$2,$A315,M$1)))</f>
        <v/>
      </c>
      <c r="N315" s="26" t="str">
        <f ca="1">IF($D315="","",OFFSET('(2)出場選手'!$B$2,$A315,N$1+3*$B315))</f>
        <v/>
      </c>
      <c r="O315" s="26" t="str">
        <f ca="1">IF($D315="","",IF(OFFSET('(2)出場選手'!$B$2,$A315,O$1+3*$B315)="","",OFFSET('(2)出場選手'!$B$2,$A315,O$1+3*$B315)))</f>
        <v/>
      </c>
      <c r="P315" s="26" t="str">
        <f ca="1">IF($D315="","",IF(OFFSET('(2)出場選手'!$B$2,$A315,P$1+3*$B315)="","",OFFSET('(2)出場選手'!$B$2,$A315,P$1+3*$B315)))</f>
        <v/>
      </c>
      <c r="Q315" s="43" t="str">
        <f ca="1">IF(D315="","",VLOOKUP(N315,OFFSET(Competition_Events,0,1),11,FALSE)*IF($S315="リレー",IF(COUNTIF($T$3:$T315,$T315)&gt;1,0,1),1))</f>
        <v/>
      </c>
      <c r="R315" s="26" t="str">
        <f t="shared" ca="1" si="20"/>
        <v/>
      </c>
      <c r="S315" s="26" t="str">
        <f t="shared" ca="1" si="21"/>
        <v/>
      </c>
      <c r="T315" s="26" t="str">
        <f t="shared" ca="1" si="22"/>
        <v/>
      </c>
      <c r="U315" s="26" t="str">
        <f t="shared" ca="1" si="25"/>
        <v/>
      </c>
      <c r="W315" s="17" t="str">
        <f ca="1">IF($D315="","",OFFSET('(2)出場選手'!$B$2,$A315,W$1))</f>
        <v/>
      </c>
      <c r="X315" s="17" t="str">
        <f ca="1">IF($D315="","",OFFSET('(2)出場選手'!$B$2,$A315,X$1))</f>
        <v/>
      </c>
      <c r="Y315" s="17" t="str">
        <f ca="1">IF($D315="","",OFFSET('(2)出場選手'!$B$2,$A315,Y$1))</f>
        <v/>
      </c>
      <c r="Z315" s="17" t="str">
        <f ca="1">IF($D315="","",OFFSET('(2)出場選手'!$B$2,$A315,Z$1))</f>
        <v/>
      </c>
    </row>
    <row r="316" spans="1:26" x14ac:dyDescent="0.15">
      <c r="A316" s="17">
        <f>TRUNC((ROWS($D$3:D316)-2)/Max_Entry_Count)+1</f>
        <v>105</v>
      </c>
      <c r="B316" s="17" t="str">
        <f ca="1">IF($A316&gt;=ROWS(Entries)-2,"",IF(OFFSET('(2)出場選手'!$B$2,$A316,B$1+3*(MOD(ROWS($D$3:D316)-2,Max_Entry_Count)))="","",MOD(ROWS($D$3:D316)-2,Max_Entry_Count)))</f>
        <v/>
      </c>
      <c r="D316" s="26" t="str">
        <f ca="1">IF(OR($A316&gt;=ROWS(Entries)-2,$B316=""),"",'(1)鑑'!$E$6&amp;"-"&amp;OFFSET('(2)出場選手'!$B$2,$A316,D$1))</f>
        <v/>
      </c>
      <c r="E316" s="26" t="str">
        <f ca="1">IF($D316="","",OFFSET('(2)出場選手'!$B$2,$A316,E$1))</f>
        <v/>
      </c>
      <c r="F316" s="26" t="str">
        <f ca="1">IF($D316="","",IF(OFFSET('(2)出場選手'!$B$2,$A316,F$1)="","",OFFSET('(2)出場選手'!$B$2,$A316,F$1)))</f>
        <v/>
      </c>
      <c r="G316" s="26" t="str">
        <f t="shared" ca="1" si="18"/>
        <v/>
      </c>
      <c r="H316" s="26" t="str">
        <f t="shared" ca="1" si="26"/>
        <v/>
      </c>
      <c r="I316" s="26" t="str">
        <f ca="1">IF($D316="","",IF(OFFSET('(2)出場選手'!$B$2,$A316,I$1)="","",OFFSET('(2)出場選手'!$B$2,$A316,I$1)))</f>
        <v/>
      </c>
      <c r="J316" s="26" t="str">
        <f ca="1">IF($D316="","",IF(OFFSET('(2)出場選手'!$B$2,$A316,J$1)="",'(1)鑑'!$E$6,OFFSET('(2)出場選手'!$B$2,$A316,J$1)))</f>
        <v/>
      </c>
      <c r="K316" s="26" t="str">
        <f ca="1">IF($D316="","",TRIM(ASC(IF(OFFSET('(2)出場選手'!$B$2,$A316,K$1)="",'(1)鑑'!$E$7,OFFSET('(2)出場選手'!$B$2,$A316,K$1)))))</f>
        <v/>
      </c>
      <c r="L316" s="26" t="str">
        <f ca="1">IF($D316="","",SUBSTITUTE(SUBSTITUTE(SUBSTITUTE(IF(OFFSET('(2)出場選手'!$B$2,$A316,L$1)="",'(1)鑑'!$E$8,OFFSET('(2)出場選手'!$B$2,$A316,L$1)),"県",""),"府",""),"東京都","東京"))</f>
        <v/>
      </c>
      <c r="M316" s="57" t="str">
        <f ca="1">IF($D316="","",IF(OFFSET('(2)出場選手'!$B$2,$A316,M$1)="","",OFFSET('(2)出場選手'!$B$2,$A316,M$1)))</f>
        <v/>
      </c>
      <c r="N316" s="26" t="str">
        <f ca="1">IF($D316="","",OFFSET('(2)出場選手'!$B$2,$A316,N$1+3*$B316))</f>
        <v/>
      </c>
      <c r="O316" s="26" t="str">
        <f ca="1">IF($D316="","",IF(OFFSET('(2)出場選手'!$B$2,$A316,O$1+3*$B316)="","",OFFSET('(2)出場選手'!$B$2,$A316,O$1+3*$B316)))</f>
        <v/>
      </c>
      <c r="P316" s="26" t="str">
        <f ca="1">IF($D316="","",IF(OFFSET('(2)出場選手'!$B$2,$A316,P$1+3*$B316)="","",OFFSET('(2)出場選手'!$B$2,$A316,P$1+3*$B316)))</f>
        <v/>
      </c>
      <c r="Q316" s="43" t="str">
        <f ca="1">IF(D316="","",VLOOKUP(N316,OFFSET(Competition_Events,0,1),11,FALSE)*IF($S316="リレー",IF(COUNTIF($T$3:$T316,$T316)&gt;1,0,1),1))</f>
        <v/>
      </c>
      <c r="R316" s="26" t="str">
        <f t="shared" ca="1" si="20"/>
        <v/>
      </c>
      <c r="S316" s="26" t="str">
        <f t="shared" ca="1" si="21"/>
        <v/>
      </c>
      <c r="T316" s="26" t="str">
        <f t="shared" ca="1" si="22"/>
        <v/>
      </c>
      <c r="U316" s="26" t="str">
        <f t="shared" ca="1" si="25"/>
        <v/>
      </c>
      <c r="W316" s="17" t="str">
        <f ca="1">IF($D316="","",OFFSET('(2)出場選手'!$B$2,$A316,W$1))</f>
        <v/>
      </c>
      <c r="X316" s="17" t="str">
        <f ca="1">IF($D316="","",OFFSET('(2)出場選手'!$B$2,$A316,X$1))</f>
        <v/>
      </c>
      <c r="Y316" s="17" t="str">
        <f ca="1">IF($D316="","",OFFSET('(2)出場選手'!$B$2,$A316,Y$1))</f>
        <v/>
      </c>
      <c r="Z316" s="17" t="str">
        <f ca="1">IF($D316="","",OFFSET('(2)出場選手'!$B$2,$A316,Z$1))</f>
        <v/>
      </c>
    </row>
    <row r="317" spans="1:26" x14ac:dyDescent="0.15">
      <c r="A317" s="17">
        <f>TRUNC((ROWS($D$3:D317)-2)/Max_Entry_Count)+1</f>
        <v>105</v>
      </c>
      <c r="B317" s="17" t="str">
        <f ca="1">IF($A317&gt;=ROWS(Entries)-2,"",IF(OFFSET('(2)出場選手'!$B$2,$A317,B$1+3*(MOD(ROWS($D$3:D317)-2,Max_Entry_Count)))="","",MOD(ROWS($D$3:D317)-2,Max_Entry_Count)))</f>
        <v/>
      </c>
      <c r="D317" s="26" t="str">
        <f ca="1">IF(OR($A317&gt;=ROWS(Entries)-2,$B317=""),"",'(1)鑑'!$E$6&amp;"-"&amp;OFFSET('(2)出場選手'!$B$2,$A317,D$1))</f>
        <v/>
      </c>
      <c r="E317" s="26" t="str">
        <f ca="1">IF($D317="","",OFFSET('(2)出場選手'!$B$2,$A317,E$1))</f>
        <v/>
      </c>
      <c r="F317" s="26" t="str">
        <f ca="1">IF($D317="","",IF(OFFSET('(2)出場選手'!$B$2,$A317,F$1)="","",OFFSET('(2)出場選手'!$B$2,$A317,F$1)))</f>
        <v/>
      </c>
      <c r="G317" s="26" t="str">
        <f t="shared" ca="1" si="18"/>
        <v/>
      </c>
      <c r="H317" s="26" t="str">
        <f t="shared" ca="1" si="26"/>
        <v/>
      </c>
      <c r="I317" s="26" t="str">
        <f ca="1">IF($D317="","",IF(OFFSET('(2)出場選手'!$B$2,$A317,I$1)="","",OFFSET('(2)出場選手'!$B$2,$A317,I$1)))</f>
        <v/>
      </c>
      <c r="J317" s="26" t="str">
        <f ca="1">IF($D317="","",IF(OFFSET('(2)出場選手'!$B$2,$A317,J$1)="",'(1)鑑'!$E$6,OFFSET('(2)出場選手'!$B$2,$A317,J$1)))</f>
        <v/>
      </c>
      <c r="K317" s="26" t="str">
        <f ca="1">IF($D317="","",TRIM(ASC(IF(OFFSET('(2)出場選手'!$B$2,$A317,K$1)="",'(1)鑑'!$E$7,OFFSET('(2)出場選手'!$B$2,$A317,K$1)))))</f>
        <v/>
      </c>
      <c r="L317" s="26" t="str">
        <f ca="1">IF($D317="","",SUBSTITUTE(SUBSTITUTE(SUBSTITUTE(IF(OFFSET('(2)出場選手'!$B$2,$A317,L$1)="",'(1)鑑'!$E$8,OFFSET('(2)出場選手'!$B$2,$A317,L$1)),"県",""),"府",""),"東京都","東京"))</f>
        <v/>
      </c>
      <c r="M317" s="57" t="str">
        <f ca="1">IF($D317="","",IF(OFFSET('(2)出場選手'!$B$2,$A317,M$1)="","",OFFSET('(2)出場選手'!$B$2,$A317,M$1)))</f>
        <v/>
      </c>
      <c r="N317" s="26" t="str">
        <f ca="1">IF($D317="","",OFFSET('(2)出場選手'!$B$2,$A317,N$1+3*$B317))</f>
        <v/>
      </c>
      <c r="O317" s="26" t="str">
        <f ca="1">IF($D317="","",IF(OFFSET('(2)出場選手'!$B$2,$A317,O$1+3*$B317)="","",OFFSET('(2)出場選手'!$B$2,$A317,O$1+3*$B317)))</f>
        <v/>
      </c>
      <c r="P317" s="26" t="str">
        <f ca="1">IF($D317="","",IF(OFFSET('(2)出場選手'!$B$2,$A317,P$1+3*$B317)="","",OFFSET('(2)出場選手'!$B$2,$A317,P$1+3*$B317)))</f>
        <v/>
      </c>
      <c r="Q317" s="43" t="str">
        <f ca="1">IF(D317="","",VLOOKUP(N317,OFFSET(Competition_Events,0,1),11,FALSE)*IF($S317="リレー",IF(COUNTIF($T$3:$T317,$T317)&gt;1,0,1),1))</f>
        <v/>
      </c>
      <c r="R317" s="26" t="str">
        <f t="shared" ca="1" si="20"/>
        <v/>
      </c>
      <c r="S317" s="26" t="str">
        <f t="shared" ca="1" si="21"/>
        <v/>
      </c>
      <c r="T317" s="26" t="str">
        <f t="shared" ca="1" si="22"/>
        <v/>
      </c>
      <c r="U317" s="26" t="str">
        <f t="shared" ref="U317:U380" ca="1" si="27">IF($D317="","",IFERROR(CHOOSE(VLOOKUP($R317,Competition_Events,6,FALSE),SUBSTITUTE(O317,"点","")*1,SUBSTITUTE(O317,"m",".")*100,SUBSTITUTE(SUBSTITUTE("0:"&amp;O317,"'",":"),"""",".")/"0:00:00.01"*-1,SUBSTITUTE(O317,"m",".")*100,SUBSTITUTE(SUBSTITUTE(O317,"'",":"),"""",".")/"0:00:00.01"*-1),-8640000))</f>
        <v/>
      </c>
      <c r="W317" s="17" t="str">
        <f ca="1">IF($D317="","",OFFSET('(2)出場選手'!$B$2,$A317,W$1))</f>
        <v/>
      </c>
      <c r="X317" s="17" t="str">
        <f ca="1">IF($D317="","",OFFSET('(2)出場選手'!$B$2,$A317,X$1))</f>
        <v/>
      </c>
      <c r="Y317" s="17" t="str">
        <f ca="1">IF($D317="","",OFFSET('(2)出場選手'!$B$2,$A317,Y$1))</f>
        <v/>
      </c>
      <c r="Z317" s="17" t="str">
        <f ca="1">IF($D317="","",OFFSET('(2)出場選手'!$B$2,$A317,Z$1))</f>
        <v/>
      </c>
    </row>
    <row r="318" spans="1:26" x14ac:dyDescent="0.15">
      <c r="A318" s="17">
        <f>TRUNC((ROWS($D$3:D318)-2)/Max_Entry_Count)+1</f>
        <v>105</v>
      </c>
      <c r="B318" s="17" t="str">
        <f ca="1">IF($A318&gt;=ROWS(Entries)-2,"",IF(OFFSET('(2)出場選手'!$B$2,$A318,B$1+3*(MOD(ROWS($D$3:D318)-2,Max_Entry_Count)))="","",MOD(ROWS($D$3:D318)-2,Max_Entry_Count)))</f>
        <v/>
      </c>
      <c r="D318" s="26" t="str">
        <f ca="1">IF(OR($A318&gt;=ROWS(Entries)-2,$B318=""),"",'(1)鑑'!$E$6&amp;"-"&amp;OFFSET('(2)出場選手'!$B$2,$A318,D$1))</f>
        <v/>
      </c>
      <c r="E318" s="26" t="str">
        <f ca="1">IF($D318="","",OFFSET('(2)出場選手'!$B$2,$A318,E$1))</f>
        <v/>
      </c>
      <c r="F318" s="26" t="str">
        <f ca="1">IF($D318="","",IF(OFFSET('(2)出場選手'!$B$2,$A318,F$1)="","",OFFSET('(2)出場選手'!$B$2,$A318,F$1)))</f>
        <v/>
      </c>
      <c r="G318" s="26" t="str">
        <f t="shared" ca="1" si="18"/>
        <v/>
      </c>
      <c r="H318" s="26" t="str">
        <f t="shared" ca="1" si="26"/>
        <v/>
      </c>
      <c r="I318" s="26" t="str">
        <f ca="1">IF($D318="","",IF(OFFSET('(2)出場選手'!$B$2,$A318,I$1)="","",OFFSET('(2)出場選手'!$B$2,$A318,I$1)))</f>
        <v/>
      </c>
      <c r="J318" s="26" t="str">
        <f ca="1">IF($D318="","",IF(OFFSET('(2)出場選手'!$B$2,$A318,J$1)="",'(1)鑑'!$E$6,OFFSET('(2)出場選手'!$B$2,$A318,J$1)))</f>
        <v/>
      </c>
      <c r="K318" s="26" t="str">
        <f ca="1">IF($D318="","",TRIM(ASC(IF(OFFSET('(2)出場選手'!$B$2,$A318,K$1)="",'(1)鑑'!$E$7,OFFSET('(2)出場選手'!$B$2,$A318,K$1)))))</f>
        <v/>
      </c>
      <c r="L318" s="26" t="str">
        <f ca="1">IF($D318="","",SUBSTITUTE(SUBSTITUTE(SUBSTITUTE(IF(OFFSET('(2)出場選手'!$B$2,$A318,L$1)="",'(1)鑑'!$E$8,OFFSET('(2)出場選手'!$B$2,$A318,L$1)),"県",""),"府",""),"東京都","東京"))</f>
        <v/>
      </c>
      <c r="M318" s="57" t="str">
        <f ca="1">IF($D318="","",IF(OFFSET('(2)出場選手'!$B$2,$A318,M$1)="","",OFFSET('(2)出場選手'!$B$2,$A318,M$1)))</f>
        <v/>
      </c>
      <c r="N318" s="26" t="str">
        <f ca="1">IF($D318="","",OFFSET('(2)出場選手'!$B$2,$A318,N$1+3*$B318))</f>
        <v/>
      </c>
      <c r="O318" s="26" t="str">
        <f ca="1">IF($D318="","",IF(OFFSET('(2)出場選手'!$B$2,$A318,O$1+3*$B318)="","",OFFSET('(2)出場選手'!$B$2,$A318,O$1+3*$B318)))</f>
        <v/>
      </c>
      <c r="P318" s="26" t="str">
        <f ca="1">IF($D318="","",IF(OFFSET('(2)出場選手'!$B$2,$A318,P$1+3*$B318)="","",OFFSET('(2)出場選手'!$B$2,$A318,P$1+3*$B318)))</f>
        <v/>
      </c>
      <c r="Q318" s="43" t="str">
        <f ca="1">IF(D318="","",VLOOKUP(N318,OFFSET(Competition_Events,0,1),11,FALSE)*IF($S318="リレー",IF(COUNTIF($T$3:$T318,$T318)&gt;1,0,1),1))</f>
        <v/>
      </c>
      <c r="R318" s="26" t="str">
        <f t="shared" ca="1" si="20"/>
        <v/>
      </c>
      <c r="S318" s="26" t="str">
        <f t="shared" ca="1" si="21"/>
        <v/>
      </c>
      <c r="T318" s="26" t="str">
        <f t="shared" ca="1" si="22"/>
        <v/>
      </c>
      <c r="U318" s="26" t="str">
        <f t="shared" ca="1" si="27"/>
        <v/>
      </c>
      <c r="W318" s="17" t="str">
        <f ca="1">IF($D318="","",OFFSET('(2)出場選手'!$B$2,$A318,W$1))</f>
        <v/>
      </c>
      <c r="X318" s="17" t="str">
        <f ca="1">IF($D318="","",OFFSET('(2)出場選手'!$B$2,$A318,X$1))</f>
        <v/>
      </c>
      <c r="Y318" s="17" t="str">
        <f ca="1">IF($D318="","",OFFSET('(2)出場選手'!$B$2,$A318,Y$1))</f>
        <v/>
      </c>
      <c r="Z318" s="17" t="str">
        <f ca="1">IF($D318="","",OFFSET('(2)出場選手'!$B$2,$A318,Z$1))</f>
        <v/>
      </c>
    </row>
    <row r="319" spans="1:26" x14ac:dyDescent="0.15">
      <c r="A319" s="17">
        <f>TRUNC((ROWS($D$3:D319)-2)/Max_Entry_Count)+1</f>
        <v>106</v>
      </c>
      <c r="B319" s="17" t="str">
        <f ca="1">IF($A319&gt;=ROWS(Entries)-2,"",IF(OFFSET('(2)出場選手'!$B$2,$A319,B$1+3*(MOD(ROWS($D$3:D319)-2,Max_Entry_Count)))="","",MOD(ROWS($D$3:D319)-2,Max_Entry_Count)))</f>
        <v/>
      </c>
      <c r="D319" s="26" t="str">
        <f ca="1">IF(OR($A319&gt;=ROWS(Entries)-2,$B319=""),"",'(1)鑑'!$E$6&amp;"-"&amp;OFFSET('(2)出場選手'!$B$2,$A319,D$1))</f>
        <v/>
      </c>
      <c r="E319" s="26" t="str">
        <f ca="1">IF($D319="","",OFFSET('(2)出場選手'!$B$2,$A319,E$1))</f>
        <v/>
      </c>
      <c r="F319" s="26" t="str">
        <f ca="1">IF($D319="","",IF(OFFSET('(2)出場選手'!$B$2,$A319,F$1)="","",OFFSET('(2)出場選手'!$B$2,$A319,F$1)))</f>
        <v/>
      </c>
      <c r="G319" s="26" t="str">
        <f t="shared" ca="1" si="18"/>
        <v/>
      </c>
      <c r="H319" s="26" t="str">
        <f t="shared" ca="1" si="26"/>
        <v/>
      </c>
      <c r="I319" s="26" t="str">
        <f ca="1">IF($D319="","",IF(OFFSET('(2)出場選手'!$B$2,$A319,I$1)="","",OFFSET('(2)出場選手'!$B$2,$A319,I$1)))</f>
        <v/>
      </c>
      <c r="J319" s="26" t="str">
        <f ca="1">IF($D319="","",IF(OFFSET('(2)出場選手'!$B$2,$A319,J$1)="",'(1)鑑'!$E$6,OFFSET('(2)出場選手'!$B$2,$A319,J$1)))</f>
        <v/>
      </c>
      <c r="K319" s="26" t="str">
        <f ca="1">IF($D319="","",TRIM(ASC(IF(OFFSET('(2)出場選手'!$B$2,$A319,K$1)="",'(1)鑑'!$E$7,OFFSET('(2)出場選手'!$B$2,$A319,K$1)))))</f>
        <v/>
      </c>
      <c r="L319" s="26" t="str">
        <f ca="1">IF($D319="","",SUBSTITUTE(SUBSTITUTE(SUBSTITUTE(IF(OFFSET('(2)出場選手'!$B$2,$A319,L$1)="",'(1)鑑'!$E$8,OFFSET('(2)出場選手'!$B$2,$A319,L$1)),"県",""),"府",""),"東京都","東京"))</f>
        <v/>
      </c>
      <c r="M319" s="57" t="str">
        <f ca="1">IF($D319="","",IF(OFFSET('(2)出場選手'!$B$2,$A319,M$1)="","",OFFSET('(2)出場選手'!$B$2,$A319,M$1)))</f>
        <v/>
      </c>
      <c r="N319" s="26" t="str">
        <f ca="1">IF($D319="","",OFFSET('(2)出場選手'!$B$2,$A319,N$1+3*$B319))</f>
        <v/>
      </c>
      <c r="O319" s="26" t="str">
        <f ca="1">IF($D319="","",IF(OFFSET('(2)出場選手'!$B$2,$A319,O$1+3*$B319)="","",OFFSET('(2)出場選手'!$B$2,$A319,O$1+3*$B319)))</f>
        <v/>
      </c>
      <c r="P319" s="26" t="str">
        <f ca="1">IF($D319="","",IF(OFFSET('(2)出場選手'!$B$2,$A319,P$1+3*$B319)="","",OFFSET('(2)出場選手'!$B$2,$A319,P$1+3*$B319)))</f>
        <v/>
      </c>
      <c r="Q319" s="43" t="str">
        <f ca="1">IF(D319="","",VLOOKUP(N319,OFFSET(Competition_Events,0,1),11,FALSE)*IF($S319="リレー",IF(COUNTIF($T$3:$T319,$T319)&gt;1,0,1),1))</f>
        <v/>
      </c>
      <c r="R319" s="26" t="str">
        <f t="shared" ca="1" si="20"/>
        <v/>
      </c>
      <c r="S319" s="26" t="str">
        <f t="shared" ca="1" si="21"/>
        <v/>
      </c>
      <c r="T319" s="26" t="str">
        <f t="shared" ca="1" si="22"/>
        <v/>
      </c>
      <c r="U319" s="26" t="str">
        <f t="shared" ca="1" si="27"/>
        <v/>
      </c>
      <c r="W319" s="17" t="str">
        <f ca="1">IF($D319="","",OFFSET('(2)出場選手'!$B$2,$A319,W$1))</f>
        <v/>
      </c>
      <c r="X319" s="17" t="str">
        <f ca="1">IF($D319="","",OFFSET('(2)出場選手'!$B$2,$A319,X$1))</f>
        <v/>
      </c>
      <c r="Y319" s="17" t="str">
        <f ca="1">IF($D319="","",OFFSET('(2)出場選手'!$B$2,$A319,Y$1))</f>
        <v/>
      </c>
      <c r="Z319" s="17" t="str">
        <f ca="1">IF($D319="","",OFFSET('(2)出場選手'!$B$2,$A319,Z$1))</f>
        <v/>
      </c>
    </row>
    <row r="320" spans="1:26" x14ac:dyDescent="0.15">
      <c r="A320" s="17">
        <f>TRUNC((ROWS($D$3:D320)-2)/Max_Entry_Count)+1</f>
        <v>106</v>
      </c>
      <c r="B320" s="17" t="str">
        <f ca="1">IF($A320&gt;=ROWS(Entries)-2,"",IF(OFFSET('(2)出場選手'!$B$2,$A320,B$1+3*(MOD(ROWS($D$3:D320)-2,Max_Entry_Count)))="","",MOD(ROWS($D$3:D320)-2,Max_Entry_Count)))</f>
        <v/>
      </c>
      <c r="D320" s="26" t="str">
        <f ca="1">IF(OR($A320&gt;=ROWS(Entries)-2,$B320=""),"",'(1)鑑'!$E$6&amp;"-"&amp;OFFSET('(2)出場選手'!$B$2,$A320,D$1))</f>
        <v/>
      </c>
      <c r="E320" s="26" t="str">
        <f ca="1">IF($D320="","",OFFSET('(2)出場選手'!$B$2,$A320,E$1))</f>
        <v/>
      </c>
      <c r="F320" s="26" t="str">
        <f ca="1">IF($D320="","",IF(OFFSET('(2)出場選手'!$B$2,$A320,F$1)="","",OFFSET('(2)出場選手'!$B$2,$A320,F$1)))</f>
        <v/>
      </c>
      <c r="G320" s="26" t="str">
        <f t="shared" ca="1" si="18"/>
        <v/>
      </c>
      <c r="H320" s="26" t="str">
        <f t="shared" ca="1" si="26"/>
        <v/>
      </c>
      <c r="I320" s="26" t="str">
        <f ca="1">IF($D320="","",IF(OFFSET('(2)出場選手'!$B$2,$A320,I$1)="","",OFFSET('(2)出場選手'!$B$2,$A320,I$1)))</f>
        <v/>
      </c>
      <c r="J320" s="26" t="str">
        <f ca="1">IF($D320="","",IF(OFFSET('(2)出場選手'!$B$2,$A320,J$1)="",'(1)鑑'!$E$6,OFFSET('(2)出場選手'!$B$2,$A320,J$1)))</f>
        <v/>
      </c>
      <c r="K320" s="26" t="str">
        <f ca="1">IF($D320="","",TRIM(ASC(IF(OFFSET('(2)出場選手'!$B$2,$A320,K$1)="",'(1)鑑'!$E$7,OFFSET('(2)出場選手'!$B$2,$A320,K$1)))))</f>
        <v/>
      </c>
      <c r="L320" s="26" t="str">
        <f ca="1">IF($D320="","",SUBSTITUTE(SUBSTITUTE(SUBSTITUTE(IF(OFFSET('(2)出場選手'!$B$2,$A320,L$1)="",'(1)鑑'!$E$8,OFFSET('(2)出場選手'!$B$2,$A320,L$1)),"県",""),"府",""),"東京都","東京"))</f>
        <v/>
      </c>
      <c r="M320" s="57" t="str">
        <f ca="1">IF($D320="","",IF(OFFSET('(2)出場選手'!$B$2,$A320,M$1)="","",OFFSET('(2)出場選手'!$B$2,$A320,M$1)))</f>
        <v/>
      </c>
      <c r="N320" s="26" t="str">
        <f ca="1">IF($D320="","",OFFSET('(2)出場選手'!$B$2,$A320,N$1+3*$B320))</f>
        <v/>
      </c>
      <c r="O320" s="26" t="str">
        <f ca="1">IF($D320="","",IF(OFFSET('(2)出場選手'!$B$2,$A320,O$1+3*$B320)="","",OFFSET('(2)出場選手'!$B$2,$A320,O$1+3*$B320)))</f>
        <v/>
      </c>
      <c r="P320" s="26" t="str">
        <f ca="1">IF($D320="","",IF(OFFSET('(2)出場選手'!$B$2,$A320,P$1+3*$B320)="","",OFFSET('(2)出場選手'!$B$2,$A320,P$1+3*$B320)))</f>
        <v/>
      </c>
      <c r="Q320" s="43" t="str">
        <f ca="1">IF(D320="","",VLOOKUP(N320,OFFSET(Competition_Events,0,1),11,FALSE)*IF($S320="リレー",IF(COUNTIF($T$3:$T320,$T320)&gt;1,0,1),1))</f>
        <v/>
      </c>
      <c r="R320" s="26" t="str">
        <f t="shared" ca="1" si="20"/>
        <v/>
      </c>
      <c r="S320" s="26" t="str">
        <f t="shared" ca="1" si="21"/>
        <v/>
      </c>
      <c r="T320" s="26" t="str">
        <f t="shared" ca="1" si="22"/>
        <v/>
      </c>
      <c r="U320" s="26" t="str">
        <f t="shared" ca="1" si="27"/>
        <v/>
      </c>
      <c r="W320" s="17" t="str">
        <f ca="1">IF($D320="","",OFFSET('(2)出場選手'!$B$2,$A320,W$1))</f>
        <v/>
      </c>
      <c r="X320" s="17" t="str">
        <f ca="1">IF($D320="","",OFFSET('(2)出場選手'!$B$2,$A320,X$1))</f>
        <v/>
      </c>
      <c r="Y320" s="17" t="str">
        <f ca="1">IF($D320="","",OFFSET('(2)出場選手'!$B$2,$A320,Y$1))</f>
        <v/>
      </c>
      <c r="Z320" s="17" t="str">
        <f ca="1">IF($D320="","",OFFSET('(2)出場選手'!$B$2,$A320,Z$1))</f>
        <v/>
      </c>
    </row>
    <row r="321" spans="1:26" x14ac:dyDescent="0.15">
      <c r="A321" s="17">
        <f>TRUNC((ROWS($D$3:D321)-2)/Max_Entry_Count)+1</f>
        <v>106</v>
      </c>
      <c r="B321" s="17" t="str">
        <f ca="1">IF($A321&gt;=ROWS(Entries)-2,"",IF(OFFSET('(2)出場選手'!$B$2,$A321,B$1+3*(MOD(ROWS($D$3:D321)-2,Max_Entry_Count)))="","",MOD(ROWS($D$3:D321)-2,Max_Entry_Count)))</f>
        <v/>
      </c>
      <c r="D321" s="26" t="str">
        <f ca="1">IF(OR($A321&gt;=ROWS(Entries)-2,$B321=""),"",'(1)鑑'!$E$6&amp;"-"&amp;OFFSET('(2)出場選手'!$B$2,$A321,D$1))</f>
        <v/>
      </c>
      <c r="E321" s="26" t="str">
        <f ca="1">IF($D321="","",OFFSET('(2)出場選手'!$B$2,$A321,E$1))</f>
        <v/>
      </c>
      <c r="F321" s="26" t="str">
        <f ca="1">IF($D321="","",IF(OFFSET('(2)出場選手'!$B$2,$A321,F$1)="","",OFFSET('(2)出場選手'!$B$2,$A321,F$1)))</f>
        <v/>
      </c>
      <c r="G321" s="26" t="str">
        <f t="shared" ca="1" si="18"/>
        <v/>
      </c>
      <c r="H321" s="26" t="str">
        <f t="shared" ca="1" si="26"/>
        <v/>
      </c>
      <c r="I321" s="26" t="str">
        <f ca="1">IF($D321="","",IF(OFFSET('(2)出場選手'!$B$2,$A321,I$1)="","",OFFSET('(2)出場選手'!$B$2,$A321,I$1)))</f>
        <v/>
      </c>
      <c r="J321" s="26" t="str">
        <f ca="1">IF($D321="","",IF(OFFSET('(2)出場選手'!$B$2,$A321,J$1)="",'(1)鑑'!$E$6,OFFSET('(2)出場選手'!$B$2,$A321,J$1)))</f>
        <v/>
      </c>
      <c r="K321" s="26" t="str">
        <f ca="1">IF($D321="","",TRIM(ASC(IF(OFFSET('(2)出場選手'!$B$2,$A321,K$1)="",'(1)鑑'!$E$7,OFFSET('(2)出場選手'!$B$2,$A321,K$1)))))</f>
        <v/>
      </c>
      <c r="L321" s="26" t="str">
        <f ca="1">IF($D321="","",SUBSTITUTE(SUBSTITUTE(SUBSTITUTE(IF(OFFSET('(2)出場選手'!$B$2,$A321,L$1)="",'(1)鑑'!$E$8,OFFSET('(2)出場選手'!$B$2,$A321,L$1)),"県",""),"府",""),"東京都","東京"))</f>
        <v/>
      </c>
      <c r="M321" s="57" t="str">
        <f ca="1">IF($D321="","",IF(OFFSET('(2)出場選手'!$B$2,$A321,M$1)="","",OFFSET('(2)出場選手'!$B$2,$A321,M$1)))</f>
        <v/>
      </c>
      <c r="N321" s="26" t="str">
        <f ca="1">IF($D321="","",OFFSET('(2)出場選手'!$B$2,$A321,N$1+3*$B321))</f>
        <v/>
      </c>
      <c r="O321" s="26" t="str">
        <f ca="1">IF($D321="","",IF(OFFSET('(2)出場選手'!$B$2,$A321,O$1+3*$B321)="","",OFFSET('(2)出場選手'!$B$2,$A321,O$1+3*$B321)))</f>
        <v/>
      </c>
      <c r="P321" s="26" t="str">
        <f ca="1">IF($D321="","",IF(OFFSET('(2)出場選手'!$B$2,$A321,P$1+3*$B321)="","",OFFSET('(2)出場選手'!$B$2,$A321,P$1+3*$B321)))</f>
        <v/>
      </c>
      <c r="Q321" s="43" t="str">
        <f ca="1">IF(D321="","",VLOOKUP(N321,OFFSET(Competition_Events,0,1),11,FALSE)*IF($S321="リレー",IF(COUNTIF($T$3:$T321,$T321)&gt;1,0,1),1))</f>
        <v/>
      </c>
      <c r="R321" s="26" t="str">
        <f t="shared" ca="1" si="20"/>
        <v/>
      </c>
      <c r="S321" s="26" t="str">
        <f t="shared" ca="1" si="21"/>
        <v/>
      </c>
      <c r="T321" s="26" t="str">
        <f t="shared" ca="1" si="22"/>
        <v/>
      </c>
      <c r="U321" s="26" t="str">
        <f t="shared" ca="1" si="27"/>
        <v/>
      </c>
      <c r="W321" s="17" t="str">
        <f ca="1">IF($D321="","",OFFSET('(2)出場選手'!$B$2,$A321,W$1))</f>
        <v/>
      </c>
      <c r="X321" s="17" t="str">
        <f ca="1">IF($D321="","",OFFSET('(2)出場選手'!$B$2,$A321,X$1))</f>
        <v/>
      </c>
      <c r="Y321" s="17" t="str">
        <f ca="1">IF($D321="","",OFFSET('(2)出場選手'!$B$2,$A321,Y$1))</f>
        <v/>
      </c>
      <c r="Z321" s="17" t="str">
        <f ca="1">IF($D321="","",OFFSET('(2)出場選手'!$B$2,$A321,Z$1))</f>
        <v/>
      </c>
    </row>
    <row r="322" spans="1:26" x14ac:dyDescent="0.15">
      <c r="A322" s="17">
        <f>TRUNC((ROWS($D$3:D322)-2)/Max_Entry_Count)+1</f>
        <v>107</v>
      </c>
      <c r="B322" s="17" t="str">
        <f ca="1">IF($A322&gt;=ROWS(Entries)-2,"",IF(OFFSET('(2)出場選手'!$B$2,$A322,B$1+3*(MOD(ROWS($D$3:D322)-2,Max_Entry_Count)))="","",MOD(ROWS($D$3:D322)-2,Max_Entry_Count)))</f>
        <v/>
      </c>
      <c r="D322" s="26" t="str">
        <f ca="1">IF(OR($A322&gt;=ROWS(Entries)-2,$B322=""),"",'(1)鑑'!$E$6&amp;"-"&amp;OFFSET('(2)出場選手'!$B$2,$A322,D$1))</f>
        <v/>
      </c>
      <c r="E322" s="26" t="str">
        <f ca="1">IF($D322="","",OFFSET('(2)出場選手'!$B$2,$A322,E$1))</f>
        <v/>
      </c>
      <c r="F322" s="26" t="str">
        <f ca="1">IF($D322="","",IF(OFFSET('(2)出場選手'!$B$2,$A322,F$1)="","",OFFSET('(2)出場選手'!$B$2,$A322,F$1)))</f>
        <v/>
      </c>
      <c r="G322" s="26" t="str">
        <f t="shared" ca="1" si="18"/>
        <v/>
      </c>
      <c r="H322" s="26" t="str">
        <f t="shared" ca="1" si="26"/>
        <v/>
      </c>
      <c r="I322" s="26" t="str">
        <f ca="1">IF($D322="","",IF(OFFSET('(2)出場選手'!$B$2,$A322,I$1)="","",OFFSET('(2)出場選手'!$B$2,$A322,I$1)))</f>
        <v/>
      </c>
      <c r="J322" s="26" t="str">
        <f ca="1">IF($D322="","",IF(OFFSET('(2)出場選手'!$B$2,$A322,J$1)="",'(1)鑑'!$E$6,OFFSET('(2)出場選手'!$B$2,$A322,J$1)))</f>
        <v/>
      </c>
      <c r="K322" s="26" t="str">
        <f ca="1">IF($D322="","",TRIM(ASC(IF(OFFSET('(2)出場選手'!$B$2,$A322,K$1)="",'(1)鑑'!$E$7,OFFSET('(2)出場選手'!$B$2,$A322,K$1)))))</f>
        <v/>
      </c>
      <c r="L322" s="26" t="str">
        <f ca="1">IF($D322="","",SUBSTITUTE(SUBSTITUTE(SUBSTITUTE(IF(OFFSET('(2)出場選手'!$B$2,$A322,L$1)="",'(1)鑑'!$E$8,OFFSET('(2)出場選手'!$B$2,$A322,L$1)),"県",""),"府",""),"東京都","東京"))</f>
        <v/>
      </c>
      <c r="M322" s="57" t="str">
        <f ca="1">IF($D322="","",IF(OFFSET('(2)出場選手'!$B$2,$A322,M$1)="","",OFFSET('(2)出場選手'!$B$2,$A322,M$1)))</f>
        <v/>
      </c>
      <c r="N322" s="26" t="str">
        <f ca="1">IF($D322="","",OFFSET('(2)出場選手'!$B$2,$A322,N$1+3*$B322))</f>
        <v/>
      </c>
      <c r="O322" s="26" t="str">
        <f ca="1">IF($D322="","",IF(OFFSET('(2)出場選手'!$B$2,$A322,O$1+3*$B322)="","",OFFSET('(2)出場選手'!$B$2,$A322,O$1+3*$B322)))</f>
        <v/>
      </c>
      <c r="P322" s="26" t="str">
        <f ca="1">IF($D322="","",IF(OFFSET('(2)出場選手'!$B$2,$A322,P$1+3*$B322)="","",OFFSET('(2)出場選手'!$B$2,$A322,P$1+3*$B322)))</f>
        <v/>
      </c>
      <c r="Q322" s="43" t="str">
        <f ca="1">IF(D322="","",VLOOKUP(N322,OFFSET(Competition_Events,0,1),11,FALSE)*IF($S322="リレー",IF(COUNTIF($T$3:$T322,$T322)&gt;1,0,1),1))</f>
        <v/>
      </c>
      <c r="R322" s="26" t="str">
        <f t="shared" ca="1" si="20"/>
        <v/>
      </c>
      <c r="S322" s="26" t="str">
        <f t="shared" ca="1" si="21"/>
        <v/>
      </c>
      <c r="T322" s="26" t="str">
        <f t="shared" ca="1" si="22"/>
        <v/>
      </c>
      <c r="U322" s="26" t="str">
        <f t="shared" ca="1" si="27"/>
        <v/>
      </c>
      <c r="W322" s="17" t="str">
        <f ca="1">IF($D322="","",OFFSET('(2)出場選手'!$B$2,$A322,W$1))</f>
        <v/>
      </c>
      <c r="X322" s="17" t="str">
        <f ca="1">IF($D322="","",OFFSET('(2)出場選手'!$B$2,$A322,X$1))</f>
        <v/>
      </c>
      <c r="Y322" s="17" t="str">
        <f ca="1">IF($D322="","",OFFSET('(2)出場選手'!$B$2,$A322,Y$1))</f>
        <v/>
      </c>
      <c r="Z322" s="17" t="str">
        <f ca="1">IF($D322="","",OFFSET('(2)出場選手'!$B$2,$A322,Z$1))</f>
        <v/>
      </c>
    </row>
    <row r="323" spans="1:26" x14ac:dyDescent="0.15">
      <c r="A323" s="17">
        <f>TRUNC((ROWS($D$3:D323)-2)/Max_Entry_Count)+1</f>
        <v>107</v>
      </c>
      <c r="B323" s="17" t="str">
        <f ca="1">IF($A323&gt;=ROWS(Entries)-2,"",IF(OFFSET('(2)出場選手'!$B$2,$A323,B$1+3*(MOD(ROWS($D$3:D323)-2,Max_Entry_Count)))="","",MOD(ROWS($D$3:D323)-2,Max_Entry_Count)))</f>
        <v/>
      </c>
      <c r="D323" s="26" t="str">
        <f ca="1">IF(OR($A323&gt;=ROWS(Entries)-2,$B323=""),"",'(1)鑑'!$E$6&amp;"-"&amp;OFFSET('(2)出場選手'!$B$2,$A323,D$1))</f>
        <v/>
      </c>
      <c r="E323" s="26" t="str">
        <f ca="1">IF($D323="","",OFFSET('(2)出場選手'!$B$2,$A323,E$1))</f>
        <v/>
      </c>
      <c r="F323" s="26" t="str">
        <f ca="1">IF($D323="","",IF(OFFSET('(2)出場選手'!$B$2,$A323,F$1)="","",OFFSET('(2)出場選手'!$B$2,$A323,F$1)))</f>
        <v/>
      </c>
      <c r="G323" s="26" t="str">
        <f t="shared" ca="1" si="18"/>
        <v/>
      </c>
      <c r="H323" s="26" t="str">
        <f t="shared" ca="1" si="26"/>
        <v/>
      </c>
      <c r="I323" s="26" t="str">
        <f ca="1">IF($D323="","",IF(OFFSET('(2)出場選手'!$B$2,$A323,I$1)="","",OFFSET('(2)出場選手'!$B$2,$A323,I$1)))</f>
        <v/>
      </c>
      <c r="J323" s="26" t="str">
        <f ca="1">IF($D323="","",IF(OFFSET('(2)出場選手'!$B$2,$A323,J$1)="",'(1)鑑'!$E$6,OFFSET('(2)出場選手'!$B$2,$A323,J$1)))</f>
        <v/>
      </c>
      <c r="K323" s="26" t="str">
        <f ca="1">IF($D323="","",TRIM(ASC(IF(OFFSET('(2)出場選手'!$B$2,$A323,K$1)="",'(1)鑑'!$E$7,OFFSET('(2)出場選手'!$B$2,$A323,K$1)))))</f>
        <v/>
      </c>
      <c r="L323" s="26" t="str">
        <f ca="1">IF($D323="","",SUBSTITUTE(SUBSTITUTE(SUBSTITUTE(IF(OFFSET('(2)出場選手'!$B$2,$A323,L$1)="",'(1)鑑'!$E$8,OFFSET('(2)出場選手'!$B$2,$A323,L$1)),"県",""),"府",""),"東京都","東京"))</f>
        <v/>
      </c>
      <c r="M323" s="57" t="str">
        <f ca="1">IF($D323="","",IF(OFFSET('(2)出場選手'!$B$2,$A323,M$1)="","",OFFSET('(2)出場選手'!$B$2,$A323,M$1)))</f>
        <v/>
      </c>
      <c r="N323" s="26" t="str">
        <f ca="1">IF($D323="","",OFFSET('(2)出場選手'!$B$2,$A323,N$1+3*$B323))</f>
        <v/>
      </c>
      <c r="O323" s="26" t="str">
        <f ca="1">IF($D323="","",IF(OFFSET('(2)出場選手'!$B$2,$A323,O$1+3*$B323)="","",OFFSET('(2)出場選手'!$B$2,$A323,O$1+3*$B323)))</f>
        <v/>
      </c>
      <c r="P323" s="26" t="str">
        <f ca="1">IF($D323="","",IF(OFFSET('(2)出場選手'!$B$2,$A323,P$1+3*$B323)="","",OFFSET('(2)出場選手'!$B$2,$A323,P$1+3*$B323)))</f>
        <v/>
      </c>
      <c r="Q323" s="43" t="str">
        <f ca="1">IF(D323="","",VLOOKUP(N323,OFFSET(Competition_Events,0,1),11,FALSE)*IF($S323="リレー",IF(COUNTIF($T$3:$T323,$T323)&gt;1,0,1),1))</f>
        <v/>
      </c>
      <c r="R323" s="26" t="str">
        <f t="shared" ca="1" si="20"/>
        <v/>
      </c>
      <c r="S323" s="26" t="str">
        <f t="shared" ca="1" si="21"/>
        <v/>
      </c>
      <c r="T323" s="26" t="str">
        <f t="shared" ca="1" si="22"/>
        <v/>
      </c>
      <c r="U323" s="26" t="str">
        <f t="shared" ca="1" si="27"/>
        <v/>
      </c>
      <c r="W323" s="17" t="str">
        <f ca="1">IF($D323="","",OFFSET('(2)出場選手'!$B$2,$A323,W$1))</f>
        <v/>
      </c>
      <c r="X323" s="17" t="str">
        <f ca="1">IF($D323="","",OFFSET('(2)出場選手'!$B$2,$A323,X$1))</f>
        <v/>
      </c>
      <c r="Y323" s="17" t="str">
        <f ca="1">IF($D323="","",OFFSET('(2)出場選手'!$B$2,$A323,Y$1))</f>
        <v/>
      </c>
      <c r="Z323" s="17" t="str">
        <f ca="1">IF($D323="","",OFFSET('(2)出場選手'!$B$2,$A323,Z$1))</f>
        <v/>
      </c>
    </row>
    <row r="324" spans="1:26" x14ac:dyDescent="0.15">
      <c r="A324" s="17">
        <f>TRUNC((ROWS($D$3:D324)-2)/Max_Entry_Count)+1</f>
        <v>107</v>
      </c>
      <c r="B324" s="17" t="str">
        <f ca="1">IF($A324&gt;=ROWS(Entries)-2,"",IF(OFFSET('(2)出場選手'!$B$2,$A324,B$1+3*(MOD(ROWS($D$3:D324)-2,Max_Entry_Count)))="","",MOD(ROWS($D$3:D324)-2,Max_Entry_Count)))</f>
        <v/>
      </c>
      <c r="D324" s="26" t="str">
        <f ca="1">IF(OR($A324&gt;=ROWS(Entries)-2,$B324=""),"",'(1)鑑'!$E$6&amp;"-"&amp;OFFSET('(2)出場選手'!$B$2,$A324,D$1))</f>
        <v/>
      </c>
      <c r="E324" s="26" t="str">
        <f ca="1">IF($D324="","",OFFSET('(2)出場選手'!$B$2,$A324,E$1))</f>
        <v/>
      </c>
      <c r="F324" s="26" t="str">
        <f ca="1">IF($D324="","",IF(OFFSET('(2)出場選手'!$B$2,$A324,F$1)="","",OFFSET('(2)出場選手'!$B$2,$A324,F$1)))</f>
        <v/>
      </c>
      <c r="G324" s="26" t="str">
        <f t="shared" ca="1" si="18"/>
        <v/>
      </c>
      <c r="H324" s="26" t="str">
        <f t="shared" ref="H324:H387" ca="1" si="28">IF($D324="","",ASC(TRIM($Y324)&amp;"　"&amp;TRIM($Z324)))</f>
        <v/>
      </c>
      <c r="I324" s="26" t="str">
        <f ca="1">IF($D324="","",IF(OFFSET('(2)出場選手'!$B$2,$A324,I$1)="","",OFFSET('(2)出場選手'!$B$2,$A324,I$1)))</f>
        <v/>
      </c>
      <c r="J324" s="26" t="str">
        <f ca="1">IF($D324="","",IF(OFFSET('(2)出場選手'!$B$2,$A324,J$1)="",'(1)鑑'!$E$6,OFFSET('(2)出場選手'!$B$2,$A324,J$1)))</f>
        <v/>
      </c>
      <c r="K324" s="26" t="str">
        <f ca="1">IF($D324="","",TRIM(ASC(IF(OFFSET('(2)出場選手'!$B$2,$A324,K$1)="",'(1)鑑'!$E$7,OFFSET('(2)出場選手'!$B$2,$A324,K$1)))))</f>
        <v/>
      </c>
      <c r="L324" s="26" t="str">
        <f ca="1">IF($D324="","",SUBSTITUTE(SUBSTITUTE(SUBSTITUTE(IF(OFFSET('(2)出場選手'!$B$2,$A324,L$1)="",'(1)鑑'!$E$8,OFFSET('(2)出場選手'!$B$2,$A324,L$1)),"県",""),"府",""),"東京都","東京"))</f>
        <v/>
      </c>
      <c r="M324" s="57" t="str">
        <f ca="1">IF($D324="","",IF(OFFSET('(2)出場選手'!$B$2,$A324,M$1)="","",OFFSET('(2)出場選手'!$B$2,$A324,M$1)))</f>
        <v/>
      </c>
      <c r="N324" s="26" t="str">
        <f ca="1">IF($D324="","",OFFSET('(2)出場選手'!$B$2,$A324,N$1+3*$B324))</f>
        <v/>
      </c>
      <c r="O324" s="26" t="str">
        <f ca="1">IF($D324="","",IF(OFFSET('(2)出場選手'!$B$2,$A324,O$1+3*$B324)="","",OFFSET('(2)出場選手'!$B$2,$A324,O$1+3*$B324)))</f>
        <v/>
      </c>
      <c r="P324" s="26" t="str">
        <f ca="1">IF($D324="","",IF(OFFSET('(2)出場選手'!$B$2,$A324,P$1+3*$B324)="","",OFFSET('(2)出場選手'!$B$2,$A324,P$1+3*$B324)))</f>
        <v/>
      </c>
      <c r="Q324" s="43" t="str">
        <f ca="1">IF(D324="","",VLOOKUP(N324,OFFSET(Competition_Events,0,1),11,FALSE)*IF($S324="リレー",IF(COUNTIF($T$3:$T324,$T324)&gt;1,0,1),1))</f>
        <v/>
      </c>
      <c r="R324" s="26" t="str">
        <f t="shared" ca="1" si="20"/>
        <v/>
      </c>
      <c r="S324" s="26" t="str">
        <f t="shared" ca="1" si="21"/>
        <v/>
      </c>
      <c r="T324" s="26" t="str">
        <f t="shared" ca="1" si="22"/>
        <v/>
      </c>
      <c r="U324" s="26" t="str">
        <f t="shared" ca="1" si="27"/>
        <v/>
      </c>
      <c r="W324" s="17" t="str">
        <f ca="1">IF($D324="","",OFFSET('(2)出場選手'!$B$2,$A324,W$1))</f>
        <v/>
      </c>
      <c r="X324" s="17" t="str">
        <f ca="1">IF($D324="","",OFFSET('(2)出場選手'!$B$2,$A324,X$1))</f>
        <v/>
      </c>
      <c r="Y324" s="17" t="str">
        <f ca="1">IF($D324="","",OFFSET('(2)出場選手'!$B$2,$A324,Y$1))</f>
        <v/>
      </c>
      <c r="Z324" s="17" t="str">
        <f ca="1">IF($D324="","",OFFSET('(2)出場選手'!$B$2,$A324,Z$1))</f>
        <v/>
      </c>
    </row>
    <row r="325" spans="1:26" x14ac:dyDescent="0.15">
      <c r="A325" s="17">
        <f>TRUNC((ROWS($D$3:D325)-2)/Max_Entry_Count)+1</f>
        <v>108</v>
      </c>
      <c r="B325" s="17" t="str">
        <f ca="1">IF($A325&gt;=ROWS(Entries)-2,"",IF(OFFSET('(2)出場選手'!$B$2,$A325,B$1+3*(MOD(ROWS($D$3:D325)-2,Max_Entry_Count)))="","",MOD(ROWS($D$3:D325)-2,Max_Entry_Count)))</f>
        <v/>
      </c>
      <c r="D325" s="26" t="str">
        <f ca="1">IF(OR($A325&gt;=ROWS(Entries)-2,$B325=""),"",'(1)鑑'!$E$6&amp;"-"&amp;OFFSET('(2)出場選手'!$B$2,$A325,D$1))</f>
        <v/>
      </c>
      <c r="E325" s="26" t="str">
        <f ca="1">IF($D325="","",OFFSET('(2)出場選手'!$B$2,$A325,E$1))</f>
        <v/>
      </c>
      <c r="F325" s="26" t="str">
        <f ca="1">IF($D325="","",IF(OFFSET('(2)出場選手'!$B$2,$A325,F$1)="","",OFFSET('(2)出場選手'!$B$2,$A325,F$1)))</f>
        <v/>
      </c>
      <c r="G325" s="26" t="str">
        <f t="shared" ca="1" si="18"/>
        <v/>
      </c>
      <c r="H325" s="26" t="str">
        <f t="shared" ca="1" si="28"/>
        <v/>
      </c>
      <c r="I325" s="26" t="str">
        <f ca="1">IF($D325="","",IF(OFFSET('(2)出場選手'!$B$2,$A325,I$1)="","",OFFSET('(2)出場選手'!$B$2,$A325,I$1)))</f>
        <v/>
      </c>
      <c r="J325" s="26" t="str">
        <f ca="1">IF($D325="","",IF(OFFSET('(2)出場選手'!$B$2,$A325,J$1)="",'(1)鑑'!$E$6,OFFSET('(2)出場選手'!$B$2,$A325,J$1)))</f>
        <v/>
      </c>
      <c r="K325" s="26" t="str">
        <f ca="1">IF($D325="","",TRIM(ASC(IF(OFFSET('(2)出場選手'!$B$2,$A325,K$1)="",'(1)鑑'!$E$7,OFFSET('(2)出場選手'!$B$2,$A325,K$1)))))</f>
        <v/>
      </c>
      <c r="L325" s="26" t="str">
        <f ca="1">IF($D325="","",SUBSTITUTE(SUBSTITUTE(SUBSTITUTE(IF(OFFSET('(2)出場選手'!$B$2,$A325,L$1)="",'(1)鑑'!$E$8,OFFSET('(2)出場選手'!$B$2,$A325,L$1)),"県",""),"府",""),"東京都","東京"))</f>
        <v/>
      </c>
      <c r="M325" s="57" t="str">
        <f ca="1">IF($D325="","",IF(OFFSET('(2)出場選手'!$B$2,$A325,M$1)="","",OFFSET('(2)出場選手'!$B$2,$A325,M$1)))</f>
        <v/>
      </c>
      <c r="N325" s="26" t="str">
        <f ca="1">IF($D325="","",OFFSET('(2)出場選手'!$B$2,$A325,N$1+3*$B325))</f>
        <v/>
      </c>
      <c r="O325" s="26" t="str">
        <f ca="1">IF($D325="","",IF(OFFSET('(2)出場選手'!$B$2,$A325,O$1+3*$B325)="","",OFFSET('(2)出場選手'!$B$2,$A325,O$1+3*$B325)))</f>
        <v/>
      </c>
      <c r="P325" s="26" t="str">
        <f ca="1">IF($D325="","",IF(OFFSET('(2)出場選手'!$B$2,$A325,P$1+3*$B325)="","",OFFSET('(2)出場選手'!$B$2,$A325,P$1+3*$B325)))</f>
        <v/>
      </c>
      <c r="Q325" s="43" t="str">
        <f ca="1">IF(D325="","",VLOOKUP(N325,OFFSET(Competition_Events,0,1),11,FALSE)*IF($S325="リレー",IF(COUNTIF($T$3:$T325,$T325)&gt;1,0,1),1))</f>
        <v/>
      </c>
      <c r="R325" s="26" t="str">
        <f t="shared" ca="1" si="20"/>
        <v/>
      </c>
      <c r="S325" s="26" t="str">
        <f t="shared" ca="1" si="21"/>
        <v/>
      </c>
      <c r="T325" s="26" t="str">
        <f t="shared" ca="1" si="22"/>
        <v/>
      </c>
      <c r="U325" s="26" t="str">
        <f t="shared" ca="1" si="27"/>
        <v/>
      </c>
      <c r="W325" s="17" t="str">
        <f ca="1">IF($D325="","",OFFSET('(2)出場選手'!$B$2,$A325,W$1))</f>
        <v/>
      </c>
      <c r="X325" s="17" t="str">
        <f ca="1">IF($D325="","",OFFSET('(2)出場選手'!$B$2,$A325,X$1))</f>
        <v/>
      </c>
      <c r="Y325" s="17" t="str">
        <f ca="1">IF($D325="","",OFFSET('(2)出場選手'!$B$2,$A325,Y$1))</f>
        <v/>
      </c>
      <c r="Z325" s="17" t="str">
        <f ca="1">IF($D325="","",OFFSET('(2)出場選手'!$B$2,$A325,Z$1))</f>
        <v/>
      </c>
    </row>
    <row r="326" spans="1:26" x14ac:dyDescent="0.15">
      <c r="A326" s="17">
        <f>TRUNC((ROWS($D$3:D326)-2)/Max_Entry_Count)+1</f>
        <v>108</v>
      </c>
      <c r="B326" s="17" t="str">
        <f ca="1">IF($A326&gt;=ROWS(Entries)-2,"",IF(OFFSET('(2)出場選手'!$B$2,$A326,B$1+3*(MOD(ROWS($D$3:D326)-2,Max_Entry_Count)))="","",MOD(ROWS($D$3:D326)-2,Max_Entry_Count)))</f>
        <v/>
      </c>
      <c r="D326" s="26" t="str">
        <f ca="1">IF(OR($A326&gt;=ROWS(Entries)-2,$B326=""),"",'(1)鑑'!$E$6&amp;"-"&amp;OFFSET('(2)出場選手'!$B$2,$A326,D$1))</f>
        <v/>
      </c>
      <c r="E326" s="26" t="str">
        <f ca="1">IF($D326="","",OFFSET('(2)出場選手'!$B$2,$A326,E$1))</f>
        <v/>
      </c>
      <c r="F326" s="26" t="str">
        <f ca="1">IF($D326="","",IF(OFFSET('(2)出場選手'!$B$2,$A326,F$1)="","",OFFSET('(2)出場選手'!$B$2,$A326,F$1)))</f>
        <v/>
      </c>
      <c r="G326" s="26" t="str">
        <f t="shared" ca="1" si="18"/>
        <v/>
      </c>
      <c r="H326" s="26" t="str">
        <f t="shared" ca="1" si="28"/>
        <v/>
      </c>
      <c r="I326" s="26" t="str">
        <f ca="1">IF($D326="","",IF(OFFSET('(2)出場選手'!$B$2,$A326,I$1)="","",OFFSET('(2)出場選手'!$B$2,$A326,I$1)))</f>
        <v/>
      </c>
      <c r="J326" s="26" t="str">
        <f ca="1">IF($D326="","",IF(OFFSET('(2)出場選手'!$B$2,$A326,J$1)="",'(1)鑑'!$E$6,OFFSET('(2)出場選手'!$B$2,$A326,J$1)))</f>
        <v/>
      </c>
      <c r="K326" s="26" t="str">
        <f ca="1">IF($D326="","",TRIM(ASC(IF(OFFSET('(2)出場選手'!$B$2,$A326,K$1)="",'(1)鑑'!$E$7,OFFSET('(2)出場選手'!$B$2,$A326,K$1)))))</f>
        <v/>
      </c>
      <c r="L326" s="26" t="str">
        <f ca="1">IF($D326="","",SUBSTITUTE(SUBSTITUTE(SUBSTITUTE(IF(OFFSET('(2)出場選手'!$B$2,$A326,L$1)="",'(1)鑑'!$E$8,OFFSET('(2)出場選手'!$B$2,$A326,L$1)),"県",""),"府",""),"東京都","東京"))</f>
        <v/>
      </c>
      <c r="M326" s="57" t="str">
        <f ca="1">IF($D326="","",IF(OFFSET('(2)出場選手'!$B$2,$A326,M$1)="","",OFFSET('(2)出場選手'!$B$2,$A326,M$1)))</f>
        <v/>
      </c>
      <c r="N326" s="26" t="str">
        <f ca="1">IF($D326="","",OFFSET('(2)出場選手'!$B$2,$A326,N$1+3*$B326))</f>
        <v/>
      </c>
      <c r="O326" s="26" t="str">
        <f ca="1">IF($D326="","",IF(OFFSET('(2)出場選手'!$B$2,$A326,O$1+3*$B326)="","",OFFSET('(2)出場選手'!$B$2,$A326,O$1+3*$B326)))</f>
        <v/>
      </c>
      <c r="P326" s="26" t="str">
        <f ca="1">IF($D326="","",IF(OFFSET('(2)出場選手'!$B$2,$A326,P$1+3*$B326)="","",OFFSET('(2)出場選手'!$B$2,$A326,P$1+3*$B326)))</f>
        <v/>
      </c>
      <c r="Q326" s="43" t="str">
        <f ca="1">IF(D326="","",VLOOKUP(N326,OFFSET(Competition_Events,0,1),11,FALSE)*IF($S326="リレー",IF(COUNTIF($T$3:$T326,$T326)&gt;1,0,1),1))</f>
        <v/>
      </c>
      <c r="R326" s="26" t="str">
        <f t="shared" ca="1" si="20"/>
        <v/>
      </c>
      <c r="S326" s="26" t="str">
        <f t="shared" ca="1" si="21"/>
        <v/>
      </c>
      <c r="T326" s="26" t="str">
        <f t="shared" ca="1" si="22"/>
        <v/>
      </c>
      <c r="U326" s="26" t="str">
        <f t="shared" ca="1" si="27"/>
        <v/>
      </c>
      <c r="W326" s="17" t="str">
        <f ca="1">IF($D326="","",OFFSET('(2)出場選手'!$B$2,$A326,W$1))</f>
        <v/>
      </c>
      <c r="X326" s="17" t="str">
        <f ca="1">IF($D326="","",OFFSET('(2)出場選手'!$B$2,$A326,X$1))</f>
        <v/>
      </c>
      <c r="Y326" s="17" t="str">
        <f ca="1">IF($D326="","",OFFSET('(2)出場選手'!$B$2,$A326,Y$1))</f>
        <v/>
      </c>
      <c r="Z326" s="17" t="str">
        <f ca="1">IF($D326="","",OFFSET('(2)出場選手'!$B$2,$A326,Z$1))</f>
        <v/>
      </c>
    </row>
    <row r="327" spans="1:26" x14ac:dyDescent="0.15">
      <c r="A327" s="17">
        <f>TRUNC((ROWS($D$3:D327)-2)/Max_Entry_Count)+1</f>
        <v>108</v>
      </c>
      <c r="B327" s="17" t="str">
        <f ca="1">IF($A327&gt;=ROWS(Entries)-2,"",IF(OFFSET('(2)出場選手'!$B$2,$A327,B$1+3*(MOD(ROWS($D$3:D327)-2,Max_Entry_Count)))="","",MOD(ROWS($D$3:D327)-2,Max_Entry_Count)))</f>
        <v/>
      </c>
      <c r="D327" s="26" t="str">
        <f ca="1">IF(OR($A327&gt;=ROWS(Entries)-2,$B327=""),"",'(1)鑑'!$E$6&amp;"-"&amp;OFFSET('(2)出場選手'!$B$2,$A327,D$1))</f>
        <v/>
      </c>
      <c r="E327" s="26" t="str">
        <f ca="1">IF($D327="","",OFFSET('(2)出場選手'!$B$2,$A327,E$1))</f>
        <v/>
      </c>
      <c r="F327" s="26" t="str">
        <f ca="1">IF($D327="","",IF(OFFSET('(2)出場選手'!$B$2,$A327,F$1)="","",OFFSET('(2)出場選手'!$B$2,$A327,F$1)))</f>
        <v/>
      </c>
      <c r="G327" s="26" t="str">
        <f t="shared" ca="1" si="18"/>
        <v/>
      </c>
      <c r="H327" s="26" t="str">
        <f t="shared" ca="1" si="28"/>
        <v/>
      </c>
      <c r="I327" s="26" t="str">
        <f ca="1">IF($D327="","",IF(OFFSET('(2)出場選手'!$B$2,$A327,I$1)="","",OFFSET('(2)出場選手'!$B$2,$A327,I$1)))</f>
        <v/>
      </c>
      <c r="J327" s="26" t="str">
        <f ca="1">IF($D327="","",IF(OFFSET('(2)出場選手'!$B$2,$A327,J$1)="",'(1)鑑'!$E$6,OFFSET('(2)出場選手'!$B$2,$A327,J$1)))</f>
        <v/>
      </c>
      <c r="K327" s="26" t="str">
        <f ca="1">IF($D327="","",TRIM(ASC(IF(OFFSET('(2)出場選手'!$B$2,$A327,K$1)="",'(1)鑑'!$E$7,OFFSET('(2)出場選手'!$B$2,$A327,K$1)))))</f>
        <v/>
      </c>
      <c r="L327" s="26" t="str">
        <f ca="1">IF($D327="","",SUBSTITUTE(SUBSTITUTE(SUBSTITUTE(IF(OFFSET('(2)出場選手'!$B$2,$A327,L$1)="",'(1)鑑'!$E$8,OFFSET('(2)出場選手'!$B$2,$A327,L$1)),"県",""),"府",""),"東京都","東京"))</f>
        <v/>
      </c>
      <c r="M327" s="57" t="str">
        <f ca="1">IF($D327="","",IF(OFFSET('(2)出場選手'!$B$2,$A327,M$1)="","",OFFSET('(2)出場選手'!$B$2,$A327,M$1)))</f>
        <v/>
      </c>
      <c r="N327" s="26" t="str">
        <f ca="1">IF($D327="","",OFFSET('(2)出場選手'!$B$2,$A327,N$1+3*$B327))</f>
        <v/>
      </c>
      <c r="O327" s="26" t="str">
        <f ca="1">IF($D327="","",IF(OFFSET('(2)出場選手'!$B$2,$A327,O$1+3*$B327)="","",OFFSET('(2)出場選手'!$B$2,$A327,O$1+3*$B327)))</f>
        <v/>
      </c>
      <c r="P327" s="26" t="str">
        <f ca="1">IF($D327="","",IF(OFFSET('(2)出場選手'!$B$2,$A327,P$1+3*$B327)="","",OFFSET('(2)出場選手'!$B$2,$A327,P$1+3*$B327)))</f>
        <v/>
      </c>
      <c r="Q327" s="43" t="str">
        <f ca="1">IF(D327="","",VLOOKUP(N327,OFFSET(Competition_Events,0,1),11,FALSE)*IF($S327="リレー",IF(COUNTIF($T$3:$T327,$T327)&gt;1,0,1),1))</f>
        <v/>
      </c>
      <c r="R327" s="26" t="str">
        <f t="shared" ca="1" si="20"/>
        <v/>
      </c>
      <c r="S327" s="26" t="str">
        <f t="shared" ca="1" si="21"/>
        <v/>
      </c>
      <c r="T327" s="26" t="str">
        <f t="shared" ca="1" si="22"/>
        <v/>
      </c>
      <c r="U327" s="26" t="str">
        <f t="shared" ca="1" si="27"/>
        <v/>
      </c>
      <c r="W327" s="17" t="str">
        <f ca="1">IF($D327="","",OFFSET('(2)出場選手'!$B$2,$A327,W$1))</f>
        <v/>
      </c>
      <c r="X327" s="17" t="str">
        <f ca="1">IF($D327="","",OFFSET('(2)出場選手'!$B$2,$A327,X$1))</f>
        <v/>
      </c>
      <c r="Y327" s="17" t="str">
        <f ca="1">IF($D327="","",OFFSET('(2)出場選手'!$B$2,$A327,Y$1))</f>
        <v/>
      </c>
      <c r="Z327" s="17" t="str">
        <f ca="1">IF($D327="","",OFFSET('(2)出場選手'!$B$2,$A327,Z$1))</f>
        <v/>
      </c>
    </row>
    <row r="328" spans="1:26" x14ac:dyDescent="0.15">
      <c r="A328" s="17">
        <f>TRUNC((ROWS($D$3:D328)-2)/Max_Entry_Count)+1</f>
        <v>109</v>
      </c>
      <c r="B328" s="17" t="str">
        <f ca="1">IF($A328&gt;=ROWS(Entries)-2,"",IF(OFFSET('(2)出場選手'!$B$2,$A328,B$1+3*(MOD(ROWS($D$3:D328)-2,Max_Entry_Count)))="","",MOD(ROWS($D$3:D328)-2,Max_Entry_Count)))</f>
        <v/>
      </c>
      <c r="D328" s="26" t="str">
        <f ca="1">IF(OR($A328&gt;=ROWS(Entries)-2,$B328=""),"",'(1)鑑'!$E$6&amp;"-"&amp;OFFSET('(2)出場選手'!$B$2,$A328,D$1))</f>
        <v/>
      </c>
      <c r="E328" s="26" t="str">
        <f ca="1">IF($D328="","",OFFSET('(2)出場選手'!$B$2,$A328,E$1))</f>
        <v/>
      </c>
      <c r="F328" s="26" t="str">
        <f ca="1">IF($D328="","",IF(OFFSET('(2)出場選手'!$B$2,$A328,F$1)="","",OFFSET('(2)出場選手'!$B$2,$A328,F$1)))</f>
        <v/>
      </c>
      <c r="G328" s="26" t="str">
        <f t="shared" ca="1" si="18"/>
        <v/>
      </c>
      <c r="H328" s="26" t="str">
        <f t="shared" ca="1" si="28"/>
        <v/>
      </c>
      <c r="I328" s="26" t="str">
        <f ca="1">IF($D328="","",IF(OFFSET('(2)出場選手'!$B$2,$A328,I$1)="","",OFFSET('(2)出場選手'!$B$2,$A328,I$1)))</f>
        <v/>
      </c>
      <c r="J328" s="26" t="str">
        <f ca="1">IF($D328="","",IF(OFFSET('(2)出場選手'!$B$2,$A328,J$1)="",'(1)鑑'!$E$6,OFFSET('(2)出場選手'!$B$2,$A328,J$1)))</f>
        <v/>
      </c>
      <c r="K328" s="26" t="str">
        <f ca="1">IF($D328="","",TRIM(ASC(IF(OFFSET('(2)出場選手'!$B$2,$A328,K$1)="",'(1)鑑'!$E$7,OFFSET('(2)出場選手'!$B$2,$A328,K$1)))))</f>
        <v/>
      </c>
      <c r="L328" s="26" t="str">
        <f ca="1">IF($D328="","",SUBSTITUTE(SUBSTITUTE(SUBSTITUTE(IF(OFFSET('(2)出場選手'!$B$2,$A328,L$1)="",'(1)鑑'!$E$8,OFFSET('(2)出場選手'!$B$2,$A328,L$1)),"県",""),"府",""),"東京都","東京"))</f>
        <v/>
      </c>
      <c r="M328" s="57" t="str">
        <f ca="1">IF($D328="","",IF(OFFSET('(2)出場選手'!$B$2,$A328,M$1)="","",OFFSET('(2)出場選手'!$B$2,$A328,M$1)))</f>
        <v/>
      </c>
      <c r="N328" s="26" t="str">
        <f ca="1">IF($D328="","",OFFSET('(2)出場選手'!$B$2,$A328,N$1+3*$B328))</f>
        <v/>
      </c>
      <c r="O328" s="26" t="str">
        <f ca="1">IF($D328="","",IF(OFFSET('(2)出場選手'!$B$2,$A328,O$1+3*$B328)="","",OFFSET('(2)出場選手'!$B$2,$A328,O$1+3*$B328)))</f>
        <v/>
      </c>
      <c r="P328" s="26" t="str">
        <f ca="1">IF($D328="","",IF(OFFSET('(2)出場選手'!$B$2,$A328,P$1+3*$B328)="","",OFFSET('(2)出場選手'!$B$2,$A328,P$1+3*$B328)))</f>
        <v/>
      </c>
      <c r="Q328" s="43" t="str">
        <f ca="1">IF(D328="","",VLOOKUP(N328,OFFSET(Competition_Events,0,1),11,FALSE)*IF($S328="リレー",IF(COUNTIF($T$3:$T328,$T328)&gt;1,0,1),1))</f>
        <v/>
      </c>
      <c r="R328" s="26" t="str">
        <f t="shared" ca="1" si="20"/>
        <v/>
      </c>
      <c r="S328" s="26" t="str">
        <f t="shared" ca="1" si="21"/>
        <v/>
      </c>
      <c r="T328" s="26" t="str">
        <f t="shared" ca="1" si="22"/>
        <v/>
      </c>
      <c r="U328" s="26" t="str">
        <f t="shared" ca="1" si="27"/>
        <v/>
      </c>
      <c r="W328" s="17" t="str">
        <f ca="1">IF($D328="","",OFFSET('(2)出場選手'!$B$2,$A328,W$1))</f>
        <v/>
      </c>
      <c r="X328" s="17" t="str">
        <f ca="1">IF($D328="","",OFFSET('(2)出場選手'!$B$2,$A328,X$1))</f>
        <v/>
      </c>
      <c r="Y328" s="17" t="str">
        <f ca="1">IF($D328="","",OFFSET('(2)出場選手'!$B$2,$A328,Y$1))</f>
        <v/>
      </c>
      <c r="Z328" s="17" t="str">
        <f ca="1">IF($D328="","",OFFSET('(2)出場選手'!$B$2,$A328,Z$1))</f>
        <v/>
      </c>
    </row>
    <row r="329" spans="1:26" x14ac:dyDescent="0.15">
      <c r="A329" s="17">
        <f>TRUNC((ROWS($D$3:D329)-2)/Max_Entry_Count)+1</f>
        <v>109</v>
      </c>
      <c r="B329" s="17" t="str">
        <f ca="1">IF($A329&gt;=ROWS(Entries)-2,"",IF(OFFSET('(2)出場選手'!$B$2,$A329,B$1+3*(MOD(ROWS($D$3:D329)-2,Max_Entry_Count)))="","",MOD(ROWS($D$3:D329)-2,Max_Entry_Count)))</f>
        <v/>
      </c>
      <c r="D329" s="26" t="str">
        <f ca="1">IF(OR($A329&gt;=ROWS(Entries)-2,$B329=""),"",'(1)鑑'!$E$6&amp;"-"&amp;OFFSET('(2)出場選手'!$B$2,$A329,D$1))</f>
        <v/>
      </c>
      <c r="E329" s="26" t="str">
        <f ca="1">IF($D329="","",OFFSET('(2)出場選手'!$B$2,$A329,E$1))</f>
        <v/>
      </c>
      <c r="F329" s="26" t="str">
        <f ca="1">IF($D329="","",IF(OFFSET('(2)出場選手'!$B$2,$A329,F$1)="","",OFFSET('(2)出場選手'!$B$2,$A329,F$1)))</f>
        <v/>
      </c>
      <c r="G329" s="26" t="str">
        <f t="shared" ca="1" si="18"/>
        <v/>
      </c>
      <c r="H329" s="26" t="str">
        <f t="shared" ca="1" si="28"/>
        <v/>
      </c>
      <c r="I329" s="26" t="str">
        <f ca="1">IF($D329="","",IF(OFFSET('(2)出場選手'!$B$2,$A329,I$1)="","",OFFSET('(2)出場選手'!$B$2,$A329,I$1)))</f>
        <v/>
      </c>
      <c r="J329" s="26" t="str">
        <f ca="1">IF($D329="","",IF(OFFSET('(2)出場選手'!$B$2,$A329,J$1)="",'(1)鑑'!$E$6,OFFSET('(2)出場選手'!$B$2,$A329,J$1)))</f>
        <v/>
      </c>
      <c r="K329" s="26" t="str">
        <f ca="1">IF($D329="","",TRIM(ASC(IF(OFFSET('(2)出場選手'!$B$2,$A329,K$1)="",'(1)鑑'!$E$7,OFFSET('(2)出場選手'!$B$2,$A329,K$1)))))</f>
        <v/>
      </c>
      <c r="L329" s="26" t="str">
        <f ca="1">IF($D329="","",SUBSTITUTE(SUBSTITUTE(SUBSTITUTE(IF(OFFSET('(2)出場選手'!$B$2,$A329,L$1)="",'(1)鑑'!$E$8,OFFSET('(2)出場選手'!$B$2,$A329,L$1)),"県",""),"府",""),"東京都","東京"))</f>
        <v/>
      </c>
      <c r="M329" s="57" t="str">
        <f ca="1">IF($D329="","",IF(OFFSET('(2)出場選手'!$B$2,$A329,M$1)="","",OFFSET('(2)出場選手'!$B$2,$A329,M$1)))</f>
        <v/>
      </c>
      <c r="N329" s="26" t="str">
        <f ca="1">IF($D329="","",OFFSET('(2)出場選手'!$B$2,$A329,N$1+3*$B329))</f>
        <v/>
      </c>
      <c r="O329" s="26" t="str">
        <f ca="1">IF($D329="","",IF(OFFSET('(2)出場選手'!$B$2,$A329,O$1+3*$B329)="","",OFFSET('(2)出場選手'!$B$2,$A329,O$1+3*$B329)))</f>
        <v/>
      </c>
      <c r="P329" s="26" t="str">
        <f ca="1">IF($D329="","",IF(OFFSET('(2)出場選手'!$B$2,$A329,P$1+3*$B329)="","",OFFSET('(2)出場選手'!$B$2,$A329,P$1+3*$B329)))</f>
        <v/>
      </c>
      <c r="Q329" s="43" t="str">
        <f ca="1">IF(D329="","",VLOOKUP(N329,OFFSET(Competition_Events,0,1),11,FALSE)*IF($S329="リレー",IF(COUNTIF($T$3:$T329,$T329)&gt;1,0,1),1))</f>
        <v/>
      </c>
      <c r="R329" s="26" t="str">
        <f t="shared" ca="1" si="20"/>
        <v/>
      </c>
      <c r="S329" s="26" t="str">
        <f t="shared" ca="1" si="21"/>
        <v/>
      </c>
      <c r="T329" s="26" t="str">
        <f t="shared" ca="1" si="22"/>
        <v/>
      </c>
      <c r="U329" s="26" t="str">
        <f t="shared" ca="1" si="27"/>
        <v/>
      </c>
      <c r="W329" s="17" t="str">
        <f ca="1">IF($D329="","",OFFSET('(2)出場選手'!$B$2,$A329,W$1))</f>
        <v/>
      </c>
      <c r="X329" s="17" t="str">
        <f ca="1">IF($D329="","",OFFSET('(2)出場選手'!$B$2,$A329,X$1))</f>
        <v/>
      </c>
      <c r="Y329" s="17" t="str">
        <f ca="1">IF($D329="","",OFFSET('(2)出場選手'!$B$2,$A329,Y$1))</f>
        <v/>
      </c>
      <c r="Z329" s="17" t="str">
        <f ca="1">IF($D329="","",OFFSET('(2)出場選手'!$B$2,$A329,Z$1))</f>
        <v/>
      </c>
    </row>
    <row r="330" spans="1:26" x14ac:dyDescent="0.15">
      <c r="A330" s="17">
        <f>TRUNC((ROWS($D$3:D330)-2)/Max_Entry_Count)+1</f>
        <v>109</v>
      </c>
      <c r="B330" s="17" t="str">
        <f ca="1">IF($A330&gt;=ROWS(Entries)-2,"",IF(OFFSET('(2)出場選手'!$B$2,$A330,B$1+3*(MOD(ROWS($D$3:D330)-2,Max_Entry_Count)))="","",MOD(ROWS($D$3:D330)-2,Max_Entry_Count)))</f>
        <v/>
      </c>
      <c r="D330" s="26" t="str">
        <f ca="1">IF(OR($A330&gt;=ROWS(Entries)-2,$B330=""),"",'(1)鑑'!$E$6&amp;"-"&amp;OFFSET('(2)出場選手'!$B$2,$A330,D$1))</f>
        <v/>
      </c>
      <c r="E330" s="26" t="str">
        <f ca="1">IF($D330="","",OFFSET('(2)出場選手'!$B$2,$A330,E$1))</f>
        <v/>
      </c>
      <c r="F330" s="26" t="str">
        <f ca="1">IF($D330="","",IF(OFFSET('(2)出場選手'!$B$2,$A330,F$1)="","",OFFSET('(2)出場選手'!$B$2,$A330,F$1)))</f>
        <v/>
      </c>
      <c r="G330" s="26" t="str">
        <f t="shared" ca="1" si="18"/>
        <v/>
      </c>
      <c r="H330" s="26" t="str">
        <f t="shared" ca="1" si="28"/>
        <v/>
      </c>
      <c r="I330" s="26" t="str">
        <f ca="1">IF($D330="","",IF(OFFSET('(2)出場選手'!$B$2,$A330,I$1)="","",OFFSET('(2)出場選手'!$B$2,$A330,I$1)))</f>
        <v/>
      </c>
      <c r="J330" s="26" t="str">
        <f ca="1">IF($D330="","",IF(OFFSET('(2)出場選手'!$B$2,$A330,J$1)="",'(1)鑑'!$E$6,OFFSET('(2)出場選手'!$B$2,$A330,J$1)))</f>
        <v/>
      </c>
      <c r="K330" s="26" t="str">
        <f ca="1">IF($D330="","",TRIM(ASC(IF(OFFSET('(2)出場選手'!$B$2,$A330,K$1)="",'(1)鑑'!$E$7,OFFSET('(2)出場選手'!$B$2,$A330,K$1)))))</f>
        <v/>
      </c>
      <c r="L330" s="26" t="str">
        <f ca="1">IF($D330="","",SUBSTITUTE(SUBSTITUTE(SUBSTITUTE(IF(OFFSET('(2)出場選手'!$B$2,$A330,L$1)="",'(1)鑑'!$E$8,OFFSET('(2)出場選手'!$B$2,$A330,L$1)),"県",""),"府",""),"東京都","東京"))</f>
        <v/>
      </c>
      <c r="M330" s="57" t="str">
        <f ca="1">IF($D330="","",IF(OFFSET('(2)出場選手'!$B$2,$A330,M$1)="","",OFFSET('(2)出場選手'!$B$2,$A330,M$1)))</f>
        <v/>
      </c>
      <c r="N330" s="26" t="str">
        <f ca="1">IF($D330="","",OFFSET('(2)出場選手'!$B$2,$A330,N$1+3*$B330))</f>
        <v/>
      </c>
      <c r="O330" s="26" t="str">
        <f ca="1">IF($D330="","",IF(OFFSET('(2)出場選手'!$B$2,$A330,O$1+3*$B330)="","",OFFSET('(2)出場選手'!$B$2,$A330,O$1+3*$B330)))</f>
        <v/>
      </c>
      <c r="P330" s="26" t="str">
        <f ca="1">IF($D330="","",IF(OFFSET('(2)出場選手'!$B$2,$A330,P$1+3*$B330)="","",OFFSET('(2)出場選手'!$B$2,$A330,P$1+3*$B330)))</f>
        <v/>
      </c>
      <c r="Q330" s="43" t="str">
        <f ca="1">IF(D330="","",VLOOKUP(N330,OFFSET(Competition_Events,0,1),11,FALSE)*IF($S330="リレー",IF(COUNTIF($T$3:$T330,$T330)&gt;1,0,1),1))</f>
        <v/>
      </c>
      <c r="R330" s="26" t="str">
        <f t="shared" ca="1" si="20"/>
        <v/>
      </c>
      <c r="S330" s="26" t="str">
        <f t="shared" ca="1" si="21"/>
        <v/>
      </c>
      <c r="T330" s="26" t="str">
        <f t="shared" ca="1" si="22"/>
        <v/>
      </c>
      <c r="U330" s="26" t="str">
        <f t="shared" ca="1" si="27"/>
        <v/>
      </c>
      <c r="W330" s="17" t="str">
        <f ca="1">IF($D330="","",OFFSET('(2)出場選手'!$B$2,$A330,W$1))</f>
        <v/>
      </c>
      <c r="X330" s="17" t="str">
        <f ca="1">IF($D330="","",OFFSET('(2)出場選手'!$B$2,$A330,X$1))</f>
        <v/>
      </c>
      <c r="Y330" s="17" t="str">
        <f ca="1">IF($D330="","",OFFSET('(2)出場選手'!$B$2,$A330,Y$1))</f>
        <v/>
      </c>
      <c r="Z330" s="17" t="str">
        <f ca="1">IF($D330="","",OFFSET('(2)出場選手'!$B$2,$A330,Z$1))</f>
        <v/>
      </c>
    </row>
    <row r="331" spans="1:26" x14ac:dyDescent="0.15">
      <c r="A331" s="17">
        <f>TRUNC((ROWS($D$3:D331)-2)/Max_Entry_Count)+1</f>
        <v>110</v>
      </c>
      <c r="B331" s="17" t="str">
        <f ca="1">IF($A331&gt;=ROWS(Entries)-2,"",IF(OFFSET('(2)出場選手'!$B$2,$A331,B$1+3*(MOD(ROWS($D$3:D331)-2,Max_Entry_Count)))="","",MOD(ROWS($D$3:D331)-2,Max_Entry_Count)))</f>
        <v/>
      </c>
      <c r="D331" s="26" t="str">
        <f ca="1">IF(OR($A331&gt;=ROWS(Entries)-2,$B331=""),"",'(1)鑑'!$E$6&amp;"-"&amp;OFFSET('(2)出場選手'!$B$2,$A331,D$1))</f>
        <v/>
      </c>
      <c r="E331" s="26" t="str">
        <f ca="1">IF($D331="","",OFFSET('(2)出場選手'!$B$2,$A331,E$1))</f>
        <v/>
      </c>
      <c r="F331" s="26" t="str">
        <f ca="1">IF($D331="","",IF(OFFSET('(2)出場選手'!$B$2,$A331,F$1)="","",OFFSET('(2)出場選手'!$B$2,$A331,F$1)))</f>
        <v/>
      </c>
      <c r="G331" s="26" t="str">
        <f t="shared" ca="1" si="18"/>
        <v/>
      </c>
      <c r="H331" s="26" t="str">
        <f t="shared" ca="1" si="28"/>
        <v/>
      </c>
      <c r="I331" s="26" t="str">
        <f ca="1">IF($D331="","",IF(OFFSET('(2)出場選手'!$B$2,$A331,I$1)="","",OFFSET('(2)出場選手'!$B$2,$A331,I$1)))</f>
        <v/>
      </c>
      <c r="J331" s="26" t="str">
        <f ca="1">IF($D331="","",IF(OFFSET('(2)出場選手'!$B$2,$A331,J$1)="",'(1)鑑'!$E$6,OFFSET('(2)出場選手'!$B$2,$A331,J$1)))</f>
        <v/>
      </c>
      <c r="K331" s="26" t="str">
        <f ca="1">IF($D331="","",TRIM(ASC(IF(OFFSET('(2)出場選手'!$B$2,$A331,K$1)="",'(1)鑑'!$E$7,OFFSET('(2)出場選手'!$B$2,$A331,K$1)))))</f>
        <v/>
      </c>
      <c r="L331" s="26" t="str">
        <f ca="1">IF($D331="","",SUBSTITUTE(SUBSTITUTE(SUBSTITUTE(IF(OFFSET('(2)出場選手'!$B$2,$A331,L$1)="",'(1)鑑'!$E$8,OFFSET('(2)出場選手'!$B$2,$A331,L$1)),"県",""),"府",""),"東京都","東京"))</f>
        <v/>
      </c>
      <c r="M331" s="57" t="str">
        <f ca="1">IF($D331="","",IF(OFFSET('(2)出場選手'!$B$2,$A331,M$1)="","",OFFSET('(2)出場選手'!$B$2,$A331,M$1)))</f>
        <v/>
      </c>
      <c r="N331" s="26" t="str">
        <f ca="1">IF($D331="","",OFFSET('(2)出場選手'!$B$2,$A331,N$1+3*$B331))</f>
        <v/>
      </c>
      <c r="O331" s="26" t="str">
        <f ca="1">IF($D331="","",IF(OFFSET('(2)出場選手'!$B$2,$A331,O$1+3*$B331)="","",OFFSET('(2)出場選手'!$B$2,$A331,O$1+3*$B331)))</f>
        <v/>
      </c>
      <c r="P331" s="26" t="str">
        <f ca="1">IF($D331="","",IF(OFFSET('(2)出場選手'!$B$2,$A331,P$1+3*$B331)="","",OFFSET('(2)出場選手'!$B$2,$A331,P$1+3*$B331)))</f>
        <v/>
      </c>
      <c r="Q331" s="43" t="str">
        <f ca="1">IF(D331="","",VLOOKUP(N331,OFFSET(Competition_Events,0,1),11,FALSE)*IF($S331="リレー",IF(COUNTIF($T$3:$T331,$T331)&gt;1,0,1),1))</f>
        <v/>
      </c>
      <c r="R331" s="26" t="str">
        <f t="shared" ca="1" si="20"/>
        <v/>
      </c>
      <c r="S331" s="26" t="str">
        <f t="shared" ca="1" si="21"/>
        <v/>
      </c>
      <c r="T331" s="26" t="str">
        <f t="shared" ca="1" si="22"/>
        <v/>
      </c>
      <c r="U331" s="26" t="str">
        <f t="shared" ca="1" si="27"/>
        <v/>
      </c>
      <c r="W331" s="17" t="str">
        <f ca="1">IF($D331="","",OFFSET('(2)出場選手'!$B$2,$A331,W$1))</f>
        <v/>
      </c>
      <c r="X331" s="17" t="str">
        <f ca="1">IF($D331="","",OFFSET('(2)出場選手'!$B$2,$A331,X$1))</f>
        <v/>
      </c>
      <c r="Y331" s="17" t="str">
        <f ca="1">IF($D331="","",OFFSET('(2)出場選手'!$B$2,$A331,Y$1))</f>
        <v/>
      </c>
      <c r="Z331" s="17" t="str">
        <f ca="1">IF($D331="","",OFFSET('(2)出場選手'!$B$2,$A331,Z$1))</f>
        <v/>
      </c>
    </row>
    <row r="332" spans="1:26" x14ac:dyDescent="0.15">
      <c r="A332" s="17">
        <f>TRUNC((ROWS($D$3:D332)-2)/Max_Entry_Count)+1</f>
        <v>110</v>
      </c>
      <c r="B332" s="17" t="str">
        <f ca="1">IF($A332&gt;=ROWS(Entries)-2,"",IF(OFFSET('(2)出場選手'!$B$2,$A332,B$1+3*(MOD(ROWS($D$3:D332)-2,Max_Entry_Count)))="","",MOD(ROWS($D$3:D332)-2,Max_Entry_Count)))</f>
        <v/>
      </c>
      <c r="D332" s="26" t="str">
        <f ca="1">IF(OR($A332&gt;=ROWS(Entries)-2,$B332=""),"",'(1)鑑'!$E$6&amp;"-"&amp;OFFSET('(2)出場選手'!$B$2,$A332,D$1))</f>
        <v/>
      </c>
      <c r="E332" s="26" t="str">
        <f ca="1">IF($D332="","",OFFSET('(2)出場選手'!$B$2,$A332,E$1))</f>
        <v/>
      </c>
      <c r="F332" s="26" t="str">
        <f ca="1">IF($D332="","",IF(OFFSET('(2)出場選手'!$B$2,$A332,F$1)="","",OFFSET('(2)出場選手'!$B$2,$A332,F$1)))</f>
        <v/>
      </c>
      <c r="G332" s="26" t="str">
        <f t="shared" ca="1" si="18"/>
        <v/>
      </c>
      <c r="H332" s="26" t="str">
        <f t="shared" ca="1" si="28"/>
        <v/>
      </c>
      <c r="I332" s="26" t="str">
        <f ca="1">IF($D332="","",IF(OFFSET('(2)出場選手'!$B$2,$A332,I$1)="","",OFFSET('(2)出場選手'!$B$2,$A332,I$1)))</f>
        <v/>
      </c>
      <c r="J332" s="26" t="str">
        <f ca="1">IF($D332="","",IF(OFFSET('(2)出場選手'!$B$2,$A332,J$1)="",'(1)鑑'!$E$6,OFFSET('(2)出場選手'!$B$2,$A332,J$1)))</f>
        <v/>
      </c>
      <c r="K332" s="26" t="str">
        <f ca="1">IF($D332="","",TRIM(ASC(IF(OFFSET('(2)出場選手'!$B$2,$A332,K$1)="",'(1)鑑'!$E$7,OFFSET('(2)出場選手'!$B$2,$A332,K$1)))))</f>
        <v/>
      </c>
      <c r="L332" s="26" t="str">
        <f ca="1">IF($D332="","",SUBSTITUTE(SUBSTITUTE(SUBSTITUTE(IF(OFFSET('(2)出場選手'!$B$2,$A332,L$1)="",'(1)鑑'!$E$8,OFFSET('(2)出場選手'!$B$2,$A332,L$1)),"県",""),"府",""),"東京都","東京"))</f>
        <v/>
      </c>
      <c r="M332" s="57" t="str">
        <f ca="1">IF($D332="","",IF(OFFSET('(2)出場選手'!$B$2,$A332,M$1)="","",OFFSET('(2)出場選手'!$B$2,$A332,M$1)))</f>
        <v/>
      </c>
      <c r="N332" s="26" t="str">
        <f ca="1">IF($D332="","",OFFSET('(2)出場選手'!$B$2,$A332,N$1+3*$B332))</f>
        <v/>
      </c>
      <c r="O332" s="26" t="str">
        <f ca="1">IF($D332="","",IF(OFFSET('(2)出場選手'!$B$2,$A332,O$1+3*$B332)="","",OFFSET('(2)出場選手'!$B$2,$A332,O$1+3*$B332)))</f>
        <v/>
      </c>
      <c r="P332" s="26" t="str">
        <f ca="1">IF($D332="","",IF(OFFSET('(2)出場選手'!$B$2,$A332,P$1+3*$B332)="","",OFFSET('(2)出場選手'!$B$2,$A332,P$1+3*$B332)))</f>
        <v/>
      </c>
      <c r="Q332" s="43" t="str">
        <f ca="1">IF(D332="","",VLOOKUP(N332,OFFSET(Competition_Events,0,1),11,FALSE)*IF($S332="リレー",IF(COUNTIF($T$3:$T332,$T332)&gt;1,0,1),1))</f>
        <v/>
      </c>
      <c r="R332" s="26" t="str">
        <f t="shared" ca="1" si="20"/>
        <v/>
      </c>
      <c r="S332" s="26" t="str">
        <f t="shared" ca="1" si="21"/>
        <v/>
      </c>
      <c r="T332" s="26" t="str">
        <f t="shared" ca="1" si="22"/>
        <v/>
      </c>
      <c r="U332" s="26" t="str">
        <f t="shared" ca="1" si="27"/>
        <v/>
      </c>
      <c r="W332" s="17" t="str">
        <f ca="1">IF($D332="","",OFFSET('(2)出場選手'!$B$2,$A332,W$1))</f>
        <v/>
      </c>
      <c r="X332" s="17" t="str">
        <f ca="1">IF($D332="","",OFFSET('(2)出場選手'!$B$2,$A332,X$1))</f>
        <v/>
      </c>
      <c r="Y332" s="17" t="str">
        <f ca="1">IF($D332="","",OFFSET('(2)出場選手'!$B$2,$A332,Y$1))</f>
        <v/>
      </c>
      <c r="Z332" s="17" t="str">
        <f ca="1">IF($D332="","",OFFSET('(2)出場選手'!$B$2,$A332,Z$1))</f>
        <v/>
      </c>
    </row>
    <row r="333" spans="1:26" x14ac:dyDescent="0.15">
      <c r="A333" s="17">
        <f>TRUNC((ROWS($D$3:D333)-2)/Max_Entry_Count)+1</f>
        <v>110</v>
      </c>
      <c r="B333" s="17" t="str">
        <f ca="1">IF($A333&gt;=ROWS(Entries)-2,"",IF(OFFSET('(2)出場選手'!$B$2,$A333,B$1+3*(MOD(ROWS($D$3:D333)-2,Max_Entry_Count)))="","",MOD(ROWS($D$3:D333)-2,Max_Entry_Count)))</f>
        <v/>
      </c>
      <c r="D333" s="26" t="str">
        <f ca="1">IF(OR($A333&gt;=ROWS(Entries)-2,$B333=""),"",'(1)鑑'!$E$6&amp;"-"&amp;OFFSET('(2)出場選手'!$B$2,$A333,D$1))</f>
        <v/>
      </c>
      <c r="E333" s="26" t="str">
        <f ca="1">IF($D333="","",OFFSET('(2)出場選手'!$B$2,$A333,E$1))</f>
        <v/>
      </c>
      <c r="F333" s="26" t="str">
        <f ca="1">IF($D333="","",IF(OFFSET('(2)出場選手'!$B$2,$A333,F$1)="","",OFFSET('(2)出場選手'!$B$2,$A333,F$1)))</f>
        <v/>
      </c>
      <c r="G333" s="26" t="str">
        <f t="shared" ca="1" si="18"/>
        <v/>
      </c>
      <c r="H333" s="26" t="str">
        <f t="shared" ca="1" si="28"/>
        <v/>
      </c>
      <c r="I333" s="26" t="str">
        <f ca="1">IF($D333="","",IF(OFFSET('(2)出場選手'!$B$2,$A333,I$1)="","",OFFSET('(2)出場選手'!$B$2,$A333,I$1)))</f>
        <v/>
      </c>
      <c r="J333" s="26" t="str">
        <f ca="1">IF($D333="","",IF(OFFSET('(2)出場選手'!$B$2,$A333,J$1)="",'(1)鑑'!$E$6,OFFSET('(2)出場選手'!$B$2,$A333,J$1)))</f>
        <v/>
      </c>
      <c r="K333" s="26" t="str">
        <f ca="1">IF($D333="","",TRIM(ASC(IF(OFFSET('(2)出場選手'!$B$2,$A333,K$1)="",'(1)鑑'!$E$7,OFFSET('(2)出場選手'!$B$2,$A333,K$1)))))</f>
        <v/>
      </c>
      <c r="L333" s="26" t="str">
        <f ca="1">IF($D333="","",SUBSTITUTE(SUBSTITUTE(SUBSTITUTE(IF(OFFSET('(2)出場選手'!$B$2,$A333,L$1)="",'(1)鑑'!$E$8,OFFSET('(2)出場選手'!$B$2,$A333,L$1)),"県",""),"府",""),"東京都","東京"))</f>
        <v/>
      </c>
      <c r="M333" s="57" t="str">
        <f ca="1">IF($D333="","",IF(OFFSET('(2)出場選手'!$B$2,$A333,M$1)="","",OFFSET('(2)出場選手'!$B$2,$A333,M$1)))</f>
        <v/>
      </c>
      <c r="N333" s="26" t="str">
        <f ca="1">IF($D333="","",OFFSET('(2)出場選手'!$B$2,$A333,N$1+3*$B333))</f>
        <v/>
      </c>
      <c r="O333" s="26" t="str">
        <f ca="1">IF($D333="","",IF(OFFSET('(2)出場選手'!$B$2,$A333,O$1+3*$B333)="","",OFFSET('(2)出場選手'!$B$2,$A333,O$1+3*$B333)))</f>
        <v/>
      </c>
      <c r="P333" s="26" t="str">
        <f ca="1">IF($D333="","",IF(OFFSET('(2)出場選手'!$B$2,$A333,P$1+3*$B333)="","",OFFSET('(2)出場選手'!$B$2,$A333,P$1+3*$B333)))</f>
        <v/>
      </c>
      <c r="Q333" s="43" t="str">
        <f ca="1">IF(D333="","",VLOOKUP(N333,OFFSET(Competition_Events,0,1),11,FALSE)*IF($S333="リレー",IF(COUNTIF($T$3:$T333,$T333)&gt;1,0,1),1))</f>
        <v/>
      </c>
      <c r="R333" s="26" t="str">
        <f t="shared" ca="1" si="20"/>
        <v/>
      </c>
      <c r="S333" s="26" t="str">
        <f t="shared" ca="1" si="21"/>
        <v/>
      </c>
      <c r="T333" s="26" t="str">
        <f t="shared" ca="1" si="22"/>
        <v/>
      </c>
      <c r="U333" s="26" t="str">
        <f t="shared" ca="1" si="27"/>
        <v/>
      </c>
      <c r="W333" s="17" t="str">
        <f ca="1">IF($D333="","",OFFSET('(2)出場選手'!$B$2,$A333,W$1))</f>
        <v/>
      </c>
      <c r="X333" s="17" t="str">
        <f ca="1">IF($D333="","",OFFSET('(2)出場選手'!$B$2,$A333,X$1))</f>
        <v/>
      </c>
      <c r="Y333" s="17" t="str">
        <f ca="1">IF($D333="","",OFFSET('(2)出場選手'!$B$2,$A333,Y$1))</f>
        <v/>
      </c>
      <c r="Z333" s="17" t="str">
        <f ca="1">IF($D333="","",OFFSET('(2)出場選手'!$B$2,$A333,Z$1))</f>
        <v/>
      </c>
    </row>
    <row r="334" spans="1:26" x14ac:dyDescent="0.15">
      <c r="A334" s="17">
        <f>TRUNC((ROWS($D$3:D334)-2)/Max_Entry_Count)+1</f>
        <v>111</v>
      </c>
      <c r="B334" s="17" t="str">
        <f ca="1">IF($A334&gt;=ROWS(Entries)-2,"",IF(OFFSET('(2)出場選手'!$B$2,$A334,B$1+3*(MOD(ROWS($D$3:D334)-2,Max_Entry_Count)))="","",MOD(ROWS($D$3:D334)-2,Max_Entry_Count)))</f>
        <v/>
      </c>
      <c r="D334" s="26" t="str">
        <f ca="1">IF(OR($A334&gt;=ROWS(Entries)-2,$B334=""),"",'(1)鑑'!$E$6&amp;"-"&amp;OFFSET('(2)出場選手'!$B$2,$A334,D$1))</f>
        <v/>
      </c>
      <c r="E334" s="26" t="str">
        <f ca="1">IF($D334="","",OFFSET('(2)出場選手'!$B$2,$A334,E$1))</f>
        <v/>
      </c>
      <c r="F334" s="26" t="str">
        <f ca="1">IF($D334="","",IF(OFFSET('(2)出場選手'!$B$2,$A334,F$1)="","",OFFSET('(2)出場選手'!$B$2,$A334,F$1)))</f>
        <v/>
      </c>
      <c r="G334" s="26" t="str">
        <f t="shared" ca="1" si="18"/>
        <v/>
      </c>
      <c r="H334" s="26" t="str">
        <f t="shared" ca="1" si="28"/>
        <v/>
      </c>
      <c r="I334" s="26" t="str">
        <f ca="1">IF($D334="","",IF(OFFSET('(2)出場選手'!$B$2,$A334,I$1)="","",OFFSET('(2)出場選手'!$B$2,$A334,I$1)))</f>
        <v/>
      </c>
      <c r="J334" s="26" t="str">
        <f ca="1">IF($D334="","",IF(OFFSET('(2)出場選手'!$B$2,$A334,J$1)="",'(1)鑑'!$E$6,OFFSET('(2)出場選手'!$B$2,$A334,J$1)))</f>
        <v/>
      </c>
      <c r="K334" s="26" t="str">
        <f ca="1">IF($D334="","",TRIM(ASC(IF(OFFSET('(2)出場選手'!$B$2,$A334,K$1)="",'(1)鑑'!$E$7,OFFSET('(2)出場選手'!$B$2,$A334,K$1)))))</f>
        <v/>
      </c>
      <c r="L334" s="26" t="str">
        <f ca="1">IF($D334="","",SUBSTITUTE(SUBSTITUTE(SUBSTITUTE(IF(OFFSET('(2)出場選手'!$B$2,$A334,L$1)="",'(1)鑑'!$E$8,OFFSET('(2)出場選手'!$B$2,$A334,L$1)),"県",""),"府",""),"東京都","東京"))</f>
        <v/>
      </c>
      <c r="M334" s="57" t="str">
        <f ca="1">IF($D334="","",IF(OFFSET('(2)出場選手'!$B$2,$A334,M$1)="","",OFFSET('(2)出場選手'!$B$2,$A334,M$1)))</f>
        <v/>
      </c>
      <c r="N334" s="26" t="str">
        <f ca="1">IF($D334="","",OFFSET('(2)出場選手'!$B$2,$A334,N$1+3*$B334))</f>
        <v/>
      </c>
      <c r="O334" s="26" t="str">
        <f ca="1">IF($D334="","",IF(OFFSET('(2)出場選手'!$B$2,$A334,O$1+3*$B334)="","",OFFSET('(2)出場選手'!$B$2,$A334,O$1+3*$B334)))</f>
        <v/>
      </c>
      <c r="P334" s="26" t="str">
        <f ca="1">IF($D334="","",IF(OFFSET('(2)出場選手'!$B$2,$A334,P$1+3*$B334)="","",OFFSET('(2)出場選手'!$B$2,$A334,P$1+3*$B334)))</f>
        <v/>
      </c>
      <c r="Q334" s="43" t="str">
        <f ca="1">IF(D334="","",VLOOKUP(N334,OFFSET(Competition_Events,0,1),11,FALSE)*IF($S334="リレー",IF(COUNTIF($T$3:$T334,$T334)&gt;1,0,1),1))</f>
        <v/>
      </c>
      <c r="R334" s="26" t="str">
        <f t="shared" ca="1" si="20"/>
        <v/>
      </c>
      <c r="S334" s="26" t="str">
        <f t="shared" ca="1" si="21"/>
        <v/>
      </c>
      <c r="T334" s="26" t="str">
        <f t="shared" ca="1" si="22"/>
        <v/>
      </c>
      <c r="U334" s="26" t="str">
        <f t="shared" ca="1" si="27"/>
        <v/>
      </c>
      <c r="W334" s="17" t="str">
        <f ca="1">IF($D334="","",OFFSET('(2)出場選手'!$B$2,$A334,W$1))</f>
        <v/>
      </c>
      <c r="X334" s="17" t="str">
        <f ca="1">IF($D334="","",OFFSET('(2)出場選手'!$B$2,$A334,X$1))</f>
        <v/>
      </c>
      <c r="Y334" s="17" t="str">
        <f ca="1">IF($D334="","",OFFSET('(2)出場選手'!$B$2,$A334,Y$1))</f>
        <v/>
      </c>
      <c r="Z334" s="17" t="str">
        <f ca="1">IF($D334="","",OFFSET('(2)出場選手'!$B$2,$A334,Z$1))</f>
        <v/>
      </c>
    </row>
    <row r="335" spans="1:26" x14ac:dyDescent="0.15">
      <c r="A335" s="17">
        <f>TRUNC((ROWS($D$3:D335)-2)/Max_Entry_Count)+1</f>
        <v>111</v>
      </c>
      <c r="B335" s="17" t="str">
        <f ca="1">IF($A335&gt;=ROWS(Entries)-2,"",IF(OFFSET('(2)出場選手'!$B$2,$A335,B$1+3*(MOD(ROWS($D$3:D335)-2,Max_Entry_Count)))="","",MOD(ROWS($D$3:D335)-2,Max_Entry_Count)))</f>
        <v/>
      </c>
      <c r="D335" s="26" t="str">
        <f ca="1">IF(OR($A335&gt;=ROWS(Entries)-2,$B335=""),"",'(1)鑑'!$E$6&amp;"-"&amp;OFFSET('(2)出場選手'!$B$2,$A335,D$1))</f>
        <v/>
      </c>
      <c r="E335" s="26" t="str">
        <f ca="1">IF($D335="","",OFFSET('(2)出場選手'!$B$2,$A335,E$1))</f>
        <v/>
      </c>
      <c r="F335" s="26" t="str">
        <f ca="1">IF($D335="","",IF(OFFSET('(2)出場選手'!$B$2,$A335,F$1)="","",OFFSET('(2)出場選手'!$B$2,$A335,F$1)))</f>
        <v/>
      </c>
      <c r="G335" s="26" t="str">
        <f t="shared" ca="1" si="18"/>
        <v/>
      </c>
      <c r="H335" s="26" t="str">
        <f t="shared" ca="1" si="28"/>
        <v/>
      </c>
      <c r="I335" s="26" t="str">
        <f ca="1">IF($D335="","",IF(OFFSET('(2)出場選手'!$B$2,$A335,I$1)="","",OFFSET('(2)出場選手'!$B$2,$A335,I$1)))</f>
        <v/>
      </c>
      <c r="J335" s="26" t="str">
        <f ca="1">IF($D335="","",IF(OFFSET('(2)出場選手'!$B$2,$A335,J$1)="",'(1)鑑'!$E$6,OFFSET('(2)出場選手'!$B$2,$A335,J$1)))</f>
        <v/>
      </c>
      <c r="K335" s="26" t="str">
        <f ca="1">IF($D335="","",TRIM(ASC(IF(OFFSET('(2)出場選手'!$B$2,$A335,K$1)="",'(1)鑑'!$E$7,OFFSET('(2)出場選手'!$B$2,$A335,K$1)))))</f>
        <v/>
      </c>
      <c r="L335" s="26" t="str">
        <f ca="1">IF($D335="","",SUBSTITUTE(SUBSTITUTE(SUBSTITUTE(IF(OFFSET('(2)出場選手'!$B$2,$A335,L$1)="",'(1)鑑'!$E$8,OFFSET('(2)出場選手'!$B$2,$A335,L$1)),"県",""),"府",""),"東京都","東京"))</f>
        <v/>
      </c>
      <c r="M335" s="57" t="str">
        <f ca="1">IF($D335="","",IF(OFFSET('(2)出場選手'!$B$2,$A335,M$1)="","",OFFSET('(2)出場選手'!$B$2,$A335,M$1)))</f>
        <v/>
      </c>
      <c r="N335" s="26" t="str">
        <f ca="1">IF($D335="","",OFFSET('(2)出場選手'!$B$2,$A335,N$1+3*$B335))</f>
        <v/>
      </c>
      <c r="O335" s="26" t="str">
        <f ca="1">IF($D335="","",IF(OFFSET('(2)出場選手'!$B$2,$A335,O$1+3*$B335)="","",OFFSET('(2)出場選手'!$B$2,$A335,O$1+3*$B335)))</f>
        <v/>
      </c>
      <c r="P335" s="26" t="str">
        <f ca="1">IF($D335="","",IF(OFFSET('(2)出場選手'!$B$2,$A335,P$1+3*$B335)="","",OFFSET('(2)出場選手'!$B$2,$A335,P$1+3*$B335)))</f>
        <v/>
      </c>
      <c r="Q335" s="43" t="str">
        <f ca="1">IF(D335="","",VLOOKUP(N335,OFFSET(Competition_Events,0,1),11,FALSE)*IF($S335="リレー",IF(COUNTIF($T$3:$T335,$T335)&gt;1,0,1),1))</f>
        <v/>
      </c>
      <c r="R335" s="26" t="str">
        <f t="shared" ca="1" si="20"/>
        <v/>
      </c>
      <c r="S335" s="26" t="str">
        <f t="shared" ca="1" si="21"/>
        <v/>
      </c>
      <c r="T335" s="26" t="str">
        <f t="shared" ca="1" si="22"/>
        <v/>
      </c>
      <c r="U335" s="26" t="str">
        <f t="shared" ca="1" si="27"/>
        <v/>
      </c>
      <c r="W335" s="17" t="str">
        <f ca="1">IF($D335="","",OFFSET('(2)出場選手'!$B$2,$A335,W$1))</f>
        <v/>
      </c>
      <c r="X335" s="17" t="str">
        <f ca="1">IF($D335="","",OFFSET('(2)出場選手'!$B$2,$A335,X$1))</f>
        <v/>
      </c>
      <c r="Y335" s="17" t="str">
        <f ca="1">IF($D335="","",OFFSET('(2)出場選手'!$B$2,$A335,Y$1))</f>
        <v/>
      </c>
      <c r="Z335" s="17" t="str">
        <f ca="1">IF($D335="","",OFFSET('(2)出場選手'!$B$2,$A335,Z$1))</f>
        <v/>
      </c>
    </row>
    <row r="336" spans="1:26" x14ac:dyDescent="0.15">
      <c r="A336" s="17">
        <f>TRUNC((ROWS($D$3:D336)-2)/Max_Entry_Count)+1</f>
        <v>111</v>
      </c>
      <c r="B336" s="17" t="str">
        <f ca="1">IF($A336&gt;=ROWS(Entries)-2,"",IF(OFFSET('(2)出場選手'!$B$2,$A336,B$1+3*(MOD(ROWS($D$3:D336)-2,Max_Entry_Count)))="","",MOD(ROWS($D$3:D336)-2,Max_Entry_Count)))</f>
        <v/>
      </c>
      <c r="D336" s="26" t="str">
        <f ca="1">IF(OR($A336&gt;=ROWS(Entries)-2,$B336=""),"",'(1)鑑'!$E$6&amp;"-"&amp;OFFSET('(2)出場選手'!$B$2,$A336,D$1))</f>
        <v/>
      </c>
      <c r="E336" s="26" t="str">
        <f ca="1">IF($D336="","",OFFSET('(2)出場選手'!$B$2,$A336,E$1))</f>
        <v/>
      </c>
      <c r="F336" s="26" t="str">
        <f ca="1">IF($D336="","",IF(OFFSET('(2)出場選手'!$B$2,$A336,F$1)="","",OFFSET('(2)出場選手'!$B$2,$A336,F$1)))</f>
        <v/>
      </c>
      <c r="G336" s="26" t="str">
        <f t="shared" ca="1" si="18"/>
        <v/>
      </c>
      <c r="H336" s="26" t="str">
        <f t="shared" ca="1" si="28"/>
        <v/>
      </c>
      <c r="I336" s="26" t="str">
        <f ca="1">IF($D336="","",IF(OFFSET('(2)出場選手'!$B$2,$A336,I$1)="","",OFFSET('(2)出場選手'!$B$2,$A336,I$1)))</f>
        <v/>
      </c>
      <c r="J336" s="26" t="str">
        <f ca="1">IF($D336="","",IF(OFFSET('(2)出場選手'!$B$2,$A336,J$1)="",'(1)鑑'!$E$6,OFFSET('(2)出場選手'!$B$2,$A336,J$1)))</f>
        <v/>
      </c>
      <c r="K336" s="26" t="str">
        <f ca="1">IF($D336="","",TRIM(ASC(IF(OFFSET('(2)出場選手'!$B$2,$A336,K$1)="",'(1)鑑'!$E$7,OFFSET('(2)出場選手'!$B$2,$A336,K$1)))))</f>
        <v/>
      </c>
      <c r="L336" s="26" t="str">
        <f ca="1">IF($D336="","",SUBSTITUTE(SUBSTITUTE(SUBSTITUTE(IF(OFFSET('(2)出場選手'!$B$2,$A336,L$1)="",'(1)鑑'!$E$8,OFFSET('(2)出場選手'!$B$2,$A336,L$1)),"県",""),"府",""),"東京都","東京"))</f>
        <v/>
      </c>
      <c r="M336" s="57" t="str">
        <f ca="1">IF($D336="","",IF(OFFSET('(2)出場選手'!$B$2,$A336,M$1)="","",OFFSET('(2)出場選手'!$B$2,$A336,M$1)))</f>
        <v/>
      </c>
      <c r="N336" s="26" t="str">
        <f ca="1">IF($D336="","",OFFSET('(2)出場選手'!$B$2,$A336,N$1+3*$B336))</f>
        <v/>
      </c>
      <c r="O336" s="26" t="str">
        <f ca="1">IF($D336="","",IF(OFFSET('(2)出場選手'!$B$2,$A336,O$1+3*$B336)="","",OFFSET('(2)出場選手'!$B$2,$A336,O$1+3*$B336)))</f>
        <v/>
      </c>
      <c r="P336" s="26" t="str">
        <f ca="1">IF($D336="","",IF(OFFSET('(2)出場選手'!$B$2,$A336,P$1+3*$B336)="","",OFFSET('(2)出場選手'!$B$2,$A336,P$1+3*$B336)))</f>
        <v/>
      </c>
      <c r="Q336" s="43" t="str">
        <f ca="1">IF(D336="","",VLOOKUP(N336,OFFSET(Competition_Events,0,1),11,FALSE)*IF($S336="リレー",IF(COUNTIF($T$3:$T336,$T336)&gt;1,0,1),1))</f>
        <v/>
      </c>
      <c r="R336" s="26" t="str">
        <f t="shared" ca="1" si="20"/>
        <v/>
      </c>
      <c r="S336" s="26" t="str">
        <f t="shared" ca="1" si="21"/>
        <v/>
      </c>
      <c r="T336" s="26" t="str">
        <f t="shared" ca="1" si="22"/>
        <v/>
      </c>
      <c r="U336" s="26" t="str">
        <f t="shared" ca="1" si="27"/>
        <v/>
      </c>
      <c r="W336" s="17" t="str">
        <f ca="1">IF($D336="","",OFFSET('(2)出場選手'!$B$2,$A336,W$1))</f>
        <v/>
      </c>
      <c r="X336" s="17" t="str">
        <f ca="1">IF($D336="","",OFFSET('(2)出場選手'!$B$2,$A336,X$1))</f>
        <v/>
      </c>
      <c r="Y336" s="17" t="str">
        <f ca="1">IF($D336="","",OFFSET('(2)出場選手'!$B$2,$A336,Y$1))</f>
        <v/>
      </c>
      <c r="Z336" s="17" t="str">
        <f ca="1">IF($D336="","",OFFSET('(2)出場選手'!$B$2,$A336,Z$1))</f>
        <v/>
      </c>
    </row>
    <row r="337" spans="1:26" x14ac:dyDescent="0.15">
      <c r="A337" s="17">
        <f>TRUNC((ROWS($D$3:D337)-2)/Max_Entry_Count)+1</f>
        <v>112</v>
      </c>
      <c r="B337" s="17" t="str">
        <f ca="1">IF($A337&gt;=ROWS(Entries)-2,"",IF(OFFSET('(2)出場選手'!$B$2,$A337,B$1+3*(MOD(ROWS($D$3:D337)-2,Max_Entry_Count)))="","",MOD(ROWS($D$3:D337)-2,Max_Entry_Count)))</f>
        <v/>
      </c>
      <c r="D337" s="26" t="str">
        <f ca="1">IF(OR($A337&gt;=ROWS(Entries)-2,$B337=""),"",'(1)鑑'!$E$6&amp;"-"&amp;OFFSET('(2)出場選手'!$B$2,$A337,D$1))</f>
        <v/>
      </c>
      <c r="E337" s="26" t="str">
        <f ca="1">IF($D337="","",OFFSET('(2)出場選手'!$B$2,$A337,E$1))</f>
        <v/>
      </c>
      <c r="F337" s="26" t="str">
        <f ca="1">IF($D337="","",IF(OFFSET('(2)出場選手'!$B$2,$A337,F$1)="","",OFFSET('(2)出場選手'!$B$2,$A337,F$1)))</f>
        <v/>
      </c>
      <c r="G337" s="26" t="str">
        <f t="shared" ca="1" si="18"/>
        <v/>
      </c>
      <c r="H337" s="26" t="str">
        <f t="shared" ca="1" si="28"/>
        <v/>
      </c>
      <c r="I337" s="26" t="str">
        <f ca="1">IF($D337="","",IF(OFFSET('(2)出場選手'!$B$2,$A337,I$1)="","",OFFSET('(2)出場選手'!$B$2,$A337,I$1)))</f>
        <v/>
      </c>
      <c r="J337" s="26" t="str">
        <f ca="1">IF($D337="","",IF(OFFSET('(2)出場選手'!$B$2,$A337,J$1)="",'(1)鑑'!$E$6,OFFSET('(2)出場選手'!$B$2,$A337,J$1)))</f>
        <v/>
      </c>
      <c r="K337" s="26" t="str">
        <f ca="1">IF($D337="","",TRIM(ASC(IF(OFFSET('(2)出場選手'!$B$2,$A337,K$1)="",'(1)鑑'!$E$7,OFFSET('(2)出場選手'!$B$2,$A337,K$1)))))</f>
        <v/>
      </c>
      <c r="L337" s="26" t="str">
        <f ca="1">IF($D337="","",SUBSTITUTE(SUBSTITUTE(SUBSTITUTE(IF(OFFSET('(2)出場選手'!$B$2,$A337,L$1)="",'(1)鑑'!$E$8,OFFSET('(2)出場選手'!$B$2,$A337,L$1)),"県",""),"府",""),"東京都","東京"))</f>
        <v/>
      </c>
      <c r="M337" s="57" t="str">
        <f ca="1">IF($D337="","",IF(OFFSET('(2)出場選手'!$B$2,$A337,M$1)="","",OFFSET('(2)出場選手'!$B$2,$A337,M$1)))</f>
        <v/>
      </c>
      <c r="N337" s="26" t="str">
        <f ca="1">IF($D337="","",OFFSET('(2)出場選手'!$B$2,$A337,N$1+3*$B337))</f>
        <v/>
      </c>
      <c r="O337" s="26" t="str">
        <f ca="1">IF($D337="","",IF(OFFSET('(2)出場選手'!$B$2,$A337,O$1+3*$B337)="","",OFFSET('(2)出場選手'!$B$2,$A337,O$1+3*$B337)))</f>
        <v/>
      </c>
      <c r="P337" s="26" t="str">
        <f ca="1">IF($D337="","",IF(OFFSET('(2)出場選手'!$B$2,$A337,P$1+3*$B337)="","",OFFSET('(2)出場選手'!$B$2,$A337,P$1+3*$B337)))</f>
        <v/>
      </c>
      <c r="Q337" s="43" t="str">
        <f ca="1">IF(D337="","",VLOOKUP(N337,OFFSET(Competition_Events,0,1),11,FALSE)*IF($S337="リレー",IF(COUNTIF($T$3:$T337,$T337)&gt;1,0,1),1))</f>
        <v/>
      </c>
      <c r="R337" s="26" t="str">
        <f t="shared" ca="1" si="20"/>
        <v/>
      </c>
      <c r="S337" s="26" t="str">
        <f t="shared" ca="1" si="21"/>
        <v/>
      </c>
      <c r="T337" s="26" t="str">
        <f t="shared" ca="1" si="22"/>
        <v/>
      </c>
      <c r="U337" s="26" t="str">
        <f t="shared" ca="1" si="27"/>
        <v/>
      </c>
      <c r="W337" s="17" t="str">
        <f ca="1">IF($D337="","",OFFSET('(2)出場選手'!$B$2,$A337,W$1))</f>
        <v/>
      </c>
      <c r="X337" s="17" t="str">
        <f ca="1">IF($D337="","",OFFSET('(2)出場選手'!$B$2,$A337,X$1))</f>
        <v/>
      </c>
      <c r="Y337" s="17" t="str">
        <f ca="1">IF($D337="","",OFFSET('(2)出場選手'!$B$2,$A337,Y$1))</f>
        <v/>
      </c>
      <c r="Z337" s="17" t="str">
        <f ca="1">IF($D337="","",OFFSET('(2)出場選手'!$B$2,$A337,Z$1))</f>
        <v/>
      </c>
    </row>
    <row r="338" spans="1:26" x14ac:dyDescent="0.15">
      <c r="A338" s="17">
        <f>TRUNC((ROWS($D$3:D338)-2)/Max_Entry_Count)+1</f>
        <v>112</v>
      </c>
      <c r="B338" s="17" t="str">
        <f ca="1">IF($A338&gt;=ROWS(Entries)-2,"",IF(OFFSET('(2)出場選手'!$B$2,$A338,B$1+3*(MOD(ROWS($D$3:D338)-2,Max_Entry_Count)))="","",MOD(ROWS($D$3:D338)-2,Max_Entry_Count)))</f>
        <v/>
      </c>
      <c r="D338" s="26" t="str">
        <f ca="1">IF(OR($A338&gt;=ROWS(Entries)-2,$B338=""),"",'(1)鑑'!$E$6&amp;"-"&amp;OFFSET('(2)出場選手'!$B$2,$A338,D$1))</f>
        <v/>
      </c>
      <c r="E338" s="26" t="str">
        <f ca="1">IF($D338="","",OFFSET('(2)出場選手'!$B$2,$A338,E$1))</f>
        <v/>
      </c>
      <c r="F338" s="26" t="str">
        <f ca="1">IF($D338="","",IF(OFFSET('(2)出場選手'!$B$2,$A338,F$1)="","",OFFSET('(2)出場選手'!$B$2,$A338,F$1)))</f>
        <v/>
      </c>
      <c r="G338" s="26" t="str">
        <f t="shared" ca="1" si="18"/>
        <v/>
      </c>
      <c r="H338" s="26" t="str">
        <f t="shared" ca="1" si="28"/>
        <v/>
      </c>
      <c r="I338" s="26" t="str">
        <f ca="1">IF($D338="","",IF(OFFSET('(2)出場選手'!$B$2,$A338,I$1)="","",OFFSET('(2)出場選手'!$B$2,$A338,I$1)))</f>
        <v/>
      </c>
      <c r="J338" s="26" t="str">
        <f ca="1">IF($D338="","",IF(OFFSET('(2)出場選手'!$B$2,$A338,J$1)="",'(1)鑑'!$E$6,OFFSET('(2)出場選手'!$B$2,$A338,J$1)))</f>
        <v/>
      </c>
      <c r="K338" s="26" t="str">
        <f ca="1">IF($D338="","",TRIM(ASC(IF(OFFSET('(2)出場選手'!$B$2,$A338,K$1)="",'(1)鑑'!$E$7,OFFSET('(2)出場選手'!$B$2,$A338,K$1)))))</f>
        <v/>
      </c>
      <c r="L338" s="26" t="str">
        <f ca="1">IF($D338="","",SUBSTITUTE(SUBSTITUTE(SUBSTITUTE(IF(OFFSET('(2)出場選手'!$B$2,$A338,L$1)="",'(1)鑑'!$E$8,OFFSET('(2)出場選手'!$B$2,$A338,L$1)),"県",""),"府",""),"東京都","東京"))</f>
        <v/>
      </c>
      <c r="M338" s="57" t="str">
        <f ca="1">IF($D338="","",IF(OFFSET('(2)出場選手'!$B$2,$A338,M$1)="","",OFFSET('(2)出場選手'!$B$2,$A338,M$1)))</f>
        <v/>
      </c>
      <c r="N338" s="26" t="str">
        <f ca="1">IF($D338="","",OFFSET('(2)出場選手'!$B$2,$A338,N$1+3*$B338))</f>
        <v/>
      </c>
      <c r="O338" s="26" t="str">
        <f ca="1">IF($D338="","",IF(OFFSET('(2)出場選手'!$B$2,$A338,O$1+3*$B338)="","",OFFSET('(2)出場選手'!$B$2,$A338,O$1+3*$B338)))</f>
        <v/>
      </c>
      <c r="P338" s="26" t="str">
        <f ca="1">IF($D338="","",IF(OFFSET('(2)出場選手'!$B$2,$A338,P$1+3*$B338)="","",OFFSET('(2)出場選手'!$B$2,$A338,P$1+3*$B338)))</f>
        <v/>
      </c>
      <c r="Q338" s="43" t="str">
        <f ca="1">IF(D338="","",VLOOKUP(N338,OFFSET(Competition_Events,0,1),11,FALSE)*IF($S338="リレー",IF(COUNTIF($T$3:$T338,$T338)&gt;1,0,1),1))</f>
        <v/>
      </c>
      <c r="R338" s="26" t="str">
        <f t="shared" ca="1" si="20"/>
        <v/>
      </c>
      <c r="S338" s="26" t="str">
        <f t="shared" ca="1" si="21"/>
        <v/>
      </c>
      <c r="T338" s="26" t="str">
        <f t="shared" ca="1" si="22"/>
        <v/>
      </c>
      <c r="U338" s="26" t="str">
        <f t="shared" ca="1" si="27"/>
        <v/>
      </c>
      <c r="W338" s="17" t="str">
        <f ca="1">IF($D338="","",OFFSET('(2)出場選手'!$B$2,$A338,W$1))</f>
        <v/>
      </c>
      <c r="X338" s="17" t="str">
        <f ca="1">IF($D338="","",OFFSET('(2)出場選手'!$B$2,$A338,X$1))</f>
        <v/>
      </c>
      <c r="Y338" s="17" t="str">
        <f ca="1">IF($D338="","",OFFSET('(2)出場選手'!$B$2,$A338,Y$1))</f>
        <v/>
      </c>
      <c r="Z338" s="17" t="str">
        <f ca="1">IF($D338="","",OFFSET('(2)出場選手'!$B$2,$A338,Z$1))</f>
        <v/>
      </c>
    </row>
    <row r="339" spans="1:26" x14ac:dyDescent="0.15">
      <c r="A339" s="17">
        <f>TRUNC((ROWS($D$3:D339)-2)/Max_Entry_Count)+1</f>
        <v>112</v>
      </c>
      <c r="B339" s="17" t="str">
        <f ca="1">IF($A339&gt;=ROWS(Entries)-2,"",IF(OFFSET('(2)出場選手'!$B$2,$A339,B$1+3*(MOD(ROWS($D$3:D339)-2,Max_Entry_Count)))="","",MOD(ROWS($D$3:D339)-2,Max_Entry_Count)))</f>
        <v/>
      </c>
      <c r="D339" s="26" t="str">
        <f ca="1">IF(OR($A339&gt;=ROWS(Entries)-2,$B339=""),"",'(1)鑑'!$E$6&amp;"-"&amp;OFFSET('(2)出場選手'!$B$2,$A339,D$1))</f>
        <v/>
      </c>
      <c r="E339" s="26" t="str">
        <f ca="1">IF($D339="","",OFFSET('(2)出場選手'!$B$2,$A339,E$1))</f>
        <v/>
      </c>
      <c r="F339" s="26" t="str">
        <f ca="1">IF($D339="","",IF(OFFSET('(2)出場選手'!$B$2,$A339,F$1)="","",OFFSET('(2)出場選手'!$B$2,$A339,F$1)))</f>
        <v/>
      </c>
      <c r="G339" s="26" t="str">
        <f t="shared" ca="1" si="18"/>
        <v/>
      </c>
      <c r="H339" s="26" t="str">
        <f t="shared" ca="1" si="28"/>
        <v/>
      </c>
      <c r="I339" s="26" t="str">
        <f ca="1">IF($D339="","",IF(OFFSET('(2)出場選手'!$B$2,$A339,I$1)="","",OFFSET('(2)出場選手'!$B$2,$A339,I$1)))</f>
        <v/>
      </c>
      <c r="J339" s="26" t="str">
        <f ca="1">IF($D339="","",IF(OFFSET('(2)出場選手'!$B$2,$A339,J$1)="",'(1)鑑'!$E$6,OFFSET('(2)出場選手'!$B$2,$A339,J$1)))</f>
        <v/>
      </c>
      <c r="K339" s="26" t="str">
        <f ca="1">IF($D339="","",TRIM(ASC(IF(OFFSET('(2)出場選手'!$B$2,$A339,K$1)="",'(1)鑑'!$E$7,OFFSET('(2)出場選手'!$B$2,$A339,K$1)))))</f>
        <v/>
      </c>
      <c r="L339" s="26" t="str">
        <f ca="1">IF($D339="","",SUBSTITUTE(SUBSTITUTE(SUBSTITUTE(IF(OFFSET('(2)出場選手'!$B$2,$A339,L$1)="",'(1)鑑'!$E$8,OFFSET('(2)出場選手'!$B$2,$A339,L$1)),"県",""),"府",""),"東京都","東京"))</f>
        <v/>
      </c>
      <c r="M339" s="57" t="str">
        <f ca="1">IF($D339="","",IF(OFFSET('(2)出場選手'!$B$2,$A339,M$1)="","",OFFSET('(2)出場選手'!$B$2,$A339,M$1)))</f>
        <v/>
      </c>
      <c r="N339" s="26" t="str">
        <f ca="1">IF($D339="","",OFFSET('(2)出場選手'!$B$2,$A339,N$1+3*$B339))</f>
        <v/>
      </c>
      <c r="O339" s="26" t="str">
        <f ca="1">IF($D339="","",IF(OFFSET('(2)出場選手'!$B$2,$A339,O$1+3*$B339)="","",OFFSET('(2)出場選手'!$B$2,$A339,O$1+3*$B339)))</f>
        <v/>
      </c>
      <c r="P339" s="26" t="str">
        <f ca="1">IF($D339="","",IF(OFFSET('(2)出場選手'!$B$2,$A339,P$1+3*$B339)="","",OFFSET('(2)出場選手'!$B$2,$A339,P$1+3*$B339)))</f>
        <v/>
      </c>
      <c r="Q339" s="43" t="str">
        <f ca="1">IF(D339="","",VLOOKUP(N339,OFFSET(Competition_Events,0,1),11,FALSE)*IF($S339="リレー",IF(COUNTIF($T$3:$T339,$T339)&gt;1,0,1),1))</f>
        <v/>
      </c>
      <c r="R339" s="26" t="str">
        <f t="shared" ca="1" si="20"/>
        <v/>
      </c>
      <c r="S339" s="26" t="str">
        <f t="shared" ca="1" si="21"/>
        <v/>
      </c>
      <c r="T339" s="26" t="str">
        <f t="shared" ca="1" si="22"/>
        <v/>
      </c>
      <c r="U339" s="26" t="str">
        <f t="shared" ca="1" si="27"/>
        <v/>
      </c>
      <c r="W339" s="17" t="str">
        <f ca="1">IF($D339="","",OFFSET('(2)出場選手'!$B$2,$A339,W$1))</f>
        <v/>
      </c>
      <c r="X339" s="17" t="str">
        <f ca="1">IF($D339="","",OFFSET('(2)出場選手'!$B$2,$A339,X$1))</f>
        <v/>
      </c>
      <c r="Y339" s="17" t="str">
        <f ca="1">IF($D339="","",OFFSET('(2)出場選手'!$B$2,$A339,Y$1))</f>
        <v/>
      </c>
      <c r="Z339" s="17" t="str">
        <f ca="1">IF($D339="","",OFFSET('(2)出場選手'!$B$2,$A339,Z$1))</f>
        <v/>
      </c>
    </row>
    <row r="340" spans="1:26" x14ac:dyDescent="0.15">
      <c r="A340" s="17">
        <f>TRUNC((ROWS($D$3:D340)-2)/Max_Entry_Count)+1</f>
        <v>113</v>
      </c>
      <c r="B340" s="17" t="str">
        <f ca="1">IF($A340&gt;=ROWS(Entries)-2,"",IF(OFFSET('(2)出場選手'!$B$2,$A340,B$1+3*(MOD(ROWS($D$3:D340)-2,Max_Entry_Count)))="","",MOD(ROWS($D$3:D340)-2,Max_Entry_Count)))</f>
        <v/>
      </c>
      <c r="D340" s="26" t="str">
        <f ca="1">IF(OR($A340&gt;=ROWS(Entries)-2,$B340=""),"",'(1)鑑'!$E$6&amp;"-"&amp;OFFSET('(2)出場選手'!$B$2,$A340,D$1))</f>
        <v/>
      </c>
      <c r="E340" s="26" t="str">
        <f ca="1">IF($D340="","",OFFSET('(2)出場選手'!$B$2,$A340,E$1))</f>
        <v/>
      </c>
      <c r="F340" s="26" t="str">
        <f ca="1">IF($D340="","",IF(OFFSET('(2)出場選手'!$B$2,$A340,F$1)="","",OFFSET('(2)出場選手'!$B$2,$A340,F$1)))</f>
        <v/>
      </c>
      <c r="G340" s="26" t="str">
        <f t="shared" ca="1" si="18"/>
        <v/>
      </c>
      <c r="H340" s="26" t="str">
        <f t="shared" ca="1" si="28"/>
        <v/>
      </c>
      <c r="I340" s="26" t="str">
        <f ca="1">IF($D340="","",IF(OFFSET('(2)出場選手'!$B$2,$A340,I$1)="","",OFFSET('(2)出場選手'!$B$2,$A340,I$1)))</f>
        <v/>
      </c>
      <c r="J340" s="26" t="str">
        <f ca="1">IF($D340="","",IF(OFFSET('(2)出場選手'!$B$2,$A340,J$1)="",'(1)鑑'!$E$6,OFFSET('(2)出場選手'!$B$2,$A340,J$1)))</f>
        <v/>
      </c>
      <c r="K340" s="26" t="str">
        <f ca="1">IF($D340="","",TRIM(ASC(IF(OFFSET('(2)出場選手'!$B$2,$A340,K$1)="",'(1)鑑'!$E$7,OFFSET('(2)出場選手'!$B$2,$A340,K$1)))))</f>
        <v/>
      </c>
      <c r="L340" s="26" t="str">
        <f ca="1">IF($D340="","",SUBSTITUTE(SUBSTITUTE(SUBSTITUTE(IF(OFFSET('(2)出場選手'!$B$2,$A340,L$1)="",'(1)鑑'!$E$8,OFFSET('(2)出場選手'!$B$2,$A340,L$1)),"県",""),"府",""),"東京都","東京"))</f>
        <v/>
      </c>
      <c r="M340" s="57" t="str">
        <f ca="1">IF($D340="","",IF(OFFSET('(2)出場選手'!$B$2,$A340,M$1)="","",OFFSET('(2)出場選手'!$B$2,$A340,M$1)))</f>
        <v/>
      </c>
      <c r="N340" s="26" t="str">
        <f ca="1">IF($D340="","",OFFSET('(2)出場選手'!$B$2,$A340,N$1+3*$B340))</f>
        <v/>
      </c>
      <c r="O340" s="26" t="str">
        <f ca="1">IF($D340="","",IF(OFFSET('(2)出場選手'!$B$2,$A340,O$1+3*$B340)="","",OFFSET('(2)出場選手'!$B$2,$A340,O$1+3*$B340)))</f>
        <v/>
      </c>
      <c r="P340" s="26" t="str">
        <f ca="1">IF($D340="","",IF(OFFSET('(2)出場選手'!$B$2,$A340,P$1+3*$B340)="","",OFFSET('(2)出場選手'!$B$2,$A340,P$1+3*$B340)))</f>
        <v/>
      </c>
      <c r="Q340" s="43" t="str">
        <f ca="1">IF(D340="","",VLOOKUP(N340,OFFSET(Competition_Events,0,1),11,FALSE)*IF($S340="リレー",IF(COUNTIF($T$3:$T340,$T340)&gt;1,0,1),1))</f>
        <v/>
      </c>
      <c r="R340" s="26" t="str">
        <f t="shared" ca="1" si="20"/>
        <v/>
      </c>
      <c r="S340" s="26" t="str">
        <f t="shared" ca="1" si="21"/>
        <v/>
      </c>
      <c r="T340" s="26" t="str">
        <f t="shared" ca="1" si="22"/>
        <v/>
      </c>
      <c r="U340" s="26" t="str">
        <f t="shared" ca="1" si="27"/>
        <v/>
      </c>
      <c r="W340" s="17" t="str">
        <f ca="1">IF($D340="","",OFFSET('(2)出場選手'!$B$2,$A340,W$1))</f>
        <v/>
      </c>
      <c r="X340" s="17" t="str">
        <f ca="1">IF($D340="","",OFFSET('(2)出場選手'!$B$2,$A340,X$1))</f>
        <v/>
      </c>
      <c r="Y340" s="17" t="str">
        <f ca="1">IF($D340="","",OFFSET('(2)出場選手'!$B$2,$A340,Y$1))</f>
        <v/>
      </c>
      <c r="Z340" s="17" t="str">
        <f ca="1">IF($D340="","",OFFSET('(2)出場選手'!$B$2,$A340,Z$1))</f>
        <v/>
      </c>
    </row>
    <row r="341" spans="1:26" x14ac:dyDescent="0.15">
      <c r="A341" s="17">
        <f>TRUNC((ROWS($D$3:D341)-2)/Max_Entry_Count)+1</f>
        <v>113</v>
      </c>
      <c r="B341" s="17" t="str">
        <f ca="1">IF($A341&gt;=ROWS(Entries)-2,"",IF(OFFSET('(2)出場選手'!$B$2,$A341,B$1+3*(MOD(ROWS($D$3:D341)-2,Max_Entry_Count)))="","",MOD(ROWS($D$3:D341)-2,Max_Entry_Count)))</f>
        <v/>
      </c>
      <c r="D341" s="26" t="str">
        <f ca="1">IF(OR($A341&gt;=ROWS(Entries)-2,$B341=""),"",'(1)鑑'!$E$6&amp;"-"&amp;OFFSET('(2)出場選手'!$B$2,$A341,D$1))</f>
        <v/>
      </c>
      <c r="E341" s="26" t="str">
        <f ca="1">IF($D341="","",OFFSET('(2)出場選手'!$B$2,$A341,E$1))</f>
        <v/>
      </c>
      <c r="F341" s="26" t="str">
        <f ca="1">IF($D341="","",IF(OFFSET('(2)出場選手'!$B$2,$A341,F$1)="","",OFFSET('(2)出場選手'!$B$2,$A341,F$1)))</f>
        <v/>
      </c>
      <c r="G341" s="26" t="str">
        <f t="shared" ca="1" si="18"/>
        <v/>
      </c>
      <c r="H341" s="26" t="str">
        <f t="shared" ca="1" si="28"/>
        <v/>
      </c>
      <c r="I341" s="26" t="str">
        <f ca="1">IF($D341="","",IF(OFFSET('(2)出場選手'!$B$2,$A341,I$1)="","",OFFSET('(2)出場選手'!$B$2,$A341,I$1)))</f>
        <v/>
      </c>
      <c r="J341" s="26" t="str">
        <f ca="1">IF($D341="","",IF(OFFSET('(2)出場選手'!$B$2,$A341,J$1)="",'(1)鑑'!$E$6,OFFSET('(2)出場選手'!$B$2,$A341,J$1)))</f>
        <v/>
      </c>
      <c r="K341" s="26" t="str">
        <f ca="1">IF($D341="","",TRIM(ASC(IF(OFFSET('(2)出場選手'!$B$2,$A341,K$1)="",'(1)鑑'!$E$7,OFFSET('(2)出場選手'!$B$2,$A341,K$1)))))</f>
        <v/>
      </c>
      <c r="L341" s="26" t="str">
        <f ca="1">IF($D341="","",SUBSTITUTE(SUBSTITUTE(SUBSTITUTE(IF(OFFSET('(2)出場選手'!$B$2,$A341,L$1)="",'(1)鑑'!$E$8,OFFSET('(2)出場選手'!$B$2,$A341,L$1)),"県",""),"府",""),"東京都","東京"))</f>
        <v/>
      </c>
      <c r="M341" s="57" t="str">
        <f ca="1">IF($D341="","",IF(OFFSET('(2)出場選手'!$B$2,$A341,M$1)="","",OFFSET('(2)出場選手'!$B$2,$A341,M$1)))</f>
        <v/>
      </c>
      <c r="N341" s="26" t="str">
        <f ca="1">IF($D341="","",OFFSET('(2)出場選手'!$B$2,$A341,N$1+3*$B341))</f>
        <v/>
      </c>
      <c r="O341" s="26" t="str">
        <f ca="1">IF($D341="","",IF(OFFSET('(2)出場選手'!$B$2,$A341,O$1+3*$B341)="","",OFFSET('(2)出場選手'!$B$2,$A341,O$1+3*$B341)))</f>
        <v/>
      </c>
      <c r="P341" s="26" t="str">
        <f ca="1">IF($D341="","",IF(OFFSET('(2)出場選手'!$B$2,$A341,P$1+3*$B341)="","",OFFSET('(2)出場選手'!$B$2,$A341,P$1+3*$B341)))</f>
        <v/>
      </c>
      <c r="Q341" s="43" t="str">
        <f ca="1">IF(D341="","",VLOOKUP(N341,OFFSET(Competition_Events,0,1),11,FALSE)*IF($S341="リレー",IF(COUNTIF($T$3:$T341,$T341)&gt;1,0,1),1))</f>
        <v/>
      </c>
      <c r="R341" s="26" t="str">
        <f t="shared" ca="1" si="20"/>
        <v/>
      </c>
      <c r="S341" s="26" t="str">
        <f t="shared" ca="1" si="21"/>
        <v/>
      </c>
      <c r="T341" s="26" t="str">
        <f t="shared" ca="1" si="22"/>
        <v/>
      </c>
      <c r="U341" s="26" t="str">
        <f t="shared" ca="1" si="27"/>
        <v/>
      </c>
      <c r="W341" s="17" t="str">
        <f ca="1">IF($D341="","",OFFSET('(2)出場選手'!$B$2,$A341,W$1))</f>
        <v/>
      </c>
      <c r="X341" s="17" t="str">
        <f ca="1">IF($D341="","",OFFSET('(2)出場選手'!$B$2,$A341,X$1))</f>
        <v/>
      </c>
      <c r="Y341" s="17" t="str">
        <f ca="1">IF($D341="","",OFFSET('(2)出場選手'!$B$2,$A341,Y$1))</f>
        <v/>
      </c>
      <c r="Z341" s="17" t="str">
        <f ca="1">IF($D341="","",OFFSET('(2)出場選手'!$B$2,$A341,Z$1))</f>
        <v/>
      </c>
    </row>
    <row r="342" spans="1:26" x14ac:dyDescent="0.15">
      <c r="A342" s="17">
        <f>TRUNC((ROWS($D$3:D342)-2)/Max_Entry_Count)+1</f>
        <v>113</v>
      </c>
      <c r="B342" s="17" t="str">
        <f ca="1">IF($A342&gt;=ROWS(Entries)-2,"",IF(OFFSET('(2)出場選手'!$B$2,$A342,B$1+3*(MOD(ROWS($D$3:D342)-2,Max_Entry_Count)))="","",MOD(ROWS($D$3:D342)-2,Max_Entry_Count)))</f>
        <v/>
      </c>
      <c r="D342" s="26" t="str">
        <f ca="1">IF(OR($A342&gt;=ROWS(Entries)-2,$B342=""),"",'(1)鑑'!$E$6&amp;"-"&amp;OFFSET('(2)出場選手'!$B$2,$A342,D$1))</f>
        <v/>
      </c>
      <c r="E342" s="26" t="str">
        <f ca="1">IF($D342="","",OFFSET('(2)出場選手'!$B$2,$A342,E$1))</f>
        <v/>
      </c>
      <c r="F342" s="26" t="str">
        <f ca="1">IF($D342="","",IF(OFFSET('(2)出場選手'!$B$2,$A342,F$1)="","",OFFSET('(2)出場選手'!$B$2,$A342,F$1)))</f>
        <v/>
      </c>
      <c r="G342" s="26" t="str">
        <f t="shared" ca="1" si="18"/>
        <v/>
      </c>
      <c r="H342" s="26" t="str">
        <f t="shared" ca="1" si="28"/>
        <v/>
      </c>
      <c r="I342" s="26" t="str">
        <f ca="1">IF($D342="","",IF(OFFSET('(2)出場選手'!$B$2,$A342,I$1)="","",OFFSET('(2)出場選手'!$B$2,$A342,I$1)))</f>
        <v/>
      </c>
      <c r="J342" s="26" t="str">
        <f ca="1">IF($D342="","",IF(OFFSET('(2)出場選手'!$B$2,$A342,J$1)="",'(1)鑑'!$E$6,OFFSET('(2)出場選手'!$B$2,$A342,J$1)))</f>
        <v/>
      </c>
      <c r="K342" s="26" t="str">
        <f ca="1">IF($D342="","",TRIM(ASC(IF(OFFSET('(2)出場選手'!$B$2,$A342,K$1)="",'(1)鑑'!$E$7,OFFSET('(2)出場選手'!$B$2,$A342,K$1)))))</f>
        <v/>
      </c>
      <c r="L342" s="26" t="str">
        <f ca="1">IF($D342="","",SUBSTITUTE(SUBSTITUTE(SUBSTITUTE(IF(OFFSET('(2)出場選手'!$B$2,$A342,L$1)="",'(1)鑑'!$E$8,OFFSET('(2)出場選手'!$B$2,$A342,L$1)),"県",""),"府",""),"東京都","東京"))</f>
        <v/>
      </c>
      <c r="M342" s="57" t="str">
        <f ca="1">IF($D342="","",IF(OFFSET('(2)出場選手'!$B$2,$A342,M$1)="","",OFFSET('(2)出場選手'!$B$2,$A342,M$1)))</f>
        <v/>
      </c>
      <c r="N342" s="26" t="str">
        <f ca="1">IF($D342="","",OFFSET('(2)出場選手'!$B$2,$A342,N$1+3*$B342))</f>
        <v/>
      </c>
      <c r="O342" s="26" t="str">
        <f ca="1">IF($D342="","",IF(OFFSET('(2)出場選手'!$B$2,$A342,O$1+3*$B342)="","",OFFSET('(2)出場選手'!$B$2,$A342,O$1+3*$B342)))</f>
        <v/>
      </c>
      <c r="P342" s="26" t="str">
        <f ca="1">IF($D342="","",IF(OFFSET('(2)出場選手'!$B$2,$A342,P$1+3*$B342)="","",OFFSET('(2)出場選手'!$B$2,$A342,P$1+3*$B342)))</f>
        <v/>
      </c>
      <c r="Q342" s="43" t="str">
        <f ca="1">IF(D342="","",VLOOKUP(N342,OFFSET(Competition_Events,0,1),11,FALSE)*IF($S342="リレー",IF(COUNTIF($T$3:$T342,$T342)&gt;1,0,1),1))</f>
        <v/>
      </c>
      <c r="R342" s="26" t="str">
        <f t="shared" ca="1" si="20"/>
        <v/>
      </c>
      <c r="S342" s="26" t="str">
        <f t="shared" ca="1" si="21"/>
        <v/>
      </c>
      <c r="T342" s="26" t="str">
        <f t="shared" ca="1" si="22"/>
        <v/>
      </c>
      <c r="U342" s="26" t="str">
        <f t="shared" ca="1" si="27"/>
        <v/>
      </c>
      <c r="W342" s="17" t="str">
        <f ca="1">IF($D342="","",OFFSET('(2)出場選手'!$B$2,$A342,W$1))</f>
        <v/>
      </c>
      <c r="X342" s="17" t="str">
        <f ca="1">IF($D342="","",OFFSET('(2)出場選手'!$B$2,$A342,X$1))</f>
        <v/>
      </c>
      <c r="Y342" s="17" t="str">
        <f ca="1">IF($D342="","",OFFSET('(2)出場選手'!$B$2,$A342,Y$1))</f>
        <v/>
      </c>
      <c r="Z342" s="17" t="str">
        <f ca="1">IF($D342="","",OFFSET('(2)出場選手'!$B$2,$A342,Z$1))</f>
        <v/>
      </c>
    </row>
    <row r="343" spans="1:26" x14ac:dyDescent="0.15">
      <c r="A343" s="17">
        <f>TRUNC((ROWS($D$3:D343)-2)/Max_Entry_Count)+1</f>
        <v>114</v>
      </c>
      <c r="B343" s="17" t="str">
        <f ca="1">IF($A343&gt;=ROWS(Entries)-2,"",IF(OFFSET('(2)出場選手'!$B$2,$A343,B$1+3*(MOD(ROWS($D$3:D343)-2,Max_Entry_Count)))="","",MOD(ROWS($D$3:D343)-2,Max_Entry_Count)))</f>
        <v/>
      </c>
      <c r="D343" s="26" t="str">
        <f ca="1">IF(OR($A343&gt;=ROWS(Entries)-2,$B343=""),"",'(1)鑑'!$E$6&amp;"-"&amp;OFFSET('(2)出場選手'!$B$2,$A343,D$1))</f>
        <v/>
      </c>
      <c r="E343" s="26" t="str">
        <f ca="1">IF($D343="","",OFFSET('(2)出場選手'!$B$2,$A343,E$1))</f>
        <v/>
      </c>
      <c r="F343" s="26" t="str">
        <f ca="1">IF($D343="","",IF(OFFSET('(2)出場選手'!$B$2,$A343,F$1)="","",OFFSET('(2)出場選手'!$B$2,$A343,F$1)))</f>
        <v/>
      </c>
      <c r="G343" s="26" t="str">
        <f t="shared" ca="1" si="18"/>
        <v/>
      </c>
      <c r="H343" s="26" t="str">
        <f t="shared" ca="1" si="28"/>
        <v/>
      </c>
      <c r="I343" s="26" t="str">
        <f ca="1">IF($D343="","",IF(OFFSET('(2)出場選手'!$B$2,$A343,I$1)="","",OFFSET('(2)出場選手'!$B$2,$A343,I$1)))</f>
        <v/>
      </c>
      <c r="J343" s="26" t="str">
        <f ca="1">IF($D343="","",IF(OFFSET('(2)出場選手'!$B$2,$A343,J$1)="",'(1)鑑'!$E$6,OFFSET('(2)出場選手'!$B$2,$A343,J$1)))</f>
        <v/>
      </c>
      <c r="K343" s="26" t="str">
        <f ca="1">IF($D343="","",TRIM(ASC(IF(OFFSET('(2)出場選手'!$B$2,$A343,K$1)="",'(1)鑑'!$E$7,OFFSET('(2)出場選手'!$B$2,$A343,K$1)))))</f>
        <v/>
      </c>
      <c r="L343" s="26" t="str">
        <f ca="1">IF($D343="","",SUBSTITUTE(SUBSTITUTE(SUBSTITUTE(IF(OFFSET('(2)出場選手'!$B$2,$A343,L$1)="",'(1)鑑'!$E$8,OFFSET('(2)出場選手'!$B$2,$A343,L$1)),"県",""),"府",""),"東京都","東京"))</f>
        <v/>
      </c>
      <c r="M343" s="57" t="str">
        <f ca="1">IF($D343="","",IF(OFFSET('(2)出場選手'!$B$2,$A343,M$1)="","",OFFSET('(2)出場選手'!$B$2,$A343,M$1)))</f>
        <v/>
      </c>
      <c r="N343" s="26" t="str">
        <f ca="1">IF($D343="","",OFFSET('(2)出場選手'!$B$2,$A343,N$1+3*$B343))</f>
        <v/>
      </c>
      <c r="O343" s="26" t="str">
        <f ca="1">IF($D343="","",IF(OFFSET('(2)出場選手'!$B$2,$A343,O$1+3*$B343)="","",OFFSET('(2)出場選手'!$B$2,$A343,O$1+3*$B343)))</f>
        <v/>
      </c>
      <c r="P343" s="26" t="str">
        <f ca="1">IF($D343="","",IF(OFFSET('(2)出場選手'!$B$2,$A343,P$1+3*$B343)="","",OFFSET('(2)出場選手'!$B$2,$A343,P$1+3*$B343)))</f>
        <v/>
      </c>
      <c r="Q343" s="43" t="str">
        <f ca="1">IF(D343="","",VLOOKUP(N343,OFFSET(Competition_Events,0,1),11,FALSE)*IF($S343="リレー",IF(COUNTIF($T$3:$T343,$T343)&gt;1,0,1),1))</f>
        <v/>
      </c>
      <c r="R343" s="26" t="str">
        <f t="shared" ca="1" si="20"/>
        <v/>
      </c>
      <c r="S343" s="26" t="str">
        <f t="shared" ca="1" si="21"/>
        <v/>
      </c>
      <c r="T343" s="26" t="str">
        <f t="shared" ca="1" si="22"/>
        <v/>
      </c>
      <c r="U343" s="26" t="str">
        <f t="shared" ca="1" si="27"/>
        <v/>
      </c>
      <c r="W343" s="17" t="str">
        <f ca="1">IF($D343="","",OFFSET('(2)出場選手'!$B$2,$A343,W$1))</f>
        <v/>
      </c>
      <c r="X343" s="17" t="str">
        <f ca="1">IF($D343="","",OFFSET('(2)出場選手'!$B$2,$A343,X$1))</f>
        <v/>
      </c>
      <c r="Y343" s="17" t="str">
        <f ca="1">IF($D343="","",OFFSET('(2)出場選手'!$B$2,$A343,Y$1))</f>
        <v/>
      </c>
      <c r="Z343" s="17" t="str">
        <f ca="1">IF($D343="","",OFFSET('(2)出場選手'!$B$2,$A343,Z$1))</f>
        <v/>
      </c>
    </row>
    <row r="344" spans="1:26" x14ac:dyDescent="0.15">
      <c r="A344" s="17">
        <f>TRUNC((ROWS($D$3:D344)-2)/Max_Entry_Count)+1</f>
        <v>114</v>
      </c>
      <c r="B344" s="17" t="str">
        <f ca="1">IF($A344&gt;=ROWS(Entries)-2,"",IF(OFFSET('(2)出場選手'!$B$2,$A344,B$1+3*(MOD(ROWS($D$3:D344)-2,Max_Entry_Count)))="","",MOD(ROWS($D$3:D344)-2,Max_Entry_Count)))</f>
        <v/>
      </c>
      <c r="D344" s="26" t="str">
        <f ca="1">IF(OR($A344&gt;=ROWS(Entries)-2,$B344=""),"",'(1)鑑'!$E$6&amp;"-"&amp;OFFSET('(2)出場選手'!$B$2,$A344,D$1))</f>
        <v/>
      </c>
      <c r="E344" s="26" t="str">
        <f ca="1">IF($D344="","",OFFSET('(2)出場選手'!$B$2,$A344,E$1))</f>
        <v/>
      </c>
      <c r="F344" s="26" t="str">
        <f ca="1">IF($D344="","",IF(OFFSET('(2)出場選手'!$B$2,$A344,F$1)="","",OFFSET('(2)出場選手'!$B$2,$A344,F$1)))</f>
        <v/>
      </c>
      <c r="G344" s="26" t="str">
        <f t="shared" ca="1" si="18"/>
        <v/>
      </c>
      <c r="H344" s="26" t="str">
        <f t="shared" ca="1" si="28"/>
        <v/>
      </c>
      <c r="I344" s="26" t="str">
        <f ca="1">IF($D344="","",IF(OFFSET('(2)出場選手'!$B$2,$A344,I$1)="","",OFFSET('(2)出場選手'!$B$2,$A344,I$1)))</f>
        <v/>
      </c>
      <c r="J344" s="26" t="str">
        <f ca="1">IF($D344="","",IF(OFFSET('(2)出場選手'!$B$2,$A344,J$1)="",'(1)鑑'!$E$6,OFFSET('(2)出場選手'!$B$2,$A344,J$1)))</f>
        <v/>
      </c>
      <c r="K344" s="26" t="str">
        <f ca="1">IF($D344="","",TRIM(ASC(IF(OFFSET('(2)出場選手'!$B$2,$A344,K$1)="",'(1)鑑'!$E$7,OFFSET('(2)出場選手'!$B$2,$A344,K$1)))))</f>
        <v/>
      </c>
      <c r="L344" s="26" t="str">
        <f ca="1">IF($D344="","",SUBSTITUTE(SUBSTITUTE(SUBSTITUTE(IF(OFFSET('(2)出場選手'!$B$2,$A344,L$1)="",'(1)鑑'!$E$8,OFFSET('(2)出場選手'!$B$2,$A344,L$1)),"県",""),"府",""),"東京都","東京"))</f>
        <v/>
      </c>
      <c r="M344" s="57" t="str">
        <f ca="1">IF($D344="","",IF(OFFSET('(2)出場選手'!$B$2,$A344,M$1)="","",OFFSET('(2)出場選手'!$B$2,$A344,M$1)))</f>
        <v/>
      </c>
      <c r="N344" s="26" t="str">
        <f ca="1">IF($D344="","",OFFSET('(2)出場選手'!$B$2,$A344,N$1+3*$B344))</f>
        <v/>
      </c>
      <c r="O344" s="26" t="str">
        <f ca="1">IF($D344="","",IF(OFFSET('(2)出場選手'!$B$2,$A344,O$1+3*$B344)="","",OFFSET('(2)出場選手'!$B$2,$A344,O$1+3*$B344)))</f>
        <v/>
      </c>
      <c r="P344" s="26" t="str">
        <f ca="1">IF($D344="","",IF(OFFSET('(2)出場選手'!$B$2,$A344,P$1+3*$B344)="","",OFFSET('(2)出場選手'!$B$2,$A344,P$1+3*$B344)))</f>
        <v/>
      </c>
      <c r="Q344" s="43" t="str">
        <f ca="1">IF(D344="","",VLOOKUP(N344,OFFSET(Competition_Events,0,1),11,FALSE)*IF($S344="リレー",IF(COUNTIF($T$3:$T344,$T344)&gt;1,0,1),1))</f>
        <v/>
      </c>
      <c r="R344" s="26" t="str">
        <f t="shared" ca="1" si="20"/>
        <v/>
      </c>
      <c r="S344" s="26" t="str">
        <f t="shared" ca="1" si="21"/>
        <v/>
      </c>
      <c r="T344" s="26" t="str">
        <f t="shared" ca="1" si="22"/>
        <v/>
      </c>
      <c r="U344" s="26" t="str">
        <f t="shared" ca="1" si="27"/>
        <v/>
      </c>
      <c r="W344" s="17" t="str">
        <f ca="1">IF($D344="","",OFFSET('(2)出場選手'!$B$2,$A344,W$1))</f>
        <v/>
      </c>
      <c r="X344" s="17" t="str">
        <f ca="1">IF($D344="","",OFFSET('(2)出場選手'!$B$2,$A344,X$1))</f>
        <v/>
      </c>
      <c r="Y344" s="17" t="str">
        <f ca="1">IF($D344="","",OFFSET('(2)出場選手'!$B$2,$A344,Y$1))</f>
        <v/>
      </c>
      <c r="Z344" s="17" t="str">
        <f ca="1">IF($D344="","",OFFSET('(2)出場選手'!$B$2,$A344,Z$1))</f>
        <v/>
      </c>
    </row>
    <row r="345" spans="1:26" x14ac:dyDescent="0.15">
      <c r="A345" s="17">
        <f>TRUNC((ROWS($D$3:D345)-2)/Max_Entry_Count)+1</f>
        <v>114</v>
      </c>
      <c r="B345" s="17" t="str">
        <f ca="1">IF($A345&gt;=ROWS(Entries)-2,"",IF(OFFSET('(2)出場選手'!$B$2,$A345,B$1+3*(MOD(ROWS($D$3:D345)-2,Max_Entry_Count)))="","",MOD(ROWS($D$3:D345)-2,Max_Entry_Count)))</f>
        <v/>
      </c>
      <c r="D345" s="26" t="str">
        <f ca="1">IF(OR($A345&gt;=ROWS(Entries)-2,$B345=""),"",'(1)鑑'!$E$6&amp;"-"&amp;OFFSET('(2)出場選手'!$B$2,$A345,D$1))</f>
        <v/>
      </c>
      <c r="E345" s="26" t="str">
        <f ca="1">IF($D345="","",OFFSET('(2)出場選手'!$B$2,$A345,E$1))</f>
        <v/>
      </c>
      <c r="F345" s="26" t="str">
        <f ca="1">IF($D345="","",IF(OFFSET('(2)出場選手'!$B$2,$A345,F$1)="","",OFFSET('(2)出場選手'!$B$2,$A345,F$1)))</f>
        <v/>
      </c>
      <c r="G345" s="26" t="str">
        <f t="shared" ca="1" si="18"/>
        <v/>
      </c>
      <c r="H345" s="26" t="str">
        <f t="shared" ca="1" si="28"/>
        <v/>
      </c>
      <c r="I345" s="26" t="str">
        <f ca="1">IF($D345="","",IF(OFFSET('(2)出場選手'!$B$2,$A345,I$1)="","",OFFSET('(2)出場選手'!$B$2,$A345,I$1)))</f>
        <v/>
      </c>
      <c r="J345" s="26" t="str">
        <f ca="1">IF($D345="","",IF(OFFSET('(2)出場選手'!$B$2,$A345,J$1)="",'(1)鑑'!$E$6,OFFSET('(2)出場選手'!$B$2,$A345,J$1)))</f>
        <v/>
      </c>
      <c r="K345" s="26" t="str">
        <f ca="1">IF($D345="","",TRIM(ASC(IF(OFFSET('(2)出場選手'!$B$2,$A345,K$1)="",'(1)鑑'!$E$7,OFFSET('(2)出場選手'!$B$2,$A345,K$1)))))</f>
        <v/>
      </c>
      <c r="L345" s="26" t="str">
        <f ca="1">IF($D345="","",SUBSTITUTE(SUBSTITUTE(SUBSTITUTE(IF(OFFSET('(2)出場選手'!$B$2,$A345,L$1)="",'(1)鑑'!$E$8,OFFSET('(2)出場選手'!$B$2,$A345,L$1)),"県",""),"府",""),"東京都","東京"))</f>
        <v/>
      </c>
      <c r="M345" s="57" t="str">
        <f ca="1">IF($D345="","",IF(OFFSET('(2)出場選手'!$B$2,$A345,M$1)="","",OFFSET('(2)出場選手'!$B$2,$A345,M$1)))</f>
        <v/>
      </c>
      <c r="N345" s="26" t="str">
        <f ca="1">IF($D345="","",OFFSET('(2)出場選手'!$B$2,$A345,N$1+3*$B345))</f>
        <v/>
      </c>
      <c r="O345" s="26" t="str">
        <f ca="1">IF($D345="","",IF(OFFSET('(2)出場選手'!$B$2,$A345,O$1+3*$B345)="","",OFFSET('(2)出場選手'!$B$2,$A345,O$1+3*$B345)))</f>
        <v/>
      </c>
      <c r="P345" s="26" t="str">
        <f ca="1">IF($D345="","",IF(OFFSET('(2)出場選手'!$B$2,$A345,P$1+3*$B345)="","",OFFSET('(2)出場選手'!$B$2,$A345,P$1+3*$B345)))</f>
        <v/>
      </c>
      <c r="Q345" s="43" t="str">
        <f ca="1">IF(D345="","",VLOOKUP(N345,OFFSET(Competition_Events,0,1),11,FALSE)*IF($S345="リレー",IF(COUNTIF($T$3:$T345,$T345)&gt;1,0,1),1))</f>
        <v/>
      </c>
      <c r="R345" s="26" t="str">
        <f t="shared" ca="1" si="20"/>
        <v/>
      </c>
      <c r="S345" s="26" t="str">
        <f t="shared" ca="1" si="21"/>
        <v/>
      </c>
      <c r="T345" s="26" t="str">
        <f t="shared" ca="1" si="22"/>
        <v/>
      </c>
      <c r="U345" s="26" t="str">
        <f t="shared" ca="1" si="27"/>
        <v/>
      </c>
      <c r="W345" s="17" t="str">
        <f ca="1">IF($D345="","",OFFSET('(2)出場選手'!$B$2,$A345,W$1))</f>
        <v/>
      </c>
      <c r="X345" s="17" t="str">
        <f ca="1">IF($D345="","",OFFSET('(2)出場選手'!$B$2,$A345,X$1))</f>
        <v/>
      </c>
      <c r="Y345" s="17" t="str">
        <f ca="1">IF($D345="","",OFFSET('(2)出場選手'!$B$2,$A345,Y$1))</f>
        <v/>
      </c>
      <c r="Z345" s="17" t="str">
        <f ca="1">IF($D345="","",OFFSET('(2)出場選手'!$B$2,$A345,Z$1))</f>
        <v/>
      </c>
    </row>
    <row r="346" spans="1:26" x14ac:dyDescent="0.15">
      <c r="A346" s="17">
        <f>TRUNC((ROWS($D$3:D346)-2)/Max_Entry_Count)+1</f>
        <v>115</v>
      </c>
      <c r="B346" s="17" t="str">
        <f ca="1">IF($A346&gt;=ROWS(Entries)-2,"",IF(OFFSET('(2)出場選手'!$B$2,$A346,B$1+3*(MOD(ROWS($D$3:D346)-2,Max_Entry_Count)))="","",MOD(ROWS($D$3:D346)-2,Max_Entry_Count)))</f>
        <v/>
      </c>
      <c r="D346" s="26" t="str">
        <f ca="1">IF(OR($A346&gt;=ROWS(Entries)-2,$B346=""),"",'(1)鑑'!$E$6&amp;"-"&amp;OFFSET('(2)出場選手'!$B$2,$A346,D$1))</f>
        <v/>
      </c>
      <c r="E346" s="26" t="str">
        <f ca="1">IF($D346="","",OFFSET('(2)出場選手'!$B$2,$A346,E$1))</f>
        <v/>
      </c>
      <c r="F346" s="26" t="str">
        <f ca="1">IF($D346="","",IF(OFFSET('(2)出場選手'!$B$2,$A346,F$1)="","",OFFSET('(2)出場選手'!$B$2,$A346,F$1)))</f>
        <v/>
      </c>
      <c r="G346" s="26" t="str">
        <f t="shared" ca="1" si="18"/>
        <v/>
      </c>
      <c r="H346" s="26" t="str">
        <f t="shared" ca="1" si="28"/>
        <v/>
      </c>
      <c r="I346" s="26" t="str">
        <f ca="1">IF($D346="","",IF(OFFSET('(2)出場選手'!$B$2,$A346,I$1)="","",OFFSET('(2)出場選手'!$B$2,$A346,I$1)))</f>
        <v/>
      </c>
      <c r="J346" s="26" t="str">
        <f ca="1">IF($D346="","",IF(OFFSET('(2)出場選手'!$B$2,$A346,J$1)="",'(1)鑑'!$E$6,OFFSET('(2)出場選手'!$B$2,$A346,J$1)))</f>
        <v/>
      </c>
      <c r="K346" s="26" t="str">
        <f ca="1">IF($D346="","",TRIM(ASC(IF(OFFSET('(2)出場選手'!$B$2,$A346,K$1)="",'(1)鑑'!$E$7,OFFSET('(2)出場選手'!$B$2,$A346,K$1)))))</f>
        <v/>
      </c>
      <c r="L346" s="26" t="str">
        <f ca="1">IF($D346="","",SUBSTITUTE(SUBSTITUTE(SUBSTITUTE(IF(OFFSET('(2)出場選手'!$B$2,$A346,L$1)="",'(1)鑑'!$E$8,OFFSET('(2)出場選手'!$B$2,$A346,L$1)),"県",""),"府",""),"東京都","東京"))</f>
        <v/>
      </c>
      <c r="M346" s="57" t="str">
        <f ca="1">IF($D346="","",IF(OFFSET('(2)出場選手'!$B$2,$A346,M$1)="","",OFFSET('(2)出場選手'!$B$2,$A346,M$1)))</f>
        <v/>
      </c>
      <c r="N346" s="26" t="str">
        <f ca="1">IF($D346="","",OFFSET('(2)出場選手'!$B$2,$A346,N$1+3*$B346))</f>
        <v/>
      </c>
      <c r="O346" s="26" t="str">
        <f ca="1">IF($D346="","",IF(OFFSET('(2)出場選手'!$B$2,$A346,O$1+3*$B346)="","",OFFSET('(2)出場選手'!$B$2,$A346,O$1+3*$B346)))</f>
        <v/>
      </c>
      <c r="P346" s="26" t="str">
        <f ca="1">IF($D346="","",IF(OFFSET('(2)出場選手'!$B$2,$A346,P$1+3*$B346)="","",OFFSET('(2)出場選手'!$B$2,$A346,P$1+3*$B346)))</f>
        <v/>
      </c>
      <c r="Q346" s="43" t="str">
        <f ca="1">IF(D346="","",VLOOKUP(N346,OFFSET(Competition_Events,0,1),11,FALSE)*IF($S346="リレー",IF(COUNTIF($T$3:$T346,$T346)&gt;1,0,1),1))</f>
        <v/>
      </c>
      <c r="R346" s="26" t="str">
        <f t="shared" ca="1" si="20"/>
        <v/>
      </c>
      <c r="S346" s="26" t="str">
        <f t="shared" ca="1" si="21"/>
        <v/>
      </c>
      <c r="T346" s="26" t="str">
        <f t="shared" ca="1" si="22"/>
        <v/>
      </c>
      <c r="U346" s="26" t="str">
        <f t="shared" ca="1" si="27"/>
        <v/>
      </c>
      <c r="W346" s="17" t="str">
        <f ca="1">IF($D346="","",OFFSET('(2)出場選手'!$B$2,$A346,W$1))</f>
        <v/>
      </c>
      <c r="X346" s="17" t="str">
        <f ca="1">IF($D346="","",OFFSET('(2)出場選手'!$B$2,$A346,X$1))</f>
        <v/>
      </c>
      <c r="Y346" s="17" t="str">
        <f ca="1">IF($D346="","",OFFSET('(2)出場選手'!$B$2,$A346,Y$1))</f>
        <v/>
      </c>
      <c r="Z346" s="17" t="str">
        <f ca="1">IF($D346="","",OFFSET('(2)出場選手'!$B$2,$A346,Z$1))</f>
        <v/>
      </c>
    </row>
    <row r="347" spans="1:26" x14ac:dyDescent="0.15">
      <c r="A347" s="17">
        <f>TRUNC((ROWS($D$3:D347)-2)/Max_Entry_Count)+1</f>
        <v>115</v>
      </c>
      <c r="B347" s="17" t="str">
        <f ca="1">IF($A347&gt;=ROWS(Entries)-2,"",IF(OFFSET('(2)出場選手'!$B$2,$A347,B$1+3*(MOD(ROWS($D$3:D347)-2,Max_Entry_Count)))="","",MOD(ROWS($D$3:D347)-2,Max_Entry_Count)))</f>
        <v/>
      </c>
      <c r="D347" s="26" t="str">
        <f ca="1">IF(OR($A347&gt;=ROWS(Entries)-2,$B347=""),"",'(1)鑑'!$E$6&amp;"-"&amp;OFFSET('(2)出場選手'!$B$2,$A347,D$1))</f>
        <v/>
      </c>
      <c r="E347" s="26" t="str">
        <f ca="1">IF($D347="","",OFFSET('(2)出場選手'!$B$2,$A347,E$1))</f>
        <v/>
      </c>
      <c r="F347" s="26" t="str">
        <f ca="1">IF($D347="","",IF(OFFSET('(2)出場選手'!$B$2,$A347,F$1)="","",OFFSET('(2)出場選手'!$B$2,$A347,F$1)))</f>
        <v/>
      </c>
      <c r="G347" s="26" t="str">
        <f t="shared" ca="1" si="18"/>
        <v/>
      </c>
      <c r="H347" s="26" t="str">
        <f t="shared" ca="1" si="28"/>
        <v/>
      </c>
      <c r="I347" s="26" t="str">
        <f ca="1">IF($D347="","",IF(OFFSET('(2)出場選手'!$B$2,$A347,I$1)="","",OFFSET('(2)出場選手'!$B$2,$A347,I$1)))</f>
        <v/>
      </c>
      <c r="J347" s="26" t="str">
        <f ca="1">IF($D347="","",IF(OFFSET('(2)出場選手'!$B$2,$A347,J$1)="",'(1)鑑'!$E$6,OFFSET('(2)出場選手'!$B$2,$A347,J$1)))</f>
        <v/>
      </c>
      <c r="K347" s="26" t="str">
        <f ca="1">IF($D347="","",TRIM(ASC(IF(OFFSET('(2)出場選手'!$B$2,$A347,K$1)="",'(1)鑑'!$E$7,OFFSET('(2)出場選手'!$B$2,$A347,K$1)))))</f>
        <v/>
      </c>
      <c r="L347" s="26" t="str">
        <f ca="1">IF($D347="","",SUBSTITUTE(SUBSTITUTE(SUBSTITUTE(IF(OFFSET('(2)出場選手'!$B$2,$A347,L$1)="",'(1)鑑'!$E$8,OFFSET('(2)出場選手'!$B$2,$A347,L$1)),"県",""),"府",""),"東京都","東京"))</f>
        <v/>
      </c>
      <c r="M347" s="57" t="str">
        <f ca="1">IF($D347="","",IF(OFFSET('(2)出場選手'!$B$2,$A347,M$1)="","",OFFSET('(2)出場選手'!$B$2,$A347,M$1)))</f>
        <v/>
      </c>
      <c r="N347" s="26" t="str">
        <f ca="1">IF($D347="","",OFFSET('(2)出場選手'!$B$2,$A347,N$1+3*$B347))</f>
        <v/>
      </c>
      <c r="O347" s="26" t="str">
        <f ca="1">IF($D347="","",IF(OFFSET('(2)出場選手'!$B$2,$A347,O$1+3*$B347)="","",OFFSET('(2)出場選手'!$B$2,$A347,O$1+3*$B347)))</f>
        <v/>
      </c>
      <c r="P347" s="26" t="str">
        <f ca="1">IF($D347="","",IF(OFFSET('(2)出場選手'!$B$2,$A347,P$1+3*$B347)="","",OFFSET('(2)出場選手'!$B$2,$A347,P$1+3*$B347)))</f>
        <v/>
      </c>
      <c r="Q347" s="43" t="str">
        <f ca="1">IF(D347="","",VLOOKUP(N347,OFFSET(Competition_Events,0,1),11,FALSE)*IF($S347="リレー",IF(COUNTIF($T$3:$T347,$T347)&gt;1,0,1),1))</f>
        <v/>
      </c>
      <c r="R347" s="26" t="str">
        <f t="shared" ca="1" si="20"/>
        <v/>
      </c>
      <c r="S347" s="26" t="str">
        <f t="shared" ca="1" si="21"/>
        <v/>
      </c>
      <c r="T347" s="26" t="str">
        <f t="shared" ca="1" si="22"/>
        <v/>
      </c>
      <c r="U347" s="26" t="str">
        <f t="shared" ca="1" si="27"/>
        <v/>
      </c>
      <c r="W347" s="17" t="str">
        <f ca="1">IF($D347="","",OFFSET('(2)出場選手'!$B$2,$A347,W$1))</f>
        <v/>
      </c>
      <c r="X347" s="17" t="str">
        <f ca="1">IF($D347="","",OFFSET('(2)出場選手'!$B$2,$A347,X$1))</f>
        <v/>
      </c>
      <c r="Y347" s="17" t="str">
        <f ca="1">IF($D347="","",OFFSET('(2)出場選手'!$B$2,$A347,Y$1))</f>
        <v/>
      </c>
      <c r="Z347" s="17" t="str">
        <f ca="1">IF($D347="","",OFFSET('(2)出場選手'!$B$2,$A347,Z$1))</f>
        <v/>
      </c>
    </row>
    <row r="348" spans="1:26" x14ac:dyDescent="0.15">
      <c r="A348" s="17">
        <f>TRUNC((ROWS($D$3:D348)-2)/Max_Entry_Count)+1</f>
        <v>115</v>
      </c>
      <c r="B348" s="17" t="str">
        <f ca="1">IF($A348&gt;=ROWS(Entries)-2,"",IF(OFFSET('(2)出場選手'!$B$2,$A348,B$1+3*(MOD(ROWS($D$3:D348)-2,Max_Entry_Count)))="","",MOD(ROWS($D$3:D348)-2,Max_Entry_Count)))</f>
        <v/>
      </c>
      <c r="D348" s="26" t="str">
        <f ca="1">IF(OR($A348&gt;=ROWS(Entries)-2,$B348=""),"",'(1)鑑'!$E$6&amp;"-"&amp;OFFSET('(2)出場選手'!$B$2,$A348,D$1))</f>
        <v/>
      </c>
      <c r="E348" s="26" t="str">
        <f ca="1">IF($D348="","",OFFSET('(2)出場選手'!$B$2,$A348,E$1))</f>
        <v/>
      </c>
      <c r="F348" s="26" t="str">
        <f ca="1">IF($D348="","",IF(OFFSET('(2)出場選手'!$B$2,$A348,F$1)="","",OFFSET('(2)出場選手'!$B$2,$A348,F$1)))</f>
        <v/>
      </c>
      <c r="G348" s="26" t="str">
        <f t="shared" ca="1" si="18"/>
        <v/>
      </c>
      <c r="H348" s="26" t="str">
        <f t="shared" ca="1" si="28"/>
        <v/>
      </c>
      <c r="I348" s="26" t="str">
        <f ca="1">IF($D348="","",IF(OFFSET('(2)出場選手'!$B$2,$A348,I$1)="","",OFFSET('(2)出場選手'!$B$2,$A348,I$1)))</f>
        <v/>
      </c>
      <c r="J348" s="26" t="str">
        <f ca="1">IF($D348="","",IF(OFFSET('(2)出場選手'!$B$2,$A348,J$1)="",'(1)鑑'!$E$6,OFFSET('(2)出場選手'!$B$2,$A348,J$1)))</f>
        <v/>
      </c>
      <c r="K348" s="26" t="str">
        <f ca="1">IF($D348="","",TRIM(ASC(IF(OFFSET('(2)出場選手'!$B$2,$A348,K$1)="",'(1)鑑'!$E$7,OFFSET('(2)出場選手'!$B$2,$A348,K$1)))))</f>
        <v/>
      </c>
      <c r="L348" s="26" t="str">
        <f ca="1">IF($D348="","",SUBSTITUTE(SUBSTITUTE(SUBSTITUTE(IF(OFFSET('(2)出場選手'!$B$2,$A348,L$1)="",'(1)鑑'!$E$8,OFFSET('(2)出場選手'!$B$2,$A348,L$1)),"県",""),"府",""),"東京都","東京"))</f>
        <v/>
      </c>
      <c r="M348" s="57" t="str">
        <f ca="1">IF($D348="","",IF(OFFSET('(2)出場選手'!$B$2,$A348,M$1)="","",OFFSET('(2)出場選手'!$B$2,$A348,M$1)))</f>
        <v/>
      </c>
      <c r="N348" s="26" t="str">
        <f ca="1">IF($D348="","",OFFSET('(2)出場選手'!$B$2,$A348,N$1+3*$B348))</f>
        <v/>
      </c>
      <c r="O348" s="26" t="str">
        <f ca="1">IF($D348="","",IF(OFFSET('(2)出場選手'!$B$2,$A348,O$1+3*$B348)="","",OFFSET('(2)出場選手'!$B$2,$A348,O$1+3*$B348)))</f>
        <v/>
      </c>
      <c r="P348" s="26" t="str">
        <f ca="1">IF($D348="","",IF(OFFSET('(2)出場選手'!$B$2,$A348,P$1+3*$B348)="","",OFFSET('(2)出場選手'!$B$2,$A348,P$1+3*$B348)))</f>
        <v/>
      </c>
      <c r="Q348" s="43" t="str">
        <f ca="1">IF(D348="","",VLOOKUP(N348,OFFSET(Competition_Events,0,1),11,FALSE)*IF($S348="リレー",IF(COUNTIF($T$3:$T348,$T348)&gt;1,0,1),1))</f>
        <v/>
      </c>
      <c r="R348" s="26" t="str">
        <f t="shared" ca="1" si="20"/>
        <v/>
      </c>
      <c r="S348" s="26" t="str">
        <f t="shared" ca="1" si="21"/>
        <v/>
      </c>
      <c r="T348" s="26" t="str">
        <f t="shared" ca="1" si="22"/>
        <v/>
      </c>
      <c r="U348" s="26" t="str">
        <f t="shared" ca="1" si="27"/>
        <v/>
      </c>
      <c r="W348" s="17" t="str">
        <f ca="1">IF($D348="","",OFFSET('(2)出場選手'!$B$2,$A348,W$1))</f>
        <v/>
      </c>
      <c r="X348" s="17" t="str">
        <f ca="1">IF($D348="","",OFFSET('(2)出場選手'!$B$2,$A348,X$1))</f>
        <v/>
      </c>
      <c r="Y348" s="17" t="str">
        <f ca="1">IF($D348="","",OFFSET('(2)出場選手'!$B$2,$A348,Y$1))</f>
        <v/>
      </c>
      <c r="Z348" s="17" t="str">
        <f ca="1">IF($D348="","",OFFSET('(2)出場選手'!$B$2,$A348,Z$1))</f>
        <v/>
      </c>
    </row>
    <row r="349" spans="1:26" x14ac:dyDescent="0.15">
      <c r="A349" s="17">
        <f>TRUNC((ROWS($D$3:D349)-2)/Max_Entry_Count)+1</f>
        <v>116</v>
      </c>
      <c r="B349" s="17" t="str">
        <f ca="1">IF($A349&gt;=ROWS(Entries)-2,"",IF(OFFSET('(2)出場選手'!$B$2,$A349,B$1+3*(MOD(ROWS($D$3:D349)-2,Max_Entry_Count)))="","",MOD(ROWS($D$3:D349)-2,Max_Entry_Count)))</f>
        <v/>
      </c>
      <c r="D349" s="26" t="str">
        <f ca="1">IF(OR($A349&gt;=ROWS(Entries)-2,$B349=""),"",'(1)鑑'!$E$6&amp;"-"&amp;OFFSET('(2)出場選手'!$B$2,$A349,D$1))</f>
        <v/>
      </c>
      <c r="E349" s="26" t="str">
        <f ca="1">IF($D349="","",OFFSET('(2)出場選手'!$B$2,$A349,E$1))</f>
        <v/>
      </c>
      <c r="F349" s="26" t="str">
        <f ca="1">IF($D349="","",IF(OFFSET('(2)出場選手'!$B$2,$A349,F$1)="","",OFFSET('(2)出場選手'!$B$2,$A349,F$1)))</f>
        <v/>
      </c>
      <c r="G349" s="26" t="str">
        <f t="shared" ca="1" si="18"/>
        <v/>
      </c>
      <c r="H349" s="26" t="str">
        <f t="shared" ca="1" si="28"/>
        <v/>
      </c>
      <c r="I349" s="26" t="str">
        <f ca="1">IF($D349="","",IF(OFFSET('(2)出場選手'!$B$2,$A349,I$1)="","",OFFSET('(2)出場選手'!$B$2,$A349,I$1)))</f>
        <v/>
      </c>
      <c r="J349" s="26" t="str">
        <f ca="1">IF($D349="","",IF(OFFSET('(2)出場選手'!$B$2,$A349,J$1)="",'(1)鑑'!$E$6,OFFSET('(2)出場選手'!$B$2,$A349,J$1)))</f>
        <v/>
      </c>
      <c r="K349" s="26" t="str">
        <f ca="1">IF($D349="","",TRIM(ASC(IF(OFFSET('(2)出場選手'!$B$2,$A349,K$1)="",'(1)鑑'!$E$7,OFFSET('(2)出場選手'!$B$2,$A349,K$1)))))</f>
        <v/>
      </c>
      <c r="L349" s="26" t="str">
        <f ca="1">IF($D349="","",SUBSTITUTE(SUBSTITUTE(SUBSTITUTE(IF(OFFSET('(2)出場選手'!$B$2,$A349,L$1)="",'(1)鑑'!$E$8,OFFSET('(2)出場選手'!$B$2,$A349,L$1)),"県",""),"府",""),"東京都","東京"))</f>
        <v/>
      </c>
      <c r="M349" s="57" t="str">
        <f ca="1">IF($D349="","",IF(OFFSET('(2)出場選手'!$B$2,$A349,M$1)="","",OFFSET('(2)出場選手'!$B$2,$A349,M$1)))</f>
        <v/>
      </c>
      <c r="N349" s="26" t="str">
        <f ca="1">IF($D349="","",OFFSET('(2)出場選手'!$B$2,$A349,N$1+3*$B349))</f>
        <v/>
      </c>
      <c r="O349" s="26" t="str">
        <f ca="1">IF($D349="","",IF(OFFSET('(2)出場選手'!$B$2,$A349,O$1+3*$B349)="","",OFFSET('(2)出場選手'!$B$2,$A349,O$1+3*$B349)))</f>
        <v/>
      </c>
      <c r="P349" s="26" t="str">
        <f ca="1">IF($D349="","",IF(OFFSET('(2)出場選手'!$B$2,$A349,P$1+3*$B349)="","",OFFSET('(2)出場選手'!$B$2,$A349,P$1+3*$B349)))</f>
        <v/>
      </c>
      <c r="Q349" s="43" t="str">
        <f ca="1">IF(D349="","",VLOOKUP(N349,OFFSET(Competition_Events,0,1),11,FALSE)*IF($S349="リレー",IF(COUNTIF($T$3:$T349,$T349)&gt;1,0,1),1))</f>
        <v/>
      </c>
      <c r="R349" s="26" t="str">
        <f t="shared" ca="1" si="20"/>
        <v/>
      </c>
      <c r="S349" s="26" t="str">
        <f t="shared" ca="1" si="21"/>
        <v/>
      </c>
      <c r="T349" s="26" t="str">
        <f t="shared" ca="1" si="22"/>
        <v/>
      </c>
      <c r="U349" s="26" t="str">
        <f t="shared" ca="1" si="27"/>
        <v/>
      </c>
      <c r="W349" s="17" t="str">
        <f ca="1">IF($D349="","",OFFSET('(2)出場選手'!$B$2,$A349,W$1))</f>
        <v/>
      </c>
      <c r="X349" s="17" t="str">
        <f ca="1">IF($D349="","",OFFSET('(2)出場選手'!$B$2,$A349,X$1))</f>
        <v/>
      </c>
      <c r="Y349" s="17" t="str">
        <f ca="1">IF($D349="","",OFFSET('(2)出場選手'!$B$2,$A349,Y$1))</f>
        <v/>
      </c>
      <c r="Z349" s="17" t="str">
        <f ca="1">IF($D349="","",OFFSET('(2)出場選手'!$B$2,$A349,Z$1))</f>
        <v/>
      </c>
    </row>
    <row r="350" spans="1:26" x14ac:dyDescent="0.15">
      <c r="A350" s="17">
        <f>TRUNC((ROWS($D$3:D350)-2)/Max_Entry_Count)+1</f>
        <v>116</v>
      </c>
      <c r="B350" s="17" t="str">
        <f ca="1">IF($A350&gt;=ROWS(Entries)-2,"",IF(OFFSET('(2)出場選手'!$B$2,$A350,B$1+3*(MOD(ROWS($D$3:D350)-2,Max_Entry_Count)))="","",MOD(ROWS($D$3:D350)-2,Max_Entry_Count)))</f>
        <v/>
      </c>
      <c r="D350" s="26" t="str">
        <f ca="1">IF(OR($A350&gt;=ROWS(Entries)-2,$B350=""),"",'(1)鑑'!$E$6&amp;"-"&amp;OFFSET('(2)出場選手'!$B$2,$A350,D$1))</f>
        <v/>
      </c>
      <c r="E350" s="26" t="str">
        <f ca="1">IF($D350="","",OFFSET('(2)出場選手'!$B$2,$A350,E$1))</f>
        <v/>
      </c>
      <c r="F350" s="26" t="str">
        <f ca="1">IF($D350="","",IF(OFFSET('(2)出場選手'!$B$2,$A350,F$1)="","",OFFSET('(2)出場選手'!$B$2,$A350,F$1)))</f>
        <v/>
      </c>
      <c r="G350" s="26" t="str">
        <f t="shared" ca="1" si="18"/>
        <v/>
      </c>
      <c r="H350" s="26" t="str">
        <f t="shared" ca="1" si="28"/>
        <v/>
      </c>
      <c r="I350" s="26" t="str">
        <f ca="1">IF($D350="","",IF(OFFSET('(2)出場選手'!$B$2,$A350,I$1)="","",OFFSET('(2)出場選手'!$B$2,$A350,I$1)))</f>
        <v/>
      </c>
      <c r="J350" s="26" t="str">
        <f ca="1">IF($D350="","",IF(OFFSET('(2)出場選手'!$B$2,$A350,J$1)="",'(1)鑑'!$E$6,OFFSET('(2)出場選手'!$B$2,$A350,J$1)))</f>
        <v/>
      </c>
      <c r="K350" s="26" t="str">
        <f ca="1">IF($D350="","",TRIM(ASC(IF(OFFSET('(2)出場選手'!$B$2,$A350,K$1)="",'(1)鑑'!$E$7,OFFSET('(2)出場選手'!$B$2,$A350,K$1)))))</f>
        <v/>
      </c>
      <c r="L350" s="26" t="str">
        <f ca="1">IF($D350="","",SUBSTITUTE(SUBSTITUTE(SUBSTITUTE(IF(OFFSET('(2)出場選手'!$B$2,$A350,L$1)="",'(1)鑑'!$E$8,OFFSET('(2)出場選手'!$B$2,$A350,L$1)),"県",""),"府",""),"東京都","東京"))</f>
        <v/>
      </c>
      <c r="M350" s="57" t="str">
        <f ca="1">IF($D350="","",IF(OFFSET('(2)出場選手'!$B$2,$A350,M$1)="","",OFFSET('(2)出場選手'!$B$2,$A350,M$1)))</f>
        <v/>
      </c>
      <c r="N350" s="26" t="str">
        <f ca="1">IF($D350="","",OFFSET('(2)出場選手'!$B$2,$A350,N$1+3*$B350))</f>
        <v/>
      </c>
      <c r="O350" s="26" t="str">
        <f ca="1">IF($D350="","",IF(OFFSET('(2)出場選手'!$B$2,$A350,O$1+3*$B350)="","",OFFSET('(2)出場選手'!$B$2,$A350,O$1+3*$B350)))</f>
        <v/>
      </c>
      <c r="P350" s="26" t="str">
        <f ca="1">IF($D350="","",IF(OFFSET('(2)出場選手'!$B$2,$A350,P$1+3*$B350)="","",OFFSET('(2)出場選手'!$B$2,$A350,P$1+3*$B350)))</f>
        <v/>
      </c>
      <c r="Q350" s="43" t="str">
        <f ca="1">IF(D350="","",VLOOKUP(N350,OFFSET(Competition_Events,0,1),11,FALSE)*IF($S350="リレー",IF(COUNTIF($T$3:$T350,$T350)&gt;1,0,1),1))</f>
        <v/>
      </c>
      <c r="R350" s="26" t="str">
        <f t="shared" ca="1" si="20"/>
        <v/>
      </c>
      <c r="S350" s="26" t="str">
        <f t="shared" ca="1" si="21"/>
        <v/>
      </c>
      <c r="T350" s="26" t="str">
        <f t="shared" ca="1" si="22"/>
        <v/>
      </c>
      <c r="U350" s="26" t="str">
        <f t="shared" ca="1" si="27"/>
        <v/>
      </c>
      <c r="W350" s="17" t="str">
        <f ca="1">IF($D350="","",OFFSET('(2)出場選手'!$B$2,$A350,W$1))</f>
        <v/>
      </c>
      <c r="X350" s="17" t="str">
        <f ca="1">IF($D350="","",OFFSET('(2)出場選手'!$B$2,$A350,X$1))</f>
        <v/>
      </c>
      <c r="Y350" s="17" t="str">
        <f ca="1">IF($D350="","",OFFSET('(2)出場選手'!$B$2,$A350,Y$1))</f>
        <v/>
      </c>
      <c r="Z350" s="17" t="str">
        <f ca="1">IF($D350="","",OFFSET('(2)出場選手'!$B$2,$A350,Z$1))</f>
        <v/>
      </c>
    </row>
    <row r="351" spans="1:26" x14ac:dyDescent="0.15">
      <c r="A351" s="17">
        <f>TRUNC((ROWS($D$3:D351)-2)/Max_Entry_Count)+1</f>
        <v>116</v>
      </c>
      <c r="B351" s="17" t="str">
        <f ca="1">IF($A351&gt;=ROWS(Entries)-2,"",IF(OFFSET('(2)出場選手'!$B$2,$A351,B$1+3*(MOD(ROWS($D$3:D351)-2,Max_Entry_Count)))="","",MOD(ROWS($D$3:D351)-2,Max_Entry_Count)))</f>
        <v/>
      </c>
      <c r="D351" s="26" t="str">
        <f ca="1">IF(OR($A351&gt;=ROWS(Entries)-2,$B351=""),"",'(1)鑑'!$E$6&amp;"-"&amp;OFFSET('(2)出場選手'!$B$2,$A351,D$1))</f>
        <v/>
      </c>
      <c r="E351" s="26" t="str">
        <f ca="1">IF($D351="","",OFFSET('(2)出場選手'!$B$2,$A351,E$1))</f>
        <v/>
      </c>
      <c r="F351" s="26" t="str">
        <f ca="1">IF($D351="","",IF(OFFSET('(2)出場選手'!$B$2,$A351,F$1)="","",OFFSET('(2)出場選手'!$B$2,$A351,F$1)))</f>
        <v/>
      </c>
      <c r="G351" s="26" t="str">
        <f t="shared" ca="1" si="18"/>
        <v/>
      </c>
      <c r="H351" s="26" t="str">
        <f t="shared" ca="1" si="28"/>
        <v/>
      </c>
      <c r="I351" s="26" t="str">
        <f ca="1">IF($D351="","",IF(OFFSET('(2)出場選手'!$B$2,$A351,I$1)="","",OFFSET('(2)出場選手'!$B$2,$A351,I$1)))</f>
        <v/>
      </c>
      <c r="J351" s="26" t="str">
        <f ca="1">IF($D351="","",IF(OFFSET('(2)出場選手'!$B$2,$A351,J$1)="",'(1)鑑'!$E$6,OFFSET('(2)出場選手'!$B$2,$A351,J$1)))</f>
        <v/>
      </c>
      <c r="K351" s="26" t="str">
        <f ca="1">IF($D351="","",TRIM(ASC(IF(OFFSET('(2)出場選手'!$B$2,$A351,K$1)="",'(1)鑑'!$E$7,OFFSET('(2)出場選手'!$B$2,$A351,K$1)))))</f>
        <v/>
      </c>
      <c r="L351" s="26" t="str">
        <f ca="1">IF($D351="","",SUBSTITUTE(SUBSTITUTE(SUBSTITUTE(IF(OFFSET('(2)出場選手'!$B$2,$A351,L$1)="",'(1)鑑'!$E$8,OFFSET('(2)出場選手'!$B$2,$A351,L$1)),"県",""),"府",""),"東京都","東京"))</f>
        <v/>
      </c>
      <c r="M351" s="57" t="str">
        <f ca="1">IF($D351="","",IF(OFFSET('(2)出場選手'!$B$2,$A351,M$1)="","",OFFSET('(2)出場選手'!$B$2,$A351,M$1)))</f>
        <v/>
      </c>
      <c r="N351" s="26" t="str">
        <f ca="1">IF($D351="","",OFFSET('(2)出場選手'!$B$2,$A351,N$1+3*$B351))</f>
        <v/>
      </c>
      <c r="O351" s="26" t="str">
        <f ca="1">IF($D351="","",IF(OFFSET('(2)出場選手'!$B$2,$A351,O$1+3*$B351)="","",OFFSET('(2)出場選手'!$B$2,$A351,O$1+3*$B351)))</f>
        <v/>
      </c>
      <c r="P351" s="26" t="str">
        <f ca="1">IF($D351="","",IF(OFFSET('(2)出場選手'!$B$2,$A351,P$1+3*$B351)="","",OFFSET('(2)出場選手'!$B$2,$A351,P$1+3*$B351)))</f>
        <v/>
      </c>
      <c r="Q351" s="43" t="str">
        <f ca="1">IF(D351="","",VLOOKUP(N351,OFFSET(Competition_Events,0,1),11,FALSE)*IF($S351="リレー",IF(COUNTIF($T$3:$T351,$T351)&gt;1,0,1),1))</f>
        <v/>
      </c>
      <c r="R351" s="26" t="str">
        <f t="shared" ca="1" si="20"/>
        <v/>
      </c>
      <c r="S351" s="26" t="str">
        <f t="shared" ca="1" si="21"/>
        <v/>
      </c>
      <c r="T351" s="26" t="str">
        <f t="shared" ca="1" si="22"/>
        <v/>
      </c>
      <c r="U351" s="26" t="str">
        <f t="shared" ca="1" si="27"/>
        <v/>
      </c>
      <c r="W351" s="17" t="str">
        <f ca="1">IF($D351="","",OFFSET('(2)出場選手'!$B$2,$A351,W$1))</f>
        <v/>
      </c>
      <c r="X351" s="17" t="str">
        <f ca="1">IF($D351="","",OFFSET('(2)出場選手'!$B$2,$A351,X$1))</f>
        <v/>
      </c>
      <c r="Y351" s="17" t="str">
        <f ca="1">IF($D351="","",OFFSET('(2)出場選手'!$B$2,$A351,Y$1))</f>
        <v/>
      </c>
      <c r="Z351" s="17" t="str">
        <f ca="1">IF($D351="","",OFFSET('(2)出場選手'!$B$2,$A351,Z$1))</f>
        <v/>
      </c>
    </row>
    <row r="352" spans="1:26" x14ac:dyDescent="0.15">
      <c r="A352" s="17">
        <f>TRUNC((ROWS($D$3:D352)-2)/Max_Entry_Count)+1</f>
        <v>117</v>
      </c>
      <c r="B352" s="17" t="str">
        <f ca="1">IF($A352&gt;=ROWS(Entries)-2,"",IF(OFFSET('(2)出場選手'!$B$2,$A352,B$1+3*(MOD(ROWS($D$3:D352)-2,Max_Entry_Count)))="","",MOD(ROWS($D$3:D352)-2,Max_Entry_Count)))</f>
        <v/>
      </c>
      <c r="D352" s="26" t="str">
        <f ca="1">IF(OR($A352&gt;=ROWS(Entries)-2,$B352=""),"",'(1)鑑'!$E$6&amp;"-"&amp;OFFSET('(2)出場選手'!$B$2,$A352,D$1))</f>
        <v/>
      </c>
      <c r="E352" s="26" t="str">
        <f ca="1">IF($D352="","",OFFSET('(2)出場選手'!$B$2,$A352,E$1))</f>
        <v/>
      </c>
      <c r="F352" s="26" t="str">
        <f ca="1">IF($D352="","",IF(OFFSET('(2)出場選手'!$B$2,$A352,F$1)="","",OFFSET('(2)出場選手'!$B$2,$A352,F$1)))</f>
        <v/>
      </c>
      <c r="G352" s="26" t="str">
        <f t="shared" ca="1" si="18"/>
        <v/>
      </c>
      <c r="H352" s="26" t="str">
        <f t="shared" ca="1" si="28"/>
        <v/>
      </c>
      <c r="I352" s="26" t="str">
        <f ca="1">IF($D352="","",IF(OFFSET('(2)出場選手'!$B$2,$A352,I$1)="","",OFFSET('(2)出場選手'!$B$2,$A352,I$1)))</f>
        <v/>
      </c>
      <c r="J352" s="26" t="str">
        <f ca="1">IF($D352="","",IF(OFFSET('(2)出場選手'!$B$2,$A352,J$1)="",'(1)鑑'!$E$6,OFFSET('(2)出場選手'!$B$2,$A352,J$1)))</f>
        <v/>
      </c>
      <c r="K352" s="26" t="str">
        <f ca="1">IF($D352="","",TRIM(ASC(IF(OFFSET('(2)出場選手'!$B$2,$A352,K$1)="",'(1)鑑'!$E$7,OFFSET('(2)出場選手'!$B$2,$A352,K$1)))))</f>
        <v/>
      </c>
      <c r="L352" s="26" t="str">
        <f ca="1">IF($D352="","",SUBSTITUTE(SUBSTITUTE(SUBSTITUTE(IF(OFFSET('(2)出場選手'!$B$2,$A352,L$1)="",'(1)鑑'!$E$8,OFFSET('(2)出場選手'!$B$2,$A352,L$1)),"県",""),"府",""),"東京都","東京"))</f>
        <v/>
      </c>
      <c r="M352" s="57" t="str">
        <f ca="1">IF($D352="","",IF(OFFSET('(2)出場選手'!$B$2,$A352,M$1)="","",OFFSET('(2)出場選手'!$B$2,$A352,M$1)))</f>
        <v/>
      </c>
      <c r="N352" s="26" t="str">
        <f ca="1">IF($D352="","",OFFSET('(2)出場選手'!$B$2,$A352,N$1+3*$B352))</f>
        <v/>
      </c>
      <c r="O352" s="26" t="str">
        <f ca="1">IF($D352="","",IF(OFFSET('(2)出場選手'!$B$2,$A352,O$1+3*$B352)="","",OFFSET('(2)出場選手'!$B$2,$A352,O$1+3*$B352)))</f>
        <v/>
      </c>
      <c r="P352" s="26" t="str">
        <f ca="1">IF($D352="","",IF(OFFSET('(2)出場選手'!$B$2,$A352,P$1+3*$B352)="","",OFFSET('(2)出場選手'!$B$2,$A352,P$1+3*$B352)))</f>
        <v/>
      </c>
      <c r="Q352" s="43" t="str">
        <f ca="1">IF(D352="","",VLOOKUP(N352,OFFSET(Competition_Events,0,1),11,FALSE)*IF($S352="リレー",IF(COUNTIF($T$3:$T352,$T352)&gt;1,0,1),1))</f>
        <v/>
      </c>
      <c r="R352" s="26" t="str">
        <f t="shared" ca="1" si="20"/>
        <v/>
      </c>
      <c r="S352" s="26" t="str">
        <f t="shared" ca="1" si="21"/>
        <v/>
      </c>
      <c r="T352" s="26" t="str">
        <f t="shared" ca="1" si="22"/>
        <v/>
      </c>
      <c r="U352" s="26" t="str">
        <f t="shared" ca="1" si="27"/>
        <v/>
      </c>
      <c r="W352" s="17" t="str">
        <f ca="1">IF($D352="","",OFFSET('(2)出場選手'!$B$2,$A352,W$1))</f>
        <v/>
      </c>
      <c r="X352" s="17" t="str">
        <f ca="1">IF($D352="","",OFFSET('(2)出場選手'!$B$2,$A352,X$1))</f>
        <v/>
      </c>
      <c r="Y352" s="17" t="str">
        <f ca="1">IF($D352="","",OFFSET('(2)出場選手'!$B$2,$A352,Y$1))</f>
        <v/>
      </c>
      <c r="Z352" s="17" t="str">
        <f ca="1">IF($D352="","",OFFSET('(2)出場選手'!$B$2,$A352,Z$1))</f>
        <v/>
      </c>
    </row>
    <row r="353" spans="1:26" x14ac:dyDescent="0.15">
      <c r="A353" s="17">
        <f>TRUNC((ROWS($D$3:D353)-2)/Max_Entry_Count)+1</f>
        <v>117</v>
      </c>
      <c r="B353" s="17" t="str">
        <f ca="1">IF($A353&gt;=ROWS(Entries)-2,"",IF(OFFSET('(2)出場選手'!$B$2,$A353,B$1+3*(MOD(ROWS($D$3:D353)-2,Max_Entry_Count)))="","",MOD(ROWS($D$3:D353)-2,Max_Entry_Count)))</f>
        <v/>
      </c>
      <c r="D353" s="26" t="str">
        <f ca="1">IF(OR($A353&gt;=ROWS(Entries)-2,$B353=""),"",'(1)鑑'!$E$6&amp;"-"&amp;OFFSET('(2)出場選手'!$B$2,$A353,D$1))</f>
        <v/>
      </c>
      <c r="E353" s="26" t="str">
        <f ca="1">IF($D353="","",OFFSET('(2)出場選手'!$B$2,$A353,E$1))</f>
        <v/>
      </c>
      <c r="F353" s="26" t="str">
        <f ca="1">IF($D353="","",IF(OFFSET('(2)出場選手'!$B$2,$A353,F$1)="","",OFFSET('(2)出場選手'!$B$2,$A353,F$1)))</f>
        <v/>
      </c>
      <c r="G353" s="26" t="str">
        <f t="shared" ca="1" si="18"/>
        <v/>
      </c>
      <c r="H353" s="26" t="str">
        <f t="shared" ca="1" si="28"/>
        <v/>
      </c>
      <c r="I353" s="26" t="str">
        <f ca="1">IF($D353="","",IF(OFFSET('(2)出場選手'!$B$2,$A353,I$1)="","",OFFSET('(2)出場選手'!$B$2,$A353,I$1)))</f>
        <v/>
      </c>
      <c r="J353" s="26" t="str">
        <f ca="1">IF($D353="","",IF(OFFSET('(2)出場選手'!$B$2,$A353,J$1)="",'(1)鑑'!$E$6,OFFSET('(2)出場選手'!$B$2,$A353,J$1)))</f>
        <v/>
      </c>
      <c r="K353" s="26" t="str">
        <f ca="1">IF($D353="","",TRIM(ASC(IF(OFFSET('(2)出場選手'!$B$2,$A353,K$1)="",'(1)鑑'!$E$7,OFFSET('(2)出場選手'!$B$2,$A353,K$1)))))</f>
        <v/>
      </c>
      <c r="L353" s="26" t="str">
        <f ca="1">IF($D353="","",SUBSTITUTE(SUBSTITUTE(SUBSTITUTE(IF(OFFSET('(2)出場選手'!$B$2,$A353,L$1)="",'(1)鑑'!$E$8,OFFSET('(2)出場選手'!$B$2,$A353,L$1)),"県",""),"府",""),"東京都","東京"))</f>
        <v/>
      </c>
      <c r="M353" s="57" t="str">
        <f ca="1">IF($D353="","",IF(OFFSET('(2)出場選手'!$B$2,$A353,M$1)="","",OFFSET('(2)出場選手'!$B$2,$A353,M$1)))</f>
        <v/>
      </c>
      <c r="N353" s="26" t="str">
        <f ca="1">IF($D353="","",OFFSET('(2)出場選手'!$B$2,$A353,N$1+3*$B353))</f>
        <v/>
      </c>
      <c r="O353" s="26" t="str">
        <f ca="1">IF($D353="","",IF(OFFSET('(2)出場選手'!$B$2,$A353,O$1+3*$B353)="","",OFFSET('(2)出場選手'!$B$2,$A353,O$1+3*$B353)))</f>
        <v/>
      </c>
      <c r="P353" s="26" t="str">
        <f ca="1">IF($D353="","",IF(OFFSET('(2)出場選手'!$B$2,$A353,P$1+3*$B353)="","",OFFSET('(2)出場選手'!$B$2,$A353,P$1+3*$B353)))</f>
        <v/>
      </c>
      <c r="Q353" s="43" t="str">
        <f ca="1">IF(D353="","",VLOOKUP(N353,OFFSET(Competition_Events,0,1),11,FALSE)*IF($S353="リレー",IF(COUNTIF($T$3:$T353,$T353)&gt;1,0,1),1))</f>
        <v/>
      </c>
      <c r="R353" s="26" t="str">
        <f t="shared" ca="1" si="20"/>
        <v/>
      </c>
      <c r="S353" s="26" t="str">
        <f t="shared" ca="1" si="21"/>
        <v/>
      </c>
      <c r="T353" s="26" t="str">
        <f t="shared" ca="1" si="22"/>
        <v/>
      </c>
      <c r="U353" s="26" t="str">
        <f t="shared" ca="1" si="27"/>
        <v/>
      </c>
      <c r="W353" s="17" t="str">
        <f ca="1">IF($D353="","",OFFSET('(2)出場選手'!$B$2,$A353,W$1))</f>
        <v/>
      </c>
      <c r="X353" s="17" t="str">
        <f ca="1">IF($D353="","",OFFSET('(2)出場選手'!$B$2,$A353,X$1))</f>
        <v/>
      </c>
      <c r="Y353" s="17" t="str">
        <f ca="1">IF($D353="","",OFFSET('(2)出場選手'!$B$2,$A353,Y$1))</f>
        <v/>
      </c>
      <c r="Z353" s="17" t="str">
        <f ca="1">IF($D353="","",OFFSET('(2)出場選手'!$B$2,$A353,Z$1))</f>
        <v/>
      </c>
    </row>
    <row r="354" spans="1:26" x14ac:dyDescent="0.15">
      <c r="A354" s="17">
        <f>TRUNC((ROWS($D$3:D354)-2)/Max_Entry_Count)+1</f>
        <v>117</v>
      </c>
      <c r="B354" s="17" t="str">
        <f ca="1">IF($A354&gt;=ROWS(Entries)-2,"",IF(OFFSET('(2)出場選手'!$B$2,$A354,B$1+3*(MOD(ROWS($D$3:D354)-2,Max_Entry_Count)))="","",MOD(ROWS($D$3:D354)-2,Max_Entry_Count)))</f>
        <v/>
      </c>
      <c r="D354" s="26" t="str">
        <f ca="1">IF(OR($A354&gt;=ROWS(Entries)-2,$B354=""),"",'(1)鑑'!$E$6&amp;"-"&amp;OFFSET('(2)出場選手'!$B$2,$A354,D$1))</f>
        <v/>
      </c>
      <c r="E354" s="26" t="str">
        <f ca="1">IF($D354="","",OFFSET('(2)出場選手'!$B$2,$A354,E$1))</f>
        <v/>
      </c>
      <c r="F354" s="26" t="str">
        <f ca="1">IF($D354="","",IF(OFFSET('(2)出場選手'!$B$2,$A354,F$1)="","",OFFSET('(2)出場選手'!$B$2,$A354,F$1)))</f>
        <v/>
      </c>
      <c r="G354" s="26" t="str">
        <f t="shared" ca="1" si="18"/>
        <v/>
      </c>
      <c r="H354" s="26" t="str">
        <f t="shared" ca="1" si="28"/>
        <v/>
      </c>
      <c r="I354" s="26" t="str">
        <f ca="1">IF($D354="","",IF(OFFSET('(2)出場選手'!$B$2,$A354,I$1)="","",OFFSET('(2)出場選手'!$B$2,$A354,I$1)))</f>
        <v/>
      </c>
      <c r="J354" s="26" t="str">
        <f ca="1">IF($D354="","",IF(OFFSET('(2)出場選手'!$B$2,$A354,J$1)="",'(1)鑑'!$E$6,OFFSET('(2)出場選手'!$B$2,$A354,J$1)))</f>
        <v/>
      </c>
      <c r="K354" s="26" t="str">
        <f ca="1">IF($D354="","",TRIM(ASC(IF(OFFSET('(2)出場選手'!$B$2,$A354,K$1)="",'(1)鑑'!$E$7,OFFSET('(2)出場選手'!$B$2,$A354,K$1)))))</f>
        <v/>
      </c>
      <c r="L354" s="26" t="str">
        <f ca="1">IF($D354="","",SUBSTITUTE(SUBSTITUTE(SUBSTITUTE(IF(OFFSET('(2)出場選手'!$B$2,$A354,L$1)="",'(1)鑑'!$E$8,OFFSET('(2)出場選手'!$B$2,$A354,L$1)),"県",""),"府",""),"東京都","東京"))</f>
        <v/>
      </c>
      <c r="M354" s="57" t="str">
        <f ca="1">IF($D354="","",IF(OFFSET('(2)出場選手'!$B$2,$A354,M$1)="","",OFFSET('(2)出場選手'!$B$2,$A354,M$1)))</f>
        <v/>
      </c>
      <c r="N354" s="26" t="str">
        <f ca="1">IF($D354="","",OFFSET('(2)出場選手'!$B$2,$A354,N$1+3*$B354))</f>
        <v/>
      </c>
      <c r="O354" s="26" t="str">
        <f ca="1">IF($D354="","",IF(OFFSET('(2)出場選手'!$B$2,$A354,O$1+3*$B354)="","",OFFSET('(2)出場選手'!$B$2,$A354,O$1+3*$B354)))</f>
        <v/>
      </c>
      <c r="P354" s="26" t="str">
        <f ca="1">IF($D354="","",IF(OFFSET('(2)出場選手'!$B$2,$A354,P$1+3*$B354)="","",OFFSET('(2)出場選手'!$B$2,$A354,P$1+3*$B354)))</f>
        <v/>
      </c>
      <c r="Q354" s="43" t="str">
        <f ca="1">IF(D354="","",VLOOKUP(N354,OFFSET(Competition_Events,0,1),11,FALSE)*IF($S354="リレー",IF(COUNTIF($T$3:$T354,$T354)&gt;1,0,1),1))</f>
        <v/>
      </c>
      <c r="R354" s="26" t="str">
        <f t="shared" ca="1" si="20"/>
        <v/>
      </c>
      <c r="S354" s="26" t="str">
        <f t="shared" ca="1" si="21"/>
        <v/>
      </c>
      <c r="T354" s="26" t="str">
        <f t="shared" ca="1" si="22"/>
        <v/>
      </c>
      <c r="U354" s="26" t="str">
        <f t="shared" ca="1" si="27"/>
        <v/>
      </c>
      <c r="W354" s="17" t="str">
        <f ca="1">IF($D354="","",OFFSET('(2)出場選手'!$B$2,$A354,W$1))</f>
        <v/>
      </c>
      <c r="X354" s="17" t="str">
        <f ca="1">IF($D354="","",OFFSET('(2)出場選手'!$B$2,$A354,X$1))</f>
        <v/>
      </c>
      <c r="Y354" s="17" t="str">
        <f ca="1">IF($D354="","",OFFSET('(2)出場選手'!$B$2,$A354,Y$1))</f>
        <v/>
      </c>
      <c r="Z354" s="17" t="str">
        <f ca="1">IF($D354="","",OFFSET('(2)出場選手'!$B$2,$A354,Z$1))</f>
        <v/>
      </c>
    </row>
    <row r="355" spans="1:26" x14ac:dyDescent="0.15">
      <c r="A355" s="17">
        <f>TRUNC((ROWS($D$3:D355)-2)/Max_Entry_Count)+1</f>
        <v>118</v>
      </c>
      <c r="B355" s="17" t="str">
        <f ca="1">IF($A355&gt;=ROWS(Entries)-2,"",IF(OFFSET('(2)出場選手'!$B$2,$A355,B$1+3*(MOD(ROWS($D$3:D355)-2,Max_Entry_Count)))="","",MOD(ROWS($D$3:D355)-2,Max_Entry_Count)))</f>
        <v/>
      </c>
      <c r="D355" s="26" t="str">
        <f ca="1">IF(OR($A355&gt;=ROWS(Entries)-2,$B355=""),"",'(1)鑑'!$E$6&amp;"-"&amp;OFFSET('(2)出場選手'!$B$2,$A355,D$1))</f>
        <v/>
      </c>
      <c r="E355" s="26" t="str">
        <f ca="1">IF($D355="","",OFFSET('(2)出場選手'!$B$2,$A355,E$1))</f>
        <v/>
      </c>
      <c r="F355" s="26" t="str">
        <f ca="1">IF($D355="","",IF(OFFSET('(2)出場選手'!$B$2,$A355,F$1)="","",OFFSET('(2)出場選手'!$B$2,$A355,F$1)))</f>
        <v/>
      </c>
      <c r="G355" s="26" t="str">
        <f t="shared" ca="1" si="18"/>
        <v/>
      </c>
      <c r="H355" s="26" t="str">
        <f t="shared" ca="1" si="28"/>
        <v/>
      </c>
      <c r="I355" s="26" t="str">
        <f ca="1">IF($D355="","",IF(OFFSET('(2)出場選手'!$B$2,$A355,I$1)="","",OFFSET('(2)出場選手'!$B$2,$A355,I$1)))</f>
        <v/>
      </c>
      <c r="J355" s="26" t="str">
        <f ca="1">IF($D355="","",IF(OFFSET('(2)出場選手'!$B$2,$A355,J$1)="",'(1)鑑'!$E$6,OFFSET('(2)出場選手'!$B$2,$A355,J$1)))</f>
        <v/>
      </c>
      <c r="K355" s="26" t="str">
        <f ca="1">IF($D355="","",TRIM(ASC(IF(OFFSET('(2)出場選手'!$B$2,$A355,K$1)="",'(1)鑑'!$E$7,OFFSET('(2)出場選手'!$B$2,$A355,K$1)))))</f>
        <v/>
      </c>
      <c r="L355" s="26" t="str">
        <f ca="1">IF($D355="","",SUBSTITUTE(SUBSTITUTE(SUBSTITUTE(IF(OFFSET('(2)出場選手'!$B$2,$A355,L$1)="",'(1)鑑'!$E$8,OFFSET('(2)出場選手'!$B$2,$A355,L$1)),"県",""),"府",""),"東京都","東京"))</f>
        <v/>
      </c>
      <c r="M355" s="57" t="str">
        <f ca="1">IF($D355="","",IF(OFFSET('(2)出場選手'!$B$2,$A355,M$1)="","",OFFSET('(2)出場選手'!$B$2,$A355,M$1)))</f>
        <v/>
      </c>
      <c r="N355" s="26" t="str">
        <f ca="1">IF($D355="","",OFFSET('(2)出場選手'!$B$2,$A355,N$1+3*$B355))</f>
        <v/>
      </c>
      <c r="O355" s="26" t="str">
        <f ca="1">IF($D355="","",IF(OFFSET('(2)出場選手'!$B$2,$A355,O$1+3*$B355)="","",OFFSET('(2)出場選手'!$B$2,$A355,O$1+3*$B355)))</f>
        <v/>
      </c>
      <c r="P355" s="26" t="str">
        <f ca="1">IF($D355="","",IF(OFFSET('(2)出場選手'!$B$2,$A355,P$1+3*$B355)="","",OFFSET('(2)出場選手'!$B$2,$A355,P$1+3*$B355)))</f>
        <v/>
      </c>
      <c r="Q355" s="43" t="str">
        <f ca="1">IF(D355="","",VLOOKUP(N355,OFFSET(Competition_Events,0,1),11,FALSE)*IF($S355="リレー",IF(COUNTIF($T$3:$T355,$T355)&gt;1,0,1),1))</f>
        <v/>
      </c>
      <c r="R355" s="26" t="str">
        <f t="shared" ca="1" si="20"/>
        <v/>
      </c>
      <c r="S355" s="26" t="str">
        <f t="shared" ca="1" si="21"/>
        <v/>
      </c>
      <c r="T355" s="26" t="str">
        <f t="shared" ca="1" si="22"/>
        <v/>
      </c>
      <c r="U355" s="26" t="str">
        <f t="shared" ca="1" si="27"/>
        <v/>
      </c>
      <c r="W355" s="17" t="str">
        <f ca="1">IF($D355="","",OFFSET('(2)出場選手'!$B$2,$A355,W$1))</f>
        <v/>
      </c>
      <c r="X355" s="17" t="str">
        <f ca="1">IF($D355="","",OFFSET('(2)出場選手'!$B$2,$A355,X$1))</f>
        <v/>
      </c>
      <c r="Y355" s="17" t="str">
        <f ca="1">IF($D355="","",OFFSET('(2)出場選手'!$B$2,$A355,Y$1))</f>
        <v/>
      </c>
      <c r="Z355" s="17" t="str">
        <f ca="1">IF($D355="","",OFFSET('(2)出場選手'!$B$2,$A355,Z$1))</f>
        <v/>
      </c>
    </row>
    <row r="356" spans="1:26" x14ac:dyDescent="0.15">
      <c r="A356" s="17">
        <f>TRUNC((ROWS($D$3:D356)-2)/Max_Entry_Count)+1</f>
        <v>118</v>
      </c>
      <c r="B356" s="17" t="str">
        <f ca="1">IF($A356&gt;=ROWS(Entries)-2,"",IF(OFFSET('(2)出場選手'!$B$2,$A356,B$1+3*(MOD(ROWS($D$3:D356)-2,Max_Entry_Count)))="","",MOD(ROWS($D$3:D356)-2,Max_Entry_Count)))</f>
        <v/>
      </c>
      <c r="D356" s="26" t="str">
        <f ca="1">IF(OR($A356&gt;=ROWS(Entries)-2,$B356=""),"",'(1)鑑'!$E$6&amp;"-"&amp;OFFSET('(2)出場選手'!$B$2,$A356,D$1))</f>
        <v/>
      </c>
      <c r="E356" s="26" t="str">
        <f ca="1">IF($D356="","",OFFSET('(2)出場選手'!$B$2,$A356,E$1))</f>
        <v/>
      </c>
      <c r="F356" s="26" t="str">
        <f ca="1">IF($D356="","",IF(OFFSET('(2)出場選手'!$B$2,$A356,F$1)="","",OFFSET('(2)出場選手'!$B$2,$A356,F$1)))</f>
        <v/>
      </c>
      <c r="G356" s="26" t="str">
        <f t="shared" ca="1" si="18"/>
        <v/>
      </c>
      <c r="H356" s="26" t="str">
        <f t="shared" ca="1" si="28"/>
        <v/>
      </c>
      <c r="I356" s="26" t="str">
        <f ca="1">IF($D356="","",IF(OFFSET('(2)出場選手'!$B$2,$A356,I$1)="","",OFFSET('(2)出場選手'!$B$2,$A356,I$1)))</f>
        <v/>
      </c>
      <c r="J356" s="26" t="str">
        <f ca="1">IF($D356="","",IF(OFFSET('(2)出場選手'!$B$2,$A356,J$1)="",'(1)鑑'!$E$6,OFFSET('(2)出場選手'!$B$2,$A356,J$1)))</f>
        <v/>
      </c>
      <c r="K356" s="26" t="str">
        <f ca="1">IF($D356="","",TRIM(ASC(IF(OFFSET('(2)出場選手'!$B$2,$A356,K$1)="",'(1)鑑'!$E$7,OFFSET('(2)出場選手'!$B$2,$A356,K$1)))))</f>
        <v/>
      </c>
      <c r="L356" s="26" t="str">
        <f ca="1">IF($D356="","",SUBSTITUTE(SUBSTITUTE(SUBSTITUTE(IF(OFFSET('(2)出場選手'!$B$2,$A356,L$1)="",'(1)鑑'!$E$8,OFFSET('(2)出場選手'!$B$2,$A356,L$1)),"県",""),"府",""),"東京都","東京"))</f>
        <v/>
      </c>
      <c r="M356" s="57" t="str">
        <f ca="1">IF($D356="","",IF(OFFSET('(2)出場選手'!$B$2,$A356,M$1)="","",OFFSET('(2)出場選手'!$B$2,$A356,M$1)))</f>
        <v/>
      </c>
      <c r="N356" s="26" t="str">
        <f ca="1">IF($D356="","",OFFSET('(2)出場選手'!$B$2,$A356,N$1+3*$B356))</f>
        <v/>
      </c>
      <c r="O356" s="26" t="str">
        <f ca="1">IF($D356="","",IF(OFFSET('(2)出場選手'!$B$2,$A356,O$1+3*$B356)="","",OFFSET('(2)出場選手'!$B$2,$A356,O$1+3*$B356)))</f>
        <v/>
      </c>
      <c r="P356" s="26" t="str">
        <f ca="1">IF($D356="","",IF(OFFSET('(2)出場選手'!$B$2,$A356,P$1+3*$B356)="","",OFFSET('(2)出場選手'!$B$2,$A356,P$1+3*$B356)))</f>
        <v/>
      </c>
      <c r="Q356" s="43" t="str">
        <f ca="1">IF(D356="","",VLOOKUP(N356,OFFSET(Competition_Events,0,1),11,FALSE)*IF($S356="リレー",IF(COUNTIF($T$3:$T356,$T356)&gt;1,0,1),1))</f>
        <v/>
      </c>
      <c r="R356" s="26" t="str">
        <f t="shared" ca="1" si="20"/>
        <v/>
      </c>
      <c r="S356" s="26" t="str">
        <f t="shared" ca="1" si="21"/>
        <v/>
      </c>
      <c r="T356" s="26" t="str">
        <f t="shared" ca="1" si="22"/>
        <v/>
      </c>
      <c r="U356" s="26" t="str">
        <f t="shared" ca="1" si="27"/>
        <v/>
      </c>
      <c r="W356" s="17" t="str">
        <f ca="1">IF($D356="","",OFFSET('(2)出場選手'!$B$2,$A356,W$1))</f>
        <v/>
      </c>
      <c r="X356" s="17" t="str">
        <f ca="1">IF($D356="","",OFFSET('(2)出場選手'!$B$2,$A356,X$1))</f>
        <v/>
      </c>
      <c r="Y356" s="17" t="str">
        <f ca="1">IF($D356="","",OFFSET('(2)出場選手'!$B$2,$A356,Y$1))</f>
        <v/>
      </c>
      <c r="Z356" s="17" t="str">
        <f ca="1">IF($D356="","",OFFSET('(2)出場選手'!$B$2,$A356,Z$1))</f>
        <v/>
      </c>
    </row>
    <row r="357" spans="1:26" x14ac:dyDescent="0.15">
      <c r="A357" s="17">
        <f>TRUNC((ROWS($D$3:D357)-2)/Max_Entry_Count)+1</f>
        <v>118</v>
      </c>
      <c r="B357" s="17" t="str">
        <f ca="1">IF($A357&gt;=ROWS(Entries)-2,"",IF(OFFSET('(2)出場選手'!$B$2,$A357,B$1+3*(MOD(ROWS($D$3:D357)-2,Max_Entry_Count)))="","",MOD(ROWS($D$3:D357)-2,Max_Entry_Count)))</f>
        <v/>
      </c>
      <c r="D357" s="26" t="str">
        <f ca="1">IF(OR($A357&gt;=ROWS(Entries)-2,$B357=""),"",'(1)鑑'!$E$6&amp;"-"&amp;OFFSET('(2)出場選手'!$B$2,$A357,D$1))</f>
        <v/>
      </c>
      <c r="E357" s="26" t="str">
        <f ca="1">IF($D357="","",OFFSET('(2)出場選手'!$B$2,$A357,E$1))</f>
        <v/>
      </c>
      <c r="F357" s="26" t="str">
        <f ca="1">IF($D357="","",IF(OFFSET('(2)出場選手'!$B$2,$A357,F$1)="","",OFFSET('(2)出場選手'!$B$2,$A357,F$1)))</f>
        <v/>
      </c>
      <c r="G357" s="26" t="str">
        <f t="shared" ca="1" si="18"/>
        <v/>
      </c>
      <c r="H357" s="26" t="str">
        <f t="shared" ca="1" si="28"/>
        <v/>
      </c>
      <c r="I357" s="26" t="str">
        <f ca="1">IF($D357="","",IF(OFFSET('(2)出場選手'!$B$2,$A357,I$1)="","",OFFSET('(2)出場選手'!$B$2,$A357,I$1)))</f>
        <v/>
      </c>
      <c r="J357" s="26" t="str">
        <f ca="1">IF($D357="","",IF(OFFSET('(2)出場選手'!$B$2,$A357,J$1)="",'(1)鑑'!$E$6,OFFSET('(2)出場選手'!$B$2,$A357,J$1)))</f>
        <v/>
      </c>
      <c r="K357" s="26" t="str">
        <f ca="1">IF($D357="","",TRIM(ASC(IF(OFFSET('(2)出場選手'!$B$2,$A357,K$1)="",'(1)鑑'!$E$7,OFFSET('(2)出場選手'!$B$2,$A357,K$1)))))</f>
        <v/>
      </c>
      <c r="L357" s="26" t="str">
        <f ca="1">IF($D357="","",SUBSTITUTE(SUBSTITUTE(SUBSTITUTE(IF(OFFSET('(2)出場選手'!$B$2,$A357,L$1)="",'(1)鑑'!$E$8,OFFSET('(2)出場選手'!$B$2,$A357,L$1)),"県",""),"府",""),"東京都","東京"))</f>
        <v/>
      </c>
      <c r="M357" s="57" t="str">
        <f ca="1">IF($D357="","",IF(OFFSET('(2)出場選手'!$B$2,$A357,M$1)="","",OFFSET('(2)出場選手'!$B$2,$A357,M$1)))</f>
        <v/>
      </c>
      <c r="N357" s="26" t="str">
        <f ca="1">IF($D357="","",OFFSET('(2)出場選手'!$B$2,$A357,N$1+3*$B357))</f>
        <v/>
      </c>
      <c r="O357" s="26" t="str">
        <f ca="1">IF($D357="","",IF(OFFSET('(2)出場選手'!$B$2,$A357,O$1+3*$B357)="","",OFFSET('(2)出場選手'!$B$2,$A357,O$1+3*$B357)))</f>
        <v/>
      </c>
      <c r="P357" s="26" t="str">
        <f ca="1">IF($D357="","",IF(OFFSET('(2)出場選手'!$B$2,$A357,P$1+3*$B357)="","",OFFSET('(2)出場選手'!$B$2,$A357,P$1+3*$B357)))</f>
        <v/>
      </c>
      <c r="Q357" s="43" t="str">
        <f ca="1">IF(D357="","",VLOOKUP(N357,OFFSET(Competition_Events,0,1),11,FALSE)*IF($S357="リレー",IF(COUNTIF($T$3:$T357,$T357)&gt;1,0,1),1))</f>
        <v/>
      </c>
      <c r="R357" s="26" t="str">
        <f t="shared" ca="1" si="20"/>
        <v/>
      </c>
      <c r="S357" s="26" t="str">
        <f t="shared" ca="1" si="21"/>
        <v/>
      </c>
      <c r="T357" s="26" t="str">
        <f t="shared" ca="1" si="22"/>
        <v/>
      </c>
      <c r="U357" s="26" t="str">
        <f t="shared" ca="1" si="27"/>
        <v/>
      </c>
      <c r="W357" s="17" t="str">
        <f ca="1">IF($D357="","",OFFSET('(2)出場選手'!$B$2,$A357,W$1))</f>
        <v/>
      </c>
      <c r="X357" s="17" t="str">
        <f ca="1">IF($D357="","",OFFSET('(2)出場選手'!$B$2,$A357,X$1))</f>
        <v/>
      </c>
      <c r="Y357" s="17" t="str">
        <f ca="1">IF($D357="","",OFFSET('(2)出場選手'!$B$2,$A357,Y$1))</f>
        <v/>
      </c>
      <c r="Z357" s="17" t="str">
        <f ca="1">IF($D357="","",OFFSET('(2)出場選手'!$B$2,$A357,Z$1))</f>
        <v/>
      </c>
    </row>
    <row r="358" spans="1:26" x14ac:dyDescent="0.15">
      <c r="A358" s="17">
        <f>TRUNC((ROWS($D$3:D358)-2)/Max_Entry_Count)+1</f>
        <v>119</v>
      </c>
      <c r="B358" s="17" t="str">
        <f ca="1">IF($A358&gt;=ROWS(Entries)-2,"",IF(OFFSET('(2)出場選手'!$B$2,$A358,B$1+3*(MOD(ROWS($D$3:D358)-2,Max_Entry_Count)))="","",MOD(ROWS($D$3:D358)-2,Max_Entry_Count)))</f>
        <v/>
      </c>
      <c r="D358" s="26" t="str">
        <f ca="1">IF(OR($A358&gt;=ROWS(Entries)-2,$B358=""),"",'(1)鑑'!$E$6&amp;"-"&amp;OFFSET('(2)出場選手'!$B$2,$A358,D$1))</f>
        <v/>
      </c>
      <c r="E358" s="26" t="str">
        <f ca="1">IF($D358="","",OFFSET('(2)出場選手'!$B$2,$A358,E$1))</f>
        <v/>
      </c>
      <c r="F358" s="26" t="str">
        <f ca="1">IF($D358="","",IF(OFFSET('(2)出場選手'!$B$2,$A358,F$1)="","",OFFSET('(2)出場選手'!$B$2,$A358,F$1)))</f>
        <v/>
      </c>
      <c r="G358" s="26" t="str">
        <f t="shared" ca="1" si="18"/>
        <v/>
      </c>
      <c r="H358" s="26" t="str">
        <f t="shared" ca="1" si="28"/>
        <v/>
      </c>
      <c r="I358" s="26" t="str">
        <f ca="1">IF($D358="","",IF(OFFSET('(2)出場選手'!$B$2,$A358,I$1)="","",OFFSET('(2)出場選手'!$B$2,$A358,I$1)))</f>
        <v/>
      </c>
      <c r="J358" s="26" t="str">
        <f ca="1">IF($D358="","",IF(OFFSET('(2)出場選手'!$B$2,$A358,J$1)="",'(1)鑑'!$E$6,OFFSET('(2)出場選手'!$B$2,$A358,J$1)))</f>
        <v/>
      </c>
      <c r="K358" s="26" t="str">
        <f ca="1">IF($D358="","",TRIM(ASC(IF(OFFSET('(2)出場選手'!$B$2,$A358,K$1)="",'(1)鑑'!$E$7,OFFSET('(2)出場選手'!$B$2,$A358,K$1)))))</f>
        <v/>
      </c>
      <c r="L358" s="26" t="str">
        <f ca="1">IF($D358="","",SUBSTITUTE(SUBSTITUTE(SUBSTITUTE(IF(OFFSET('(2)出場選手'!$B$2,$A358,L$1)="",'(1)鑑'!$E$8,OFFSET('(2)出場選手'!$B$2,$A358,L$1)),"県",""),"府",""),"東京都","東京"))</f>
        <v/>
      </c>
      <c r="M358" s="57" t="str">
        <f ca="1">IF($D358="","",IF(OFFSET('(2)出場選手'!$B$2,$A358,M$1)="","",OFFSET('(2)出場選手'!$B$2,$A358,M$1)))</f>
        <v/>
      </c>
      <c r="N358" s="26" t="str">
        <f ca="1">IF($D358="","",OFFSET('(2)出場選手'!$B$2,$A358,N$1+3*$B358))</f>
        <v/>
      </c>
      <c r="O358" s="26" t="str">
        <f ca="1">IF($D358="","",IF(OFFSET('(2)出場選手'!$B$2,$A358,O$1+3*$B358)="","",OFFSET('(2)出場選手'!$B$2,$A358,O$1+3*$B358)))</f>
        <v/>
      </c>
      <c r="P358" s="26" t="str">
        <f ca="1">IF($D358="","",IF(OFFSET('(2)出場選手'!$B$2,$A358,P$1+3*$B358)="","",OFFSET('(2)出場選手'!$B$2,$A358,P$1+3*$B358)))</f>
        <v/>
      </c>
      <c r="Q358" s="43" t="str">
        <f ca="1">IF(D358="","",VLOOKUP(N358,OFFSET(Competition_Events,0,1),11,FALSE)*IF($S358="リレー",IF(COUNTIF($T$3:$T358,$T358)&gt;1,0,1),1))</f>
        <v/>
      </c>
      <c r="R358" s="26" t="str">
        <f t="shared" ca="1" si="20"/>
        <v/>
      </c>
      <c r="S358" s="26" t="str">
        <f t="shared" ca="1" si="21"/>
        <v/>
      </c>
      <c r="T358" s="26" t="str">
        <f t="shared" ca="1" si="22"/>
        <v/>
      </c>
      <c r="U358" s="26" t="str">
        <f t="shared" ca="1" si="27"/>
        <v/>
      </c>
      <c r="W358" s="17" t="str">
        <f ca="1">IF($D358="","",OFFSET('(2)出場選手'!$B$2,$A358,W$1))</f>
        <v/>
      </c>
      <c r="X358" s="17" t="str">
        <f ca="1">IF($D358="","",OFFSET('(2)出場選手'!$B$2,$A358,X$1))</f>
        <v/>
      </c>
      <c r="Y358" s="17" t="str">
        <f ca="1">IF($D358="","",OFFSET('(2)出場選手'!$B$2,$A358,Y$1))</f>
        <v/>
      </c>
      <c r="Z358" s="17" t="str">
        <f ca="1">IF($D358="","",OFFSET('(2)出場選手'!$B$2,$A358,Z$1))</f>
        <v/>
      </c>
    </row>
    <row r="359" spans="1:26" x14ac:dyDescent="0.15">
      <c r="A359" s="17">
        <f>TRUNC((ROWS($D$3:D359)-2)/Max_Entry_Count)+1</f>
        <v>119</v>
      </c>
      <c r="B359" s="17" t="str">
        <f ca="1">IF($A359&gt;=ROWS(Entries)-2,"",IF(OFFSET('(2)出場選手'!$B$2,$A359,B$1+3*(MOD(ROWS($D$3:D359)-2,Max_Entry_Count)))="","",MOD(ROWS($D$3:D359)-2,Max_Entry_Count)))</f>
        <v/>
      </c>
      <c r="D359" s="26" t="str">
        <f ca="1">IF(OR($A359&gt;=ROWS(Entries)-2,$B359=""),"",'(1)鑑'!$E$6&amp;"-"&amp;OFFSET('(2)出場選手'!$B$2,$A359,D$1))</f>
        <v/>
      </c>
      <c r="E359" s="26" t="str">
        <f ca="1">IF($D359="","",OFFSET('(2)出場選手'!$B$2,$A359,E$1))</f>
        <v/>
      </c>
      <c r="F359" s="26" t="str">
        <f ca="1">IF($D359="","",IF(OFFSET('(2)出場選手'!$B$2,$A359,F$1)="","",OFFSET('(2)出場選手'!$B$2,$A359,F$1)))</f>
        <v/>
      </c>
      <c r="G359" s="26" t="str">
        <f t="shared" ca="1" si="18"/>
        <v/>
      </c>
      <c r="H359" s="26" t="str">
        <f t="shared" ca="1" si="28"/>
        <v/>
      </c>
      <c r="I359" s="26" t="str">
        <f ca="1">IF($D359="","",IF(OFFSET('(2)出場選手'!$B$2,$A359,I$1)="","",OFFSET('(2)出場選手'!$B$2,$A359,I$1)))</f>
        <v/>
      </c>
      <c r="J359" s="26" t="str">
        <f ca="1">IF($D359="","",IF(OFFSET('(2)出場選手'!$B$2,$A359,J$1)="",'(1)鑑'!$E$6,OFFSET('(2)出場選手'!$B$2,$A359,J$1)))</f>
        <v/>
      </c>
      <c r="K359" s="26" t="str">
        <f ca="1">IF($D359="","",TRIM(ASC(IF(OFFSET('(2)出場選手'!$B$2,$A359,K$1)="",'(1)鑑'!$E$7,OFFSET('(2)出場選手'!$B$2,$A359,K$1)))))</f>
        <v/>
      </c>
      <c r="L359" s="26" t="str">
        <f ca="1">IF($D359="","",SUBSTITUTE(SUBSTITUTE(SUBSTITUTE(IF(OFFSET('(2)出場選手'!$B$2,$A359,L$1)="",'(1)鑑'!$E$8,OFFSET('(2)出場選手'!$B$2,$A359,L$1)),"県",""),"府",""),"東京都","東京"))</f>
        <v/>
      </c>
      <c r="M359" s="57" t="str">
        <f ca="1">IF($D359="","",IF(OFFSET('(2)出場選手'!$B$2,$A359,M$1)="","",OFFSET('(2)出場選手'!$B$2,$A359,M$1)))</f>
        <v/>
      </c>
      <c r="N359" s="26" t="str">
        <f ca="1">IF($D359="","",OFFSET('(2)出場選手'!$B$2,$A359,N$1+3*$B359))</f>
        <v/>
      </c>
      <c r="O359" s="26" t="str">
        <f ca="1">IF($D359="","",IF(OFFSET('(2)出場選手'!$B$2,$A359,O$1+3*$B359)="","",OFFSET('(2)出場選手'!$B$2,$A359,O$1+3*$B359)))</f>
        <v/>
      </c>
      <c r="P359" s="26" t="str">
        <f ca="1">IF($D359="","",IF(OFFSET('(2)出場選手'!$B$2,$A359,P$1+3*$B359)="","",OFFSET('(2)出場選手'!$B$2,$A359,P$1+3*$B359)))</f>
        <v/>
      </c>
      <c r="Q359" s="43" t="str">
        <f ca="1">IF(D359="","",VLOOKUP(N359,OFFSET(Competition_Events,0,1),11,FALSE)*IF($S359="リレー",IF(COUNTIF($T$3:$T359,$T359)&gt;1,0,1),1))</f>
        <v/>
      </c>
      <c r="R359" s="26" t="str">
        <f t="shared" ca="1" si="20"/>
        <v/>
      </c>
      <c r="S359" s="26" t="str">
        <f t="shared" ca="1" si="21"/>
        <v/>
      </c>
      <c r="T359" s="26" t="str">
        <f t="shared" ca="1" si="22"/>
        <v/>
      </c>
      <c r="U359" s="26" t="str">
        <f t="shared" ca="1" si="27"/>
        <v/>
      </c>
      <c r="W359" s="17" t="str">
        <f ca="1">IF($D359="","",OFFSET('(2)出場選手'!$B$2,$A359,W$1))</f>
        <v/>
      </c>
      <c r="X359" s="17" t="str">
        <f ca="1">IF($D359="","",OFFSET('(2)出場選手'!$B$2,$A359,X$1))</f>
        <v/>
      </c>
      <c r="Y359" s="17" t="str">
        <f ca="1">IF($D359="","",OFFSET('(2)出場選手'!$B$2,$A359,Y$1))</f>
        <v/>
      </c>
      <c r="Z359" s="17" t="str">
        <f ca="1">IF($D359="","",OFFSET('(2)出場選手'!$B$2,$A359,Z$1))</f>
        <v/>
      </c>
    </row>
    <row r="360" spans="1:26" x14ac:dyDescent="0.15">
      <c r="A360" s="17">
        <f>TRUNC((ROWS($D$3:D360)-2)/Max_Entry_Count)+1</f>
        <v>119</v>
      </c>
      <c r="B360" s="17" t="str">
        <f ca="1">IF($A360&gt;=ROWS(Entries)-2,"",IF(OFFSET('(2)出場選手'!$B$2,$A360,B$1+3*(MOD(ROWS($D$3:D360)-2,Max_Entry_Count)))="","",MOD(ROWS($D$3:D360)-2,Max_Entry_Count)))</f>
        <v/>
      </c>
      <c r="D360" s="26" t="str">
        <f ca="1">IF(OR($A360&gt;=ROWS(Entries)-2,$B360=""),"",'(1)鑑'!$E$6&amp;"-"&amp;OFFSET('(2)出場選手'!$B$2,$A360,D$1))</f>
        <v/>
      </c>
      <c r="E360" s="26" t="str">
        <f ca="1">IF($D360="","",OFFSET('(2)出場選手'!$B$2,$A360,E$1))</f>
        <v/>
      </c>
      <c r="F360" s="26" t="str">
        <f ca="1">IF($D360="","",IF(OFFSET('(2)出場選手'!$B$2,$A360,F$1)="","",OFFSET('(2)出場選手'!$B$2,$A360,F$1)))</f>
        <v/>
      </c>
      <c r="G360" s="26" t="str">
        <f t="shared" ca="1" si="18"/>
        <v/>
      </c>
      <c r="H360" s="26" t="str">
        <f t="shared" ca="1" si="28"/>
        <v/>
      </c>
      <c r="I360" s="26" t="str">
        <f ca="1">IF($D360="","",IF(OFFSET('(2)出場選手'!$B$2,$A360,I$1)="","",OFFSET('(2)出場選手'!$B$2,$A360,I$1)))</f>
        <v/>
      </c>
      <c r="J360" s="26" t="str">
        <f ca="1">IF($D360="","",IF(OFFSET('(2)出場選手'!$B$2,$A360,J$1)="",'(1)鑑'!$E$6,OFFSET('(2)出場選手'!$B$2,$A360,J$1)))</f>
        <v/>
      </c>
      <c r="K360" s="26" t="str">
        <f ca="1">IF($D360="","",TRIM(ASC(IF(OFFSET('(2)出場選手'!$B$2,$A360,K$1)="",'(1)鑑'!$E$7,OFFSET('(2)出場選手'!$B$2,$A360,K$1)))))</f>
        <v/>
      </c>
      <c r="L360" s="26" t="str">
        <f ca="1">IF($D360="","",SUBSTITUTE(SUBSTITUTE(SUBSTITUTE(IF(OFFSET('(2)出場選手'!$B$2,$A360,L$1)="",'(1)鑑'!$E$8,OFFSET('(2)出場選手'!$B$2,$A360,L$1)),"県",""),"府",""),"東京都","東京"))</f>
        <v/>
      </c>
      <c r="M360" s="57" t="str">
        <f ca="1">IF($D360="","",IF(OFFSET('(2)出場選手'!$B$2,$A360,M$1)="","",OFFSET('(2)出場選手'!$B$2,$A360,M$1)))</f>
        <v/>
      </c>
      <c r="N360" s="26" t="str">
        <f ca="1">IF($D360="","",OFFSET('(2)出場選手'!$B$2,$A360,N$1+3*$B360))</f>
        <v/>
      </c>
      <c r="O360" s="26" t="str">
        <f ca="1">IF($D360="","",IF(OFFSET('(2)出場選手'!$B$2,$A360,O$1+3*$B360)="","",OFFSET('(2)出場選手'!$B$2,$A360,O$1+3*$B360)))</f>
        <v/>
      </c>
      <c r="P360" s="26" t="str">
        <f ca="1">IF($D360="","",IF(OFFSET('(2)出場選手'!$B$2,$A360,P$1+3*$B360)="","",OFFSET('(2)出場選手'!$B$2,$A360,P$1+3*$B360)))</f>
        <v/>
      </c>
      <c r="Q360" s="43" t="str">
        <f ca="1">IF(D360="","",VLOOKUP(N360,OFFSET(Competition_Events,0,1),11,FALSE)*IF($S360="リレー",IF(COUNTIF($T$3:$T360,$T360)&gt;1,0,1),1))</f>
        <v/>
      </c>
      <c r="R360" s="26" t="str">
        <f t="shared" ca="1" si="20"/>
        <v/>
      </c>
      <c r="S360" s="26" t="str">
        <f t="shared" ca="1" si="21"/>
        <v/>
      </c>
      <c r="T360" s="26" t="str">
        <f t="shared" ca="1" si="22"/>
        <v/>
      </c>
      <c r="U360" s="26" t="str">
        <f t="shared" ca="1" si="27"/>
        <v/>
      </c>
      <c r="W360" s="17" t="str">
        <f ca="1">IF($D360="","",OFFSET('(2)出場選手'!$B$2,$A360,W$1))</f>
        <v/>
      </c>
      <c r="X360" s="17" t="str">
        <f ca="1">IF($D360="","",OFFSET('(2)出場選手'!$B$2,$A360,X$1))</f>
        <v/>
      </c>
      <c r="Y360" s="17" t="str">
        <f ca="1">IF($D360="","",OFFSET('(2)出場選手'!$B$2,$A360,Y$1))</f>
        <v/>
      </c>
      <c r="Z360" s="17" t="str">
        <f ca="1">IF($D360="","",OFFSET('(2)出場選手'!$B$2,$A360,Z$1))</f>
        <v/>
      </c>
    </row>
    <row r="361" spans="1:26" x14ac:dyDescent="0.15">
      <c r="A361" s="17">
        <f>TRUNC((ROWS($D$3:D361)-2)/Max_Entry_Count)+1</f>
        <v>120</v>
      </c>
      <c r="B361" s="17" t="str">
        <f ca="1">IF($A361&gt;=ROWS(Entries)-2,"",IF(OFFSET('(2)出場選手'!$B$2,$A361,B$1+3*(MOD(ROWS($D$3:D361)-2,Max_Entry_Count)))="","",MOD(ROWS($D$3:D361)-2,Max_Entry_Count)))</f>
        <v/>
      </c>
      <c r="D361" s="26" t="str">
        <f ca="1">IF(OR($A361&gt;=ROWS(Entries)-2,$B361=""),"",'(1)鑑'!$E$6&amp;"-"&amp;OFFSET('(2)出場選手'!$B$2,$A361,D$1))</f>
        <v/>
      </c>
      <c r="E361" s="26" t="str">
        <f ca="1">IF($D361="","",OFFSET('(2)出場選手'!$B$2,$A361,E$1))</f>
        <v/>
      </c>
      <c r="F361" s="26" t="str">
        <f ca="1">IF($D361="","",IF(OFFSET('(2)出場選手'!$B$2,$A361,F$1)="","",OFFSET('(2)出場選手'!$B$2,$A361,F$1)))</f>
        <v/>
      </c>
      <c r="G361" s="26" t="str">
        <f t="shared" ca="1" si="18"/>
        <v/>
      </c>
      <c r="H361" s="26" t="str">
        <f t="shared" ca="1" si="28"/>
        <v/>
      </c>
      <c r="I361" s="26" t="str">
        <f ca="1">IF($D361="","",IF(OFFSET('(2)出場選手'!$B$2,$A361,I$1)="","",OFFSET('(2)出場選手'!$B$2,$A361,I$1)))</f>
        <v/>
      </c>
      <c r="J361" s="26" t="str">
        <f ca="1">IF($D361="","",IF(OFFSET('(2)出場選手'!$B$2,$A361,J$1)="",'(1)鑑'!$E$6,OFFSET('(2)出場選手'!$B$2,$A361,J$1)))</f>
        <v/>
      </c>
      <c r="K361" s="26" t="str">
        <f ca="1">IF($D361="","",TRIM(ASC(IF(OFFSET('(2)出場選手'!$B$2,$A361,K$1)="",'(1)鑑'!$E$7,OFFSET('(2)出場選手'!$B$2,$A361,K$1)))))</f>
        <v/>
      </c>
      <c r="L361" s="26" t="str">
        <f ca="1">IF($D361="","",SUBSTITUTE(SUBSTITUTE(SUBSTITUTE(IF(OFFSET('(2)出場選手'!$B$2,$A361,L$1)="",'(1)鑑'!$E$8,OFFSET('(2)出場選手'!$B$2,$A361,L$1)),"県",""),"府",""),"東京都","東京"))</f>
        <v/>
      </c>
      <c r="M361" s="57" t="str">
        <f ca="1">IF($D361="","",IF(OFFSET('(2)出場選手'!$B$2,$A361,M$1)="","",OFFSET('(2)出場選手'!$B$2,$A361,M$1)))</f>
        <v/>
      </c>
      <c r="N361" s="26" t="str">
        <f ca="1">IF($D361="","",OFFSET('(2)出場選手'!$B$2,$A361,N$1+3*$B361))</f>
        <v/>
      </c>
      <c r="O361" s="26" t="str">
        <f ca="1">IF($D361="","",IF(OFFSET('(2)出場選手'!$B$2,$A361,O$1+3*$B361)="","",OFFSET('(2)出場選手'!$B$2,$A361,O$1+3*$B361)))</f>
        <v/>
      </c>
      <c r="P361" s="26" t="str">
        <f ca="1">IF($D361="","",IF(OFFSET('(2)出場選手'!$B$2,$A361,P$1+3*$B361)="","",OFFSET('(2)出場選手'!$B$2,$A361,P$1+3*$B361)))</f>
        <v/>
      </c>
      <c r="Q361" s="43" t="str">
        <f ca="1">IF(D361="","",VLOOKUP(N361,OFFSET(Competition_Events,0,1),11,FALSE)*IF($S361="リレー",IF(COUNTIF($T$3:$T361,$T361)&gt;1,0,1),1))</f>
        <v/>
      </c>
      <c r="R361" s="26" t="str">
        <f t="shared" ca="1" si="20"/>
        <v/>
      </c>
      <c r="S361" s="26" t="str">
        <f t="shared" ca="1" si="21"/>
        <v/>
      </c>
      <c r="T361" s="26" t="str">
        <f t="shared" ca="1" si="22"/>
        <v/>
      </c>
      <c r="U361" s="26" t="str">
        <f t="shared" ca="1" si="27"/>
        <v/>
      </c>
      <c r="W361" s="17" t="str">
        <f ca="1">IF($D361="","",OFFSET('(2)出場選手'!$B$2,$A361,W$1))</f>
        <v/>
      </c>
      <c r="X361" s="17" t="str">
        <f ca="1">IF($D361="","",OFFSET('(2)出場選手'!$B$2,$A361,X$1))</f>
        <v/>
      </c>
      <c r="Y361" s="17" t="str">
        <f ca="1">IF($D361="","",OFFSET('(2)出場選手'!$B$2,$A361,Y$1))</f>
        <v/>
      </c>
      <c r="Z361" s="17" t="str">
        <f ca="1">IF($D361="","",OFFSET('(2)出場選手'!$B$2,$A361,Z$1))</f>
        <v/>
      </c>
    </row>
    <row r="362" spans="1:26" x14ac:dyDescent="0.15">
      <c r="A362" s="17">
        <f>TRUNC((ROWS($D$3:D362)-2)/Max_Entry_Count)+1</f>
        <v>120</v>
      </c>
      <c r="B362" s="17" t="str">
        <f ca="1">IF($A362&gt;=ROWS(Entries)-2,"",IF(OFFSET('(2)出場選手'!$B$2,$A362,B$1+3*(MOD(ROWS($D$3:D362)-2,Max_Entry_Count)))="","",MOD(ROWS($D$3:D362)-2,Max_Entry_Count)))</f>
        <v/>
      </c>
      <c r="D362" s="26" t="str">
        <f ca="1">IF(OR($A362&gt;=ROWS(Entries)-2,$B362=""),"",'(1)鑑'!$E$6&amp;"-"&amp;OFFSET('(2)出場選手'!$B$2,$A362,D$1))</f>
        <v/>
      </c>
      <c r="E362" s="26" t="str">
        <f ca="1">IF($D362="","",OFFSET('(2)出場選手'!$B$2,$A362,E$1))</f>
        <v/>
      </c>
      <c r="F362" s="26" t="str">
        <f ca="1">IF($D362="","",IF(OFFSET('(2)出場選手'!$B$2,$A362,F$1)="","",OFFSET('(2)出場選手'!$B$2,$A362,F$1)))</f>
        <v/>
      </c>
      <c r="G362" s="26" t="str">
        <f t="shared" ca="1" si="18"/>
        <v/>
      </c>
      <c r="H362" s="26" t="str">
        <f t="shared" ca="1" si="28"/>
        <v/>
      </c>
      <c r="I362" s="26" t="str">
        <f ca="1">IF($D362="","",IF(OFFSET('(2)出場選手'!$B$2,$A362,I$1)="","",OFFSET('(2)出場選手'!$B$2,$A362,I$1)))</f>
        <v/>
      </c>
      <c r="J362" s="26" t="str">
        <f ca="1">IF($D362="","",IF(OFFSET('(2)出場選手'!$B$2,$A362,J$1)="",'(1)鑑'!$E$6,OFFSET('(2)出場選手'!$B$2,$A362,J$1)))</f>
        <v/>
      </c>
      <c r="K362" s="26" t="str">
        <f ca="1">IF($D362="","",TRIM(ASC(IF(OFFSET('(2)出場選手'!$B$2,$A362,K$1)="",'(1)鑑'!$E$7,OFFSET('(2)出場選手'!$B$2,$A362,K$1)))))</f>
        <v/>
      </c>
      <c r="L362" s="26" t="str">
        <f ca="1">IF($D362="","",SUBSTITUTE(SUBSTITUTE(SUBSTITUTE(IF(OFFSET('(2)出場選手'!$B$2,$A362,L$1)="",'(1)鑑'!$E$8,OFFSET('(2)出場選手'!$B$2,$A362,L$1)),"県",""),"府",""),"東京都","東京"))</f>
        <v/>
      </c>
      <c r="M362" s="57" t="str">
        <f ca="1">IF($D362="","",IF(OFFSET('(2)出場選手'!$B$2,$A362,M$1)="","",OFFSET('(2)出場選手'!$B$2,$A362,M$1)))</f>
        <v/>
      </c>
      <c r="N362" s="26" t="str">
        <f ca="1">IF($D362="","",OFFSET('(2)出場選手'!$B$2,$A362,N$1+3*$B362))</f>
        <v/>
      </c>
      <c r="O362" s="26" t="str">
        <f ca="1">IF($D362="","",IF(OFFSET('(2)出場選手'!$B$2,$A362,O$1+3*$B362)="","",OFFSET('(2)出場選手'!$B$2,$A362,O$1+3*$B362)))</f>
        <v/>
      </c>
      <c r="P362" s="26" t="str">
        <f ca="1">IF($D362="","",IF(OFFSET('(2)出場選手'!$B$2,$A362,P$1+3*$B362)="","",OFFSET('(2)出場選手'!$B$2,$A362,P$1+3*$B362)))</f>
        <v/>
      </c>
      <c r="Q362" s="43" t="str">
        <f ca="1">IF(D362="","",VLOOKUP(N362,OFFSET(Competition_Events,0,1),11,FALSE)*IF($S362="リレー",IF(COUNTIF($T$3:$T362,$T362)&gt;1,0,1),1))</f>
        <v/>
      </c>
      <c r="R362" s="26" t="str">
        <f t="shared" ca="1" si="20"/>
        <v/>
      </c>
      <c r="S362" s="26" t="str">
        <f t="shared" ca="1" si="21"/>
        <v/>
      </c>
      <c r="T362" s="26" t="str">
        <f t="shared" ca="1" si="22"/>
        <v/>
      </c>
      <c r="U362" s="26" t="str">
        <f t="shared" ca="1" si="27"/>
        <v/>
      </c>
      <c r="W362" s="17" t="str">
        <f ca="1">IF($D362="","",OFFSET('(2)出場選手'!$B$2,$A362,W$1))</f>
        <v/>
      </c>
      <c r="X362" s="17" t="str">
        <f ca="1">IF($D362="","",OFFSET('(2)出場選手'!$B$2,$A362,X$1))</f>
        <v/>
      </c>
      <c r="Y362" s="17" t="str">
        <f ca="1">IF($D362="","",OFFSET('(2)出場選手'!$B$2,$A362,Y$1))</f>
        <v/>
      </c>
      <c r="Z362" s="17" t="str">
        <f ca="1">IF($D362="","",OFFSET('(2)出場選手'!$B$2,$A362,Z$1))</f>
        <v/>
      </c>
    </row>
    <row r="363" spans="1:26" x14ac:dyDescent="0.15">
      <c r="A363" s="17">
        <f>TRUNC((ROWS($D$3:D363)-2)/Max_Entry_Count)+1</f>
        <v>120</v>
      </c>
      <c r="B363" s="17" t="str">
        <f ca="1">IF($A363&gt;=ROWS(Entries)-2,"",IF(OFFSET('(2)出場選手'!$B$2,$A363,B$1+3*(MOD(ROWS($D$3:D363)-2,Max_Entry_Count)))="","",MOD(ROWS($D$3:D363)-2,Max_Entry_Count)))</f>
        <v/>
      </c>
      <c r="D363" s="26" t="str">
        <f ca="1">IF(OR($A363&gt;=ROWS(Entries)-2,$B363=""),"",'(1)鑑'!$E$6&amp;"-"&amp;OFFSET('(2)出場選手'!$B$2,$A363,D$1))</f>
        <v/>
      </c>
      <c r="E363" s="26" t="str">
        <f ca="1">IF($D363="","",OFFSET('(2)出場選手'!$B$2,$A363,E$1))</f>
        <v/>
      </c>
      <c r="F363" s="26" t="str">
        <f ca="1">IF($D363="","",IF(OFFSET('(2)出場選手'!$B$2,$A363,F$1)="","",OFFSET('(2)出場選手'!$B$2,$A363,F$1)))</f>
        <v/>
      </c>
      <c r="G363" s="26" t="str">
        <f t="shared" ca="1" si="18"/>
        <v/>
      </c>
      <c r="H363" s="26" t="str">
        <f t="shared" ca="1" si="28"/>
        <v/>
      </c>
      <c r="I363" s="26" t="str">
        <f ca="1">IF($D363="","",IF(OFFSET('(2)出場選手'!$B$2,$A363,I$1)="","",OFFSET('(2)出場選手'!$B$2,$A363,I$1)))</f>
        <v/>
      </c>
      <c r="J363" s="26" t="str">
        <f ca="1">IF($D363="","",IF(OFFSET('(2)出場選手'!$B$2,$A363,J$1)="",'(1)鑑'!$E$6,OFFSET('(2)出場選手'!$B$2,$A363,J$1)))</f>
        <v/>
      </c>
      <c r="K363" s="26" t="str">
        <f ca="1">IF($D363="","",TRIM(ASC(IF(OFFSET('(2)出場選手'!$B$2,$A363,K$1)="",'(1)鑑'!$E$7,OFFSET('(2)出場選手'!$B$2,$A363,K$1)))))</f>
        <v/>
      </c>
      <c r="L363" s="26" t="str">
        <f ca="1">IF($D363="","",SUBSTITUTE(SUBSTITUTE(SUBSTITUTE(IF(OFFSET('(2)出場選手'!$B$2,$A363,L$1)="",'(1)鑑'!$E$8,OFFSET('(2)出場選手'!$B$2,$A363,L$1)),"県",""),"府",""),"東京都","東京"))</f>
        <v/>
      </c>
      <c r="M363" s="57" t="str">
        <f ca="1">IF($D363="","",IF(OFFSET('(2)出場選手'!$B$2,$A363,M$1)="","",OFFSET('(2)出場選手'!$B$2,$A363,M$1)))</f>
        <v/>
      </c>
      <c r="N363" s="26" t="str">
        <f ca="1">IF($D363="","",OFFSET('(2)出場選手'!$B$2,$A363,N$1+3*$B363))</f>
        <v/>
      </c>
      <c r="O363" s="26" t="str">
        <f ca="1">IF($D363="","",IF(OFFSET('(2)出場選手'!$B$2,$A363,O$1+3*$B363)="","",OFFSET('(2)出場選手'!$B$2,$A363,O$1+3*$B363)))</f>
        <v/>
      </c>
      <c r="P363" s="26" t="str">
        <f ca="1">IF($D363="","",IF(OFFSET('(2)出場選手'!$B$2,$A363,P$1+3*$B363)="","",OFFSET('(2)出場選手'!$B$2,$A363,P$1+3*$B363)))</f>
        <v/>
      </c>
      <c r="Q363" s="43" t="str">
        <f ca="1">IF(D363="","",VLOOKUP(N363,OFFSET(Competition_Events,0,1),11,FALSE)*IF($S363="リレー",IF(COUNTIF($T$3:$T363,$T363)&gt;1,0,1),1))</f>
        <v/>
      </c>
      <c r="R363" s="26" t="str">
        <f t="shared" ca="1" si="20"/>
        <v/>
      </c>
      <c r="S363" s="26" t="str">
        <f t="shared" ca="1" si="21"/>
        <v/>
      </c>
      <c r="T363" s="26" t="str">
        <f t="shared" ca="1" si="22"/>
        <v/>
      </c>
      <c r="U363" s="26" t="str">
        <f t="shared" ca="1" si="27"/>
        <v/>
      </c>
      <c r="W363" s="17" t="str">
        <f ca="1">IF($D363="","",OFFSET('(2)出場選手'!$B$2,$A363,W$1))</f>
        <v/>
      </c>
      <c r="X363" s="17" t="str">
        <f ca="1">IF($D363="","",OFFSET('(2)出場選手'!$B$2,$A363,X$1))</f>
        <v/>
      </c>
      <c r="Y363" s="17" t="str">
        <f ca="1">IF($D363="","",OFFSET('(2)出場選手'!$B$2,$A363,Y$1))</f>
        <v/>
      </c>
      <c r="Z363" s="17" t="str">
        <f ca="1">IF($D363="","",OFFSET('(2)出場選手'!$B$2,$A363,Z$1))</f>
        <v/>
      </c>
    </row>
    <row r="364" spans="1:26" x14ac:dyDescent="0.15">
      <c r="A364" s="17">
        <f>TRUNC((ROWS($D$3:D364)-2)/Max_Entry_Count)+1</f>
        <v>121</v>
      </c>
      <c r="B364" s="17" t="str">
        <f ca="1">IF($A364&gt;=ROWS(Entries)-2,"",IF(OFFSET('(2)出場選手'!$B$2,$A364,B$1+3*(MOD(ROWS($D$3:D364)-2,Max_Entry_Count)))="","",MOD(ROWS($D$3:D364)-2,Max_Entry_Count)))</f>
        <v/>
      </c>
      <c r="D364" s="26" t="str">
        <f ca="1">IF(OR($A364&gt;=ROWS(Entries)-2,$B364=""),"",'(1)鑑'!$E$6&amp;"-"&amp;OFFSET('(2)出場選手'!$B$2,$A364,D$1))</f>
        <v/>
      </c>
      <c r="E364" s="26" t="str">
        <f ca="1">IF($D364="","",OFFSET('(2)出場選手'!$B$2,$A364,E$1))</f>
        <v/>
      </c>
      <c r="F364" s="26" t="str">
        <f ca="1">IF($D364="","",IF(OFFSET('(2)出場選手'!$B$2,$A364,F$1)="","",OFFSET('(2)出場選手'!$B$2,$A364,F$1)))</f>
        <v/>
      </c>
      <c r="G364" s="26" t="str">
        <f t="shared" ca="1" si="18"/>
        <v/>
      </c>
      <c r="H364" s="26" t="str">
        <f t="shared" ca="1" si="28"/>
        <v/>
      </c>
      <c r="I364" s="26" t="str">
        <f ca="1">IF($D364="","",IF(OFFSET('(2)出場選手'!$B$2,$A364,I$1)="","",OFFSET('(2)出場選手'!$B$2,$A364,I$1)))</f>
        <v/>
      </c>
      <c r="J364" s="26" t="str">
        <f ca="1">IF($D364="","",IF(OFFSET('(2)出場選手'!$B$2,$A364,J$1)="",'(1)鑑'!$E$6,OFFSET('(2)出場選手'!$B$2,$A364,J$1)))</f>
        <v/>
      </c>
      <c r="K364" s="26" t="str">
        <f ca="1">IF($D364="","",TRIM(ASC(IF(OFFSET('(2)出場選手'!$B$2,$A364,K$1)="",'(1)鑑'!$E$7,OFFSET('(2)出場選手'!$B$2,$A364,K$1)))))</f>
        <v/>
      </c>
      <c r="L364" s="26" t="str">
        <f ca="1">IF($D364="","",SUBSTITUTE(SUBSTITUTE(SUBSTITUTE(IF(OFFSET('(2)出場選手'!$B$2,$A364,L$1)="",'(1)鑑'!$E$8,OFFSET('(2)出場選手'!$B$2,$A364,L$1)),"県",""),"府",""),"東京都","東京"))</f>
        <v/>
      </c>
      <c r="M364" s="57" t="str">
        <f ca="1">IF($D364="","",IF(OFFSET('(2)出場選手'!$B$2,$A364,M$1)="","",OFFSET('(2)出場選手'!$B$2,$A364,M$1)))</f>
        <v/>
      </c>
      <c r="N364" s="26" t="str">
        <f ca="1">IF($D364="","",OFFSET('(2)出場選手'!$B$2,$A364,N$1+3*$B364))</f>
        <v/>
      </c>
      <c r="O364" s="26" t="str">
        <f ca="1">IF($D364="","",IF(OFFSET('(2)出場選手'!$B$2,$A364,O$1+3*$B364)="","",OFFSET('(2)出場選手'!$B$2,$A364,O$1+3*$B364)))</f>
        <v/>
      </c>
      <c r="P364" s="26" t="str">
        <f ca="1">IF($D364="","",IF(OFFSET('(2)出場選手'!$B$2,$A364,P$1+3*$B364)="","",OFFSET('(2)出場選手'!$B$2,$A364,P$1+3*$B364)))</f>
        <v/>
      </c>
      <c r="Q364" s="43" t="str">
        <f ca="1">IF(D364="","",VLOOKUP(N364,OFFSET(Competition_Events,0,1),11,FALSE)*IF($S364="リレー",IF(COUNTIF($T$3:$T364,$T364)&gt;1,0,1),1))</f>
        <v/>
      </c>
      <c r="R364" s="26" t="str">
        <f t="shared" ca="1" si="20"/>
        <v/>
      </c>
      <c r="S364" s="26" t="str">
        <f t="shared" ca="1" si="21"/>
        <v/>
      </c>
      <c r="T364" s="26" t="str">
        <f t="shared" ca="1" si="22"/>
        <v/>
      </c>
      <c r="U364" s="26" t="str">
        <f t="shared" ca="1" si="27"/>
        <v/>
      </c>
      <c r="W364" s="17" t="str">
        <f ca="1">IF($D364="","",OFFSET('(2)出場選手'!$B$2,$A364,W$1))</f>
        <v/>
      </c>
      <c r="X364" s="17" t="str">
        <f ca="1">IF($D364="","",OFFSET('(2)出場選手'!$B$2,$A364,X$1))</f>
        <v/>
      </c>
      <c r="Y364" s="17" t="str">
        <f ca="1">IF($D364="","",OFFSET('(2)出場選手'!$B$2,$A364,Y$1))</f>
        <v/>
      </c>
      <c r="Z364" s="17" t="str">
        <f ca="1">IF($D364="","",OFFSET('(2)出場選手'!$B$2,$A364,Z$1))</f>
        <v/>
      </c>
    </row>
    <row r="365" spans="1:26" x14ac:dyDescent="0.15">
      <c r="A365" s="17">
        <f>TRUNC((ROWS($D$3:D365)-2)/Max_Entry_Count)+1</f>
        <v>121</v>
      </c>
      <c r="B365" s="17" t="str">
        <f ca="1">IF($A365&gt;=ROWS(Entries)-2,"",IF(OFFSET('(2)出場選手'!$B$2,$A365,B$1+3*(MOD(ROWS($D$3:D365)-2,Max_Entry_Count)))="","",MOD(ROWS($D$3:D365)-2,Max_Entry_Count)))</f>
        <v/>
      </c>
      <c r="D365" s="26" t="str">
        <f ca="1">IF(OR($A365&gt;=ROWS(Entries)-2,$B365=""),"",'(1)鑑'!$E$6&amp;"-"&amp;OFFSET('(2)出場選手'!$B$2,$A365,D$1))</f>
        <v/>
      </c>
      <c r="E365" s="26" t="str">
        <f ca="1">IF($D365="","",OFFSET('(2)出場選手'!$B$2,$A365,E$1))</f>
        <v/>
      </c>
      <c r="F365" s="26" t="str">
        <f ca="1">IF($D365="","",IF(OFFSET('(2)出場選手'!$B$2,$A365,F$1)="","",OFFSET('(2)出場選手'!$B$2,$A365,F$1)))</f>
        <v/>
      </c>
      <c r="G365" s="26" t="str">
        <f t="shared" ca="1" si="18"/>
        <v/>
      </c>
      <c r="H365" s="26" t="str">
        <f t="shared" ca="1" si="28"/>
        <v/>
      </c>
      <c r="I365" s="26" t="str">
        <f ca="1">IF($D365="","",IF(OFFSET('(2)出場選手'!$B$2,$A365,I$1)="","",OFFSET('(2)出場選手'!$B$2,$A365,I$1)))</f>
        <v/>
      </c>
      <c r="J365" s="26" t="str">
        <f ca="1">IF($D365="","",IF(OFFSET('(2)出場選手'!$B$2,$A365,J$1)="",'(1)鑑'!$E$6,OFFSET('(2)出場選手'!$B$2,$A365,J$1)))</f>
        <v/>
      </c>
      <c r="K365" s="26" t="str">
        <f ca="1">IF($D365="","",TRIM(ASC(IF(OFFSET('(2)出場選手'!$B$2,$A365,K$1)="",'(1)鑑'!$E$7,OFFSET('(2)出場選手'!$B$2,$A365,K$1)))))</f>
        <v/>
      </c>
      <c r="L365" s="26" t="str">
        <f ca="1">IF($D365="","",SUBSTITUTE(SUBSTITUTE(SUBSTITUTE(IF(OFFSET('(2)出場選手'!$B$2,$A365,L$1)="",'(1)鑑'!$E$8,OFFSET('(2)出場選手'!$B$2,$A365,L$1)),"県",""),"府",""),"東京都","東京"))</f>
        <v/>
      </c>
      <c r="M365" s="57" t="str">
        <f ca="1">IF($D365="","",IF(OFFSET('(2)出場選手'!$B$2,$A365,M$1)="","",OFFSET('(2)出場選手'!$B$2,$A365,M$1)))</f>
        <v/>
      </c>
      <c r="N365" s="26" t="str">
        <f ca="1">IF($D365="","",OFFSET('(2)出場選手'!$B$2,$A365,N$1+3*$B365))</f>
        <v/>
      </c>
      <c r="O365" s="26" t="str">
        <f ca="1">IF($D365="","",IF(OFFSET('(2)出場選手'!$B$2,$A365,O$1+3*$B365)="","",OFFSET('(2)出場選手'!$B$2,$A365,O$1+3*$B365)))</f>
        <v/>
      </c>
      <c r="P365" s="26" t="str">
        <f ca="1">IF($D365="","",IF(OFFSET('(2)出場選手'!$B$2,$A365,P$1+3*$B365)="","",OFFSET('(2)出場選手'!$B$2,$A365,P$1+3*$B365)))</f>
        <v/>
      </c>
      <c r="Q365" s="43" t="str">
        <f ca="1">IF(D365="","",VLOOKUP(N365,OFFSET(Competition_Events,0,1),11,FALSE)*IF($S365="リレー",IF(COUNTIF($T$3:$T365,$T365)&gt;1,0,1),1))</f>
        <v/>
      </c>
      <c r="R365" s="26" t="str">
        <f t="shared" ca="1" si="20"/>
        <v/>
      </c>
      <c r="S365" s="26" t="str">
        <f t="shared" ca="1" si="21"/>
        <v/>
      </c>
      <c r="T365" s="26" t="str">
        <f t="shared" ca="1" si="22"/>
        <v/>
      </c>
      <c r="U365" s="26" t="str">
        <f t="shared" ca="1" si="27"/>
        <v/>
      </c>
      <c r="W365" s="17" t="str">
        <f ca="1">IF($D365="","",OFFSET('(2)出場選手'!$B$2,$A365,W$1))</f>
        <v/>
      </c>
      <c r="X365" s="17" t="str">
        <f ca="1">IF($D365="","",OFFSET('(2)出場選手'!$B$2,$A365,X$1))</f>
        <v/>
      </c>
      <c r="Y365" s="17" t="str">
        <f ca="1">IF($D365="","",OFFSET('(2)出場選手'!$B$2,$A365,Y$1))</f>
        <v/>
      </c>
      <c r="Z365" s="17" t="str">
        <f ca="1">IF($D365="","",OFFSET('(2)出場選手'!$B$2,$A365,Z$1))</f>
        <v/>
      </c>
    </row>
    <row r="366" spans="1:26" x14ac:dyDescent="0.15">
      <c r="A366" s="17">
        <f>TRUNC((ROWS($D$3:D366)-2)/Max_Entry_Count)+1</f>
        <v>121</v>
      </c>
      <c r="B366" s="17" t="str">
        <f ca="1">IF($A366&gt;=ROWS(Entries)-2,"",IF(OFFSET('(2)出場選手'!$B$2,$A366,B$1+3*(MOD(ROWS($D$3:D366)-2,Max_Entry_Count)))="","",MOD(ROWS($D$3:D366)-2,Max_Entry_Count)))</f>
        <v/>
      </c>
      <c r="D366" s="26" t="str">
        <f ca="1">IF(OR($A366&gt;=ROWS(Entries)-2,$B366=""),"",'(1)鑑'!$E$6&amp;"-"&amp;OFFSET('(2)出場選手'!$B$2,$A366,D$1))</f>
        <v/>
      </c>
      <c r="E366" s="26" t="str">
        <f ca="1">IF($D366="","",OFFSET('(2)出場選手'!$B$2,$A366,E$1))</f>
        <v/>
      </c>
      <c r="F366" s="26" t="str">
        <f ca="1">IF($D366="","",IF(OFFSET('(2)出場選手'!$B$2,$A366,F$1)="","",OFFSET('(2)出場選手'!$B$2,$A366,F$1)))</f>
        <v/>
      </c>
      <c r="G366" s="26" t="str">
        <f t="shared" ca="1" si="18"/>
        <v/>
      </c>
      <c r="H366" s="26" t="str">
        <f t="shared" ca="1" si="28"/>
        <v/>
      </c>
      <c r="I366" s="26" t="str">
        <f ca="1">IF($D366="","",IF(OFFSET('(2)出場選手'!$B$2,$A366,I$1)="","",OFFSET('(2)出場選手'!$B$2,$A366,I$1)))</f>
        <v/>
      </c>
      <c r="J366" s="26" t="str">
        <f ca="1">IF($D366="","",IF(OFFSET('(2)出場選手'!$B$2,$A366,J$1)="",'(1)鑑'!$E$6,OFFSET('(2)出場選手'!$B$2,$A366,J$1)))</f>
        <v/>
      </c>
      <c r="K366" s="26" t="str">
        <f ca="1">IF($D366="","",TRIM(ASC(IF(OFFSET('(2)出場選手'!$B$2,$A366,K$1)="",'(1)鑑'!$E$7,OFFSET('(2)出場選手'!$B$2,$A366,K$1)))))</f>
        <v/>
      </c>
      <c r="L366" s="26" t="str">
        <f ca="1">IF($D366="","",SUBSTITUTE(SUBSTITUTE(SUBSTITUTE(IF(OFFSET('(2)出場選手'!$B$2,$A366,L$1)="",'(1)鑑'!$E$8,OFFSET('(2)出場選手'!$B$2,$A366,L$1)),"県",""),"府",""),"東京都","東京"))</f>
        <v/>
      </c>
      <c r="M366" s="57" t="str">
        <f ca="1">IF($D366="","",IF(OFFSET('(2)出場選手'!$B$2,$A366,M$1)="","",OFFSET('(2)出場選手'!$B$2,$A366,M$1)))</f>
        <v/>
      </c>
      <c r="N366" s="26" t="str">
        <f ca="1">IF($D366="","",OFFSET('(2)出場選手'!$B$2,$A366,N$1+3*$B366))</f>
        <v/>
      </c>
      <c r="O366" s="26" t="str">
        <f ca="1">IF($D366="","",IF(OFFSET('(2)出場選手'!$B$2,$A366,O$1+3*$B366)="","",OFFSET('(2)出場選手'!$B$2,$A366,O$1+3*$B366)))</f>
        <v/>
      </c>
      <c r="P366" s="26" t="str">
        <f ca="1">IF($D366="","",IF(OFFSET('(2)出場選手'!$B$2,$A366,P$1+3*$B366)="","",OFFSET('(2)出場選手'!$B$2,$A366,P$1+3*$B366)))</f>
        <v/>
      </c>
      <c r="Q366" s="43" t="str">
        <f ca="1">IF(D366="","",VLOOKUP(N366,OFFSET(Competition_Events,0,1),11,FALSE)*IF($S366="リレー",IF(COUNTIF($T$3:$T366,$T366)&gt;1,0,1),1))</f>
        <v/>
      </c>
      <c r="R366" s="26" t="str">
        <f t="shared" ca="1" si="20"/>
        <v/>
      </c>
      <c r="S366" s="26" t="str">
        <f t="shared" ca="1" si="21"/>
        <v/>
      </c>
      <c r="T366" s="26" t="str">
        <f t="shared" ca="1" si="22"/>
        <v/>
      </c>
      <c r="U366" s="26" t="str">
        <f t="shared" ca="1" si="27"/>
        <v/>
      </c>
      <c r="W366" s="17" t="str">
        <f ca="1">IF($D366="","",OFFSET('(2)出場選手'!$B$2,$A366,W$1))</f>
        <v/>
      </c>
      <c r="X366" s="17" t="str">
        <f ca="1">IF($D366="","",OFFSET('(2)出場選手'!$B$2,$A366,X$1))</f>
        <v/>
      </c>
      <c r="Y366" s="17" t="str">
        <f ca="1">IF($D366="","",OFFSET('(2)出場選手'!$B$2,$A366,Y$1))</f>
        <v/>
      </c>
      <c r="Z366" s="17" t="str">
        <f ca="1">IF($D366="","",OFFSET('(2)出場選手'!$B$2,$A366,Z$1))</f>
        <v/>
      </c>
    </row>
    <row r="367" spans="1:26" x14ac:dyDescent="0.15">
      <c r="A367" s="17">
        <f>TRUNC((ROWS($D$3:D367)-2)/Max_Entry_Count)+1</f>
        <v>122</v>
      </c>
      <c r="B367" s="17" t="str">
        <f ca="1">IF($A367&gt;=ROWS(Entries)-2,"",IF(OFFSET('(2)出場選手'!$B$2,$A367,B$1+3*(MOD(ROWS($D$3:D367)-2,Max_Entry_Count)))="","",MOD(ROWS($D$3:D367)-2,Max_Entry_Count)))</f>
        <v/>
      </c>
      <c r="D367" s="26" t="str">
        <f ca="1">IF(OR($A367&gt;=ROWS(Entries)-2,$B367=""),"",'(1)鑑'!$E$6&amp;"-"&amp;OFFSET('(2)出場選手'!$B$2,$A367,D$1))</f>
        <v/>
      </c>
      <c r="E367" s="26" t="str">
        <f ca="1">IF($D367="","",OFFSET('(2)出場選手'!$B$2,$A367,E$1))</f>
        <v/>
      </c>
      <c r="F367" s="26" t="str">
        <f ca="1">IF($D367="","",IF(OFFSET('(2)出場選手'!$B$2,$A367,F$1)="","",OFFSET('(2)出場選手'!$B$2,$A367,F$1)))</f>
        <v/>
      </c>
      <c r="G367" s="26" t="str">
        <f t="shared" ca="1" si="18"/>
        <v/>
      </c>
      <c r="H367" s="26" t="str">
        <f t="shared" ca="1" si="28"/>
        <v/>
      </c>
      <c r="I367" s="26" t="str">
        <f ca="1">IF($D367="","",IF(OFFSET('(2)出場選手'!$B$2,$A367,I$1)="","",OFFSET('(2)出場選手'!$B$2,$A367,I$1)))</f>
        <v/>
      </c>
      <c r="J367" s="26" t="str">
        <f ca="1">IF($D367="","",IF(OFFSET('(2)出場選手'!$B$2,$A367,J$1)="",'(1)鑑'!$E$6,OFFSET('(2)出場選手'!$B$2,$A367,J$1)))</f>
        <v/>
      </c>
      <c r="K367" s="26" t="str">
        <f ca="1">IF($D367="","",TRIM(ASC(IF(OFFSET('(2)出場選手'!$B$2,$A367,K$1)="",'(1)鑑'!$E$7,OFFSET('(2)出場選手'!$B$2,$A367,K$1)))))</f>
        <v/>
      </c>
      <c r="L367" s="26" t="str">
        <f ca="1">IF($D367="","",SUBSTITUTE(SUBSTITUTE(SUBSTITUTE(IF(OFFSET('(2)出場選手'!$B$2,$A367,L$1)="",'(1)鑑'!$E$8,OFFSET('(2)出場選手'!$B$2,$A367,L$1)),"県",""),"府",""),"東京都","東京"))</f>
        <v/>
      </c>
      <c r="M367" s="57" t="str">
        <f ca="1">IF($D367="","",IF(OFFSET('(2)出場選手'!$B$2,$A367,M$1)="","",OFFSET('(2)出場選手'!$B$2,$A367,M$1)))</f>
        <v/>
      </c>
      <c r="N367" s="26" t="str">
        <f ca="1">IF($D367="","",OFFSET('(2)出場選手'!$B$2,$A367,N$1+3*$B367))</f>
        <v/>
      </c>
      <c r="O367" s="26" t="str">
        <f ca="1">IF($D367="","",IF(OFFSET('(2)出場選手'!$B$2,$A367,O$1+3*$B367)="","",OFFSET('(2)出場選手'!$B$2,$A367,O$1+3*$B367)))</f>
        <v/>
      </c>
      <c r="P367" s="26" t="str">
        <f ca="1">IF($D367="","",IF(OFFSET('(2)出場選手'!$B$2,$A367,P$1+3*$B367)="","",OFFSET('(2)出場選手'!$B$2,$A367,P$1+3*$B367)))</f>
        <v/>
      </c>
      <c r="Q367" s="43" t="str">
        <f ca="1">IF(D367="","",VLOOKUP(N367,OFFSET(Competition_Events,0,1),11,FALSE)*IF($S367="リレー",IF(COUNTIF($T$3:$T367,$T367)&gt;1,0,1),1))</f>
        <v/>
      </c>
      <c r="R367" s="26" t="str">
        <f t="shared" ca="1" si="20"/>
        <v/>
      </c>
      <c r="S367" s="26" t="str">
        <f t="shared" ca="1" si="21"/>
        <v/>
      </c>
      <c r="T367" s="26" t="str">
        <f t="shared" ca="1" si="22"/>
        <v/>
      </c>
      <c r="U367" s="26" t="str">
        <f t="shared" ca="1" si="27"/>
        <v/>
      </c>
      <c r="W367" s="17" t="str">
        <f ca="1">IF($D367="","",OFFSET('(2)出場選手'!$B$2,$A367,W$1))</f>
        <v/>
      </c>
      <c r="X367" s="17" t="str">
        <f ca="1">IF($D367="","",OFFSET('(2)出場選手'!$B$2,$A367,X$1))</f>
        <v/>
      </c>
      <c r="Y367" s="17" t="str">
        <f ca="1">IF($D367="","",OFFSET('(2)出場選手'!$B$2,$A367,Y$1))</f>
        <v/>
      </c>
      <c r="Z367" s="17" t="str">
        <f ca="1">IF($D367="","",OFFSET('(2)出場選手'!$B$2,$A367,Z$1))</f>
        <v/>
      </c>
    </row>
    <row r="368" spans="1:26" x14ac:dyDescent="0.15">
      <c r="A368" s="17">
        <f>TRUNC((ROWS($D$3:D368)-2)/Max_Entry_Count)+1</f>
        <v>122</v>
      </c>
      <c r="B368" s="17" t="str">
        <f ca="1">IF($A368&gt;=ROWS(Entries)-2,"",IF(OFFSET('(2)出場選手'!$B$2,$A368,B$1+3*(MOD(ROWS($D$3:D368)-2,Max_Entry_Count)))="","",MOD(ROWS($D$3:D368)-2,Max_Entry_Count)))</f>
        <v/>
      </c>
      <c r="D368" s="26" t="str">
        <f ca="1">IF(OR($A368&gt;=ROWS(Entries)-2,$B368=""),"",'(1)鑑'!$E$6&amp;"-"&amp;OFFSET('(2)出場選手'!$B$2,$A368,D$1))</f>
        <v/>
      </c>
      <c r="E368" s="26" t="str">
        <f ca="1">IF($D368="","",OFFSET('(2)出場選手'!$B$2,$A368,E$1))</f>
        <v/>
      </c>
      <c r="F368" s="26" t="str">
        <f ca="1">IF($D368="","",IF(OFFSET('(2)出場選手'!$B$2,$A368,F$1)="","",OFFSET('(2)出場選手'!$B$2,$A368,F$1)))</f>
        <v/>
      </c>
      <c r="G368" s="26" t="str">
        <f t="shared" ca="1" si="18"/>
        <v/>
      </c>
      <c r="H368" s="26" t="str">
        <f t="shared" ca="1" si="28"/>
        <v/>
      </c>
      <c r="I368" s="26" t="str">
        <f ca="1">IF($D368="","",IF(OFFSET('(2)出場選手'!$B$2,$A368,I$1)="","",OFFSET('(2)出場選手'!$B$2,$A368,I$1)))</f>
        <v/>
      </c>
      <c r="J368" s="26" t="str">
        <f ca="1">IF($D368="","",IF(OFFSET('(2)出場選手'!$B$2,$A368,J$1)="",'(1)鑑'!$E$6,OFFSET('(2)出場選手'!$B$2,$A368,J$1)))</f>
        <v/>
      </c>
      <c r="K368" s="26" t="str">
        <f ca="1">IF($D368="","",TRIM(ASC(IF(OFFSET('(2)出場選手'!$B$2,$A368,K$1)="",'(1)鑑'!$E$7,OFFSET('(2)出場選手'!$B$2,$A368,K$1)))))</f>
        <v/>
      </c>
      <c r="L368" s="26" t="str">
        <f ca="1">IF($D368="","",SUBSTITUTE(SUBSTITUTE(SUBSTITUTE(IF(OFFSET('(2)出場選手'!$B$2,$A368,L$1)="",'(1)鑑'!$E$8,OFFSET('(2)出場選手'!$B$2,$A368,L$1)),"県",""),"府",""),"東京都","東京"))</f>
        <v/>
      </c>
      <c r="M368" s="57" t="str">
        <f ca="1">IF($D368="","",IF(OFFSET('(2)出場選手'!$B$2,$A368,M$1)="","",OFFSET('(2)出場選手'!$B$2,$A368,M$1)))</f>
        <v/>
      </c>
      <c r="N368" s="26" t="str">
        <f ca="1">IF($D368="","",OFFSET('(2)出場選手'!$B$2,$A368,N$1+3*$B368))</f>
        <v/>
      </c>
      <c r="O368" s="26" t="str">
        <f ca="1">IF($D368="","",IF(OFFSET('(2)出場選手'!$B$2,$A368,O$1+3*$B368)="","",OFFSET('(2)出場選手'!$B$2,$A368,O$1+3*$B368)))</f>
        <v/>
      </c>
      <c r="P368" s="26" t="str">
        <f ca="1">IF($D368="","",IF(OFFSET('(2)出場選手'!$B$2,$A368,P$1+3*$B368)="","",OFFSET('(2)出場選手'!$B$2,$A368,P$1+3*$B368)))</f>
        <v/>
      </c>
      <c r="Q368" s="43" t="str">
        <f ca="1">IF(D368="","",VLOOKUP(N368,OFFSET(Competition_Events,0,1),11,FALSE)*IF($S368="リレー",IF(COUNTIF($T$3:$T368,$T368)&gt;1,0,1),1))</f>
        <v/>
      </c>
      <c r="R368" s="26" t="str">
        <f t="shared" ca="1" si="20"/>
        <v/>
      </c>
      <c r="S368" s="26" t="str">
        <f t="shared" ca="1" si="21"/>
        <v/>
      </c>
      <c r="T368" s="26" t="str">
        <f t="shared" ca="1" si="22"/>
        <v/>
      </c>
      <c r="U368" s="26" t="str">
        <f t="shared" ca="1" si="27"/>
        <v/>
      </c>
      <c r="W368" s="17" t="str">
        <f ca="1">IF($D368="","",OFFSET('(2)出場選手'!$B$2,$A368,W$1))</f>
        <v/>
      </c>
      <c r="X368" s="17" t="str">
        <f ca="1">IF($D368="","",OFFSET('(2)出場選手'!$B$2,$A368,X$1))</f>
        <v/>
      </c>
      <c r="Y368" s="17" t="str">
        <f ca="1">IF($D368="","",OFFSET('(2)出場選手'!$B$2,$A368,Y$1))</f>
        <v/>
      </c>
      <c r="Z368" s="17" t="str">
        <f ca="1">IF($D368="","",OFFSET('(2)出場選手'!$B$2,$A368,Z$1))</f>
        <v/>
      </c>
    </row>
    <row r="369" spans="1:26" x14ac:dyDescent="0.15">
      <c r="A369" s="17">
        <f>TRUNC((ROWS($D$3:D369)-2)/Max_Entry_Count)+1</f>
        <v>122</v>
      </c>
      <c r="B369" s="17" t="str">
        <f ca="1">IF($A369&gt;=ROWS(Entries)-2,"",IF(OFFSET('(2)出場選手'!$B$2,$A369,B$1+3*(MOD(ROWS($D$3:D369)-2,Max_Entry_Count)))="","",MOD(ROWS($D$3:D369)-2,Max_Entry_Count)))</f>
        <v/>
      </c>
      <c r="D369" s="26" t="str">
        <f ca="1">IF(OR($A369&gt;=ROWS(Entries)-2,$B369=""),"",'(1)鑑'!$E$6&amp;"-"&amp;OFFSET('(2)出場選手'!$B$2,$A369,D$1))</f>
        <v/>
      </c>
      <c r="E369" s="26" t="str">
        <f ca="1">IF($D369="","",OFFSET('(2)出場選手'!$B$2,$A369,E$1))</f>
        <v/>
      </c>
      <c r="F369" s="26" t="str">
        <f ca="1">IF($D369="","",IF(OFFSET('(2)出場選手'!$B$2,$A369,F$1)="","",OFFSET('(2)出場選手'!$B$2,$A369,F$1)))</f>
        <v/>
      </c>
      <c r="G369" s="26" t="str">
        <f t="shared" ca="1" si="18"/>
        <v/>
      </c>
      <c r="H369" s="26" t="str">
        <f t="shared" ca="1" si="28"/>
        <v/>
      </c>
      <c r="I369" s="26" t="str">
        <f ca="1">IF($D369="","",IF(OFFSET('(2)出場選手'!$B$2,$A369,I$1)="","",OFFSET('(2)出場選手'!$B$2,$A369,I$1)))</f>
        <v/>
      </c>
      <c r="J369" s="26" t="str">
        <f ca="1">IF($D369="","",IF(OFFSET('(2)出場選手'!$B$2,$A369,J$1)="",'(1)鑑'!$E$6,OFFSET('(2)出場選手'!$B$2,$A369,J$1)))</f>
        <v/>
      </c>
      <c r="K369" s="26" t="str">
        <f ca="1">IF($D369="","",TRIM(ASC(IF(OFFSET('(2)出場選手'!$B$2,$A369,K$1)="",'(1)鑑'!$E$7,OFFSET('(2)出場選手'!$B$2,$A369,K$1)))))</f>
        <v/>
      </c>
      <c r="L369" s="26" t="str">
        <f ca="1">IF($D369="","",SUBSTITUTE(SUBSTITUTE(SUBSTITUTE(IF(OFFSET('(2)出場選手'!$B$2,$A369,L$1)="",'(1)鑑'!$E$8,OFFSET('(2)出場選手'!$B$2,$A369,L$1)),"県",""),"府",""),"東京都","東京"))</f>
        <v/>
      </c>
      <c r="M369" s="57" t="str">
        <f ca="1">IF($D369="","",IF(OFFSET('(2)出場選手'!$B$2,$A369,M$1)="","",OFFSET('(2)出場選手'!$B$2,$A369,M$1)))</f>
        <v/>
      </c>
      <c r="N369" s="26" t="str">
        <f ca="1">IF($D369="","",OFFSET('(2)出場選手'!$B$2,$A369,N$1+3*$B369))</f>
        <v/>
      </c>
      <c r="O369" s="26" t="str">
        <f ca="1">IF($D369="","",IF(OFFSET('(2)出場選手'!$B$2,$A369,O$1+3*$B369)="","",OFFSET('(2)出場選手'!$B$2,$A369,O$1+3*$B369)))</f>
        <v/>
      </c>
      <c r="P369" s="26" t="str">
        <f ca="1">IF($D369="","",IF(OFFSET('(2)出場選手'!$B$2,$A369,P$1+3*$B369)="","",OFFSET('(2)出場選手'!$B$2,$A369,P$1+3*$B369)))</f>
        <v/>
      </c>
      <c r="Q369" s="43" t="str">
        <f ca="1">IF(D369="","",VLOOKUP(N369,OFFSET(Competition_Events,0,1),11,FALSE)*IF($S369="リレー",IF(COUNTIF($T$3:$T369,$T369)&gt;1,0,1),1))</f>
        <v/>
      </c>
      <c r="R369" s="26" t="str">
        <f t="shared" ca="1" si="20"/>
        <v/>
      </c>
      <c r="S369" s="26" t="str">
        <f t="shared" ca="1" si="21"/>
        <v/>
      </c>
      <c r="T369" s="26" t="str">
        <f t="shared" ca="1" si="22"/>
        <v/>
      </c>
      <c r="U369" s="26" t="str">
        <f t="shared" ca="1" si="27"/>
        <v/>
      </c>
      <c r="W369" s="17" t="str">
        <f ca="1">IF($D369="","",OFFSET('(2)出場選手'!$B$2,$A369,W$1))</f>
        <v/>
      </c>
      <c r="X369" s="17" t="str">
        <f ca="1">IF($D369="","",OFFSET('(2)出場選手'!$B$2,$A369,X$1))</f>
        <v/>
      </c>
      <c r="Y369" s="17" t="str">
        <f ca="1">IF($D369="","",OFFSET('(2)出場選手'!$B$2,$A369,Y$1))</f>
        <v/>
      </c>
      <c r="Z369" s="17" t="str">
        <f ca="1">IF($D369="","",OFFSET('(2)出場選手'!$B$2,$A369,Z$1))</f>
        <v/>
      </c>
    </row>
    <row r="370" spans="1:26" x14ac:dyDescent="0.15">
      <c r="A370" s="17">
        <f>TRUNC((ROWS($D$3:D370)-2)/Max_Entry_Count)+1</f>
        <v>123</v>
      </c>
      <c r="B370" s="17" t="str">
        <f ca="1">IF($A370&gt;=ROWS(Entries)-2,"",IF(OFFSET('(2)出場選手'!$B$2,$A370,B$1+3*(MOD(ROWS($D$3:D370)-2,Max_Entry_Count)))="","",MOD(ROWS($D$3:D370)-2,Max_Entry_Count)))</f>
        <v/>
      </c>
      <c r="D370" s="26" t="str">
        <f ca="1">IF(OR($A370&gt;=ROWS(Entries)-2,$B370=""),"",'(1)鑑'!$E$6&amp;"-"&amp;OFFSET('(2)出場選手'!$B$2,$A370,D$1))</f>
        <v/>
      </c>
      <c r="E370" s="26" t="str">
        <f ca="1">IF($D370="","",OFFSET('(2)出場選手'!$B$2,$A370,E$1))</f>
        <v/>
      </c>
      <c r="F370" s="26" t="str">
        <f ca="1">IF($D370="","",IF(OFFSET('(2)出場選手'!$B$2,$A370,F$1)="","",OFFSET('(2)出場選手'!$B$2,$A370,F$1)))</f>
        <v/>
      </c>
      <c r="G370" s="26" t="str">
        <f t="shared" ca="1" si="18"/>
        <v/>
      </c>
      <c r="H370" s="26" t="str">
        <f t="shared" ca="1" si="28"/>
        <v/>
      </c>
      <c r="I370" s="26" t="str">
        <f ca="1">IF($D370="","",IF(OFFSET('(2)出場選手'!$B$2,$A370,I$1)="","",OFFSET('(2)出場選手'!$B$2,$A370,I$1)))</f>
        <v/>
      </c>
      <c r="J370" s="26" t="str">
        <f ca="1">IF($D370="","",IF(OFFSET('(2)出場選手'!$B$2,$A370,J$1)="",'(1)鑑'!$E$6,OFFSET('(2)出場選手'!$B$2,$A370,J$1)))</f>
        <v/>
      </c>
      <c r="K370" s="26" t="str">
        <f ca="1">IF($D370="","",TRIM(ASC(IF(OFFSET('(2)出場選手'!$B$2,$A370,K$1)="",'(1)鑑'!$E$7,OFFSET('(2)出場選手'!$B$2,$A370,K$1)))))</f>
        <v/>
      </c>
      <c r="L370" s="26" t="str">
        <f ca="1">IF($D370="","",SUBSTITUTE(SUBSTITUTE(SUBSTITUTE(IF(OFFSET('(2)出場選手'!$B$2,$A370,L$1)="",'(1)鑑'!$E$8,OFFSET('(2)出場選手'!$B$2,$A370,L$1)),"県",""),"府",""),"東京都","東京"))</f>
        <v/>
      </c>
      <c r="M370" s="57" t="str">
        <f ca="1">IF($D370="","",IF(OFFSET('(2)出場選手'!$B$2,$A370,M$1)="","",OFFSET('(2)出場選手'!$B$2,$A370,M$1)))</f>
        <v/>
      </c>
      <c r="N370" s="26" t="str">
        <f ca="1">IF($D370="","",OFFSET('(2)出場選手'!$B$2,$A370,N$1+3*$B370))</f>
        <v/>
      </c>
      <c r="O370" s="26" t="str">
        <f ca="1">IF($D370="","",IF(OFFSET('(2)出場選手'!$B$2,$A370,O$1+3*$B370)="","",OFFSET('(2)出場選手'!$B$2,$A370,O$1+3*$B370)))</f>
        <v/>
      </c>
      <c r="P370" s="26" t="str">
        <f ca="1">IF($D370="","",IF(OFFSET('(2)出場選手'!$B$2,$A370,P$1+3*$B370)="","",OFFSET('(2)出場選手'!$B$2,$A370,P$1+3*$B370)))</f>
        <v/>
      </c>
      <c r="Q370" s="43" t="str">
        <f ca="1">IF(D370="","",VLOOKUP(N370,OFFSET(Competition_Events,0,1),11,FALSE)*IF($S370="リレー",IF(COUNTIF($T$3:$T370,$T370)&gt;1,0,1),1))</f>
        <v/>
      </c>
      <c r="R370" s="26" t="str">
        <f t="shared" ca="1" si="20"/>
        <v/>
      </c>
      <c r="S370" s="26" t="str">
        <f t="shared" ca="1" si="21"/>
        <v/>
      </c>
      <c r="T370" s="26" t="str">
        <f t="shared" ca="1" si="22"/>
        <v/>
      </c>
      <c r="U370" s="26" t="str">
        <f t="shared" ca="1" si="27"/>
        <v/>
      </c>
      <c r="W370" s="17" t="str">
        <f ca="1">IF($D370="","",OFFSET('(2)出場選手'!$B$2,$A370,W$1))</f>
        <v/>
      </c>
      <c r="X370" s="17" t="str">
        <f ca="1">IF($D370="","",OFFSET('(2)出場選手'!$B$2,$A370,X$1))</f>
        <v/>
      </c>
      <c r="Y370" s="17" t="str">
        <f ca="1">IF($D370="","",OFFSET('(2)出場選手'!$B$2,$A370,Y$1))</f>
        <v/>
      </c>
      <c r="Z370" s="17" t="str">
        <f ca="1">IF($D370="","",OFFSET('(2)出場選手'!$B$2,$A370,Z$1))</f>
        <v/>
      </c>
    </row>
    <row r="371" spans="1:26" x14ac:dyDescent="0.15">
      <c r="A371" s="17">
        <f>TRUNC((ROWS($D$3:D371)-2)/Max_Entry_Count)+1</f>
        <v>123</v>
      </c>
      <c r="B371" s="17" t="str">
        <f ca="1">IF($A371&gt;=ROWS(Entries)-2,"",IF(OFFSET('(2)出場選手'!$B$2,$A371,B$1+3*(MOD(ROWS($D$3:D371)-2,Max_Entry_Count)))="","",MOD(ROWS($D$3:D371)-2,Max_Entry_Count)))</f>
        <v/>
      </c>
      <c r="D371" s="26" t="str">
        <f ca="1">IF(OR($A371&gt;=ROWS(Entries)-2,$B371=""),"",'(1)鑑'!$E$6&amp;"-"&amp;OFFSET('(2)出場選手'!$B$2,$A371,D$1))</f>
        <v/>
      </c>
      <c r="E371" s="26" t="str">
        <f ca="1">IF($D371="","",OFFSET('(2)出場選手'!$B$2,$A371,E$1))</f>
        <v/>
      </c>
      <c r="F371" s="26" t="str">
        <f ca="1">IF($D371="","",IF(OFFSET('(2)出場選手'!$B$2,$A371,F$1)="","",OFFSET('(2)出場選手'!$B$2,$A371,F$1)))</f>
        <v/>
      </c>
      <c r="G371" s="26" t="str">
        <f t="shared" ca="1" si="18"/>
        <v/>
      </c>
      <c r="H371" s="26" t="str">
        <f t="shared" ca="1" si="28"/>
        <v/>
      </c>
      <c r="I371" s="26" t="str">
        <f ca="1">IF($D371="","",IF(OFFSET('(2)出場選手'!$B$2,$A371,I$1)="","",OFFSET('(2)出場選手'!$B$2,$A371,I$1)))</f>
        <v/>
      </c>
      <c r="J371" s="26" t="str">
        <f ca="1">IF($D371="","",IF(OFFSET('(2)出場選手'!$B$2,$A371,J$1)="",'(1)鑑'!$E$6,OFFSET('(2)出場選手'!$B$2,$A371,J$1)))</f>
        <v/>
      </c>
      <c r="K371" s="26" t="str">
        <f ca="1">IF($D371="","",TRIM(ASC(IF(OFFSET('(2)出場選手'!$B$2,$A371,K$1)="",'(1)鑑'!$E$7,OFFSET('(2)出場選手'!$B$2,$A371,K$1)))))</f>
        <v/>
      </c>
      <c r="L371" s="26" t="str">
        <f ca="1">IF($D371="","",SUBSTITUTE(SUBSTITUTE(SUBSTITUTE(IF(OFFSET('(2)出場選手'!$B$2,$A371,L$1)="",'(1)鑑'!$E$8,OFFSET('(2)出場選手'!$B$2,$A371,L$1)),"県",""),"府",""),"東京都","東京"))</f>
        <v/>
      </c>
      <c r="M371" s="57" t="str">
        <f ca="1">IF($D371="","",IF(OFFSET('(2)出場選手'!$B$2,$A371,M$1)="","",OFFSET('(2)出場選手'!$B$2,$A371,M$1)))</f>
        <v/>
      </c>
      <c r="N371" s="26" t="str">
        <f ca="1">IF($D371="","",OFFSET('(2)出場選手'!$B$2,$A371,N$1+3*$B371))</f>
        <v/>
      </c>
      <c r="O371" s="26" t="str">
        <f ca="1">IF($D371="","",IF(OFFSET('(2)出場選手'!$B$2,$A371,O$1+3*$B371)="","",OFFSET('(2)出場選手'!$B$2,$A371,O$1+3*$B371)))</f>
        <v/>
      </c>
      <c r="P371" s="26" t="str">
        <f ca="1">IF($D371="","",IF(OFFSET('(2)出場選手'!$B$2,$A371,P$1+3*$B371)="","",OFFSET('(2)出場選手'!$B$2,$A371,P$1+3*$B371)))</f>
        <v/>
      </c>
      <c r="Q371" s="43" t="str">
        <f ca="1">IF(D371="","",VLOOKUP(N371,OFFSET(Competition_Events,0,1),11,FALSE)*IF($S371="リレー",IF(COUNTIF($T$3:$T371,$T371)&gt;1,0,1),1))</f>
        <v/>
      </c>
      <c r="R371" s="26" t="str">
        <f t="shared" ca="1" si="20"/>
        <v/>
      </c>
      <c r="S371" s="26" t="str">
        <f t="shared" ca="1" si="21"/>
        <v/>
      </c>
      <c r="T371" s="26" t="str">
        <f t="shared" ca="1" si="22"/>
        <v/>
      </c>
      <c r="U371" s="26" t="str">
        <f t="shared" ca="1" si="27"/>
        <v/>
      </c>
      <c r="W371" s="17" t="str">
        <f ca="1">IF($D371="","",OFFSET('(2)出場選手'!$B$2,$A371,W$1))</f>
        <v/>
      </c>
      <c r="X371" s="17" t="str">
        <f ca="1">IF($D371="","",OFFSET('(2)出場選手'!$B$2,$A371,X$1))</f>
        <v/>
      </c>
      <c r="Y371" s="17" t="str">
        <f ca="1">IF($D371="","",OFFSET('(2)出場選手'!$B$2,$A371,Y$1))</f>
        <v/>
      </c>
      <c r="Z371" s="17" t="str">
        <f ca="1">IF($D371="","",OFFSET('(2)出場選手'!$B$2,$A371,Z$1))</f>
        <v/>
      </c>
    </row>
    <row r="372" spans="1:26" x14ac:dyDescent="0.15">
      <c r="A372" s="17">
        <f>TRUNC((ROWS($D$3:D372)-2)/Max_Entry_Count)+1</f>
        <v>123</v>
      </c>
      <c r="B372" s="17" t="str">
        <f ca="1">IF($A372&gt;=ROWS(Entries)-2,"",IF(OFFSET('(2)出場選手'!$B$2,$A372,B$1+3*(MOD(ROWS($D$3:D372)-2,Max_Entry_Count)))="","",MOD(ROWS($D$3:D372)-2,Max_Entry_Count)))</f>
        <v/>
      </c>
      <c r="D372" s="26" t="str">
        <f ca="1">IF(OR($A372&gt;=ROWS(Entries)-2,$B372=""),"",'(1)鑑'!$E$6&amp;"-"&amp;OFFSET('(2)出場選手'!$B$2,$A372,D$1))</f>
        <v/>
      </c>
      <c r="E372" s="26" t="str">
        <f ca="1">IF($D372="","",OFFSET('(2)出場選手'!$B$2,$A372,E$1))</f>
        <v/>
      </c>
      <c r="F372" s="26" t="str">
        <f ca="1">IF($D372="","",IF(OFFSET('(2)出場選手'!$B$2,$A372,F$1)="","",OFFSET('(2)出場選手'!$B$2,$A372,F$1)))</f>
        <v/>
      </c>
      <c r="G372" s="26" t="str">
        <f t="shared" ca="1" si="18"/>
        <v/>
      </c>
      <c r="H372" s="26" t="str">
        <f t="shared" ca="1" si="28"/>
        <v/>
      </c>
      <c r="I372" s="26" t="str">
        <f ca="1">IF($D372="","",IF(OFFSET('(2)出場選手'!$B$2,$A372,I$1)="","",OFFSET('(2)出場選手'!$B$2,$A372,I$1)))</f>
        <v/>
      </c>
      <c r="J372" s="26" t="str">
        <f ca="1">IF($D372="","",IF(OFFSET('(2)出場選手'!$B$2,$A372,J$1)="",'(1)鑑'!$E$6,OFFSET('(2)出場選手'!$B$2,$A372,J$1)))</f>
        <v/>
      </c>
      <c r="K372" s="26" t="str">
        <f ca="1">IF($D372="","",TRIM(ASC(IF(OFFSET('(2)出場選手'!$B$2,$A372,K$1)="",'(1)鑑'!$E$7,OFFSET('(2)出場選手'!$B$2,$A372,K$1)))))</f>
        <v/>
      </c>
      <c r="L372" s="26" t="str">
        <f ca="1">IF($D372="","",SUBSTITUTE(SUBSTITUTE(SUBSTITUTE(IF(OFFSET('(2)出場選手'!$B$2,$A372,L$1)="",'(1)鑑'!$E$8,OFFSET('(2)出場選手'!$B$2,$A372,L$1)),"県",""),"府",""),"東京都","東京"))</f>
        <v/>
      </c>
      <c r="M372" s="57" t="str">
        <f ca="1">IF($D372="","",IF(OFFSET('(2)出場選手'!$B$2,$A372,M$1)="","",OFFSET('(2)出場選手'!$B$2,$A372,M$1)))</f>
        <v/>
      </c>
      <c r="N372" s="26" t="str">
        <f ca="1">IF($D372="","",OFFSET('(2)出場選手'!$B$2,$A372,N$1+3*$B372))</f>
        <v/>
      </c>
      <c r="O372" s="26" t="str">
        <f ca="1">IF($D372="","",IF(OFFSET('(2)出場選手'!$B$2,$A372,O$1+3*$B372)="","",OFFSET('(2)出場選手'!$B$2,$A372,O$1+3*$B372)))</f>
        <v/>
      </c>
      <c r="P372" s="26" t="str">
        <f ca="1">IF($D372="","",IF(OFFSET('(2)出場選手'!$B$2,$A372,P$1+3*$B372)="","",OFFSET('(2)出場選手'!$B$2,$A372,P$1+3*$B372)))</f>
        <v/>
      </c>
      <c r="Q372" s="43" t="str">
        <f ca="1">IF(D372="","",VLOOKUP(N372,OFFSET(Competition_Events,0,1),11,FALSE)*IF($S372="リレー",IF(COUNTIF($T$3:$T372,$T372)&gt;1,0,1),1))</f>
        <v/>
      </c>
      <c r="R372" s="26" t="str">
        <f t="shared" ca="1" si="20"/>
        <v/>
      </c>
      <c r="S372" s="26" t="str">
        <f t="shared" ca="1" si="21"/>
        <v/>
      </c>
      <c r="T372" s="26" t="str">
        <f t="shared" ca="1" si="22"/>
        <v/>
      </c>
      <c r="U372" s="26" t="str">
        <f t="shared" ca="1" si="27"/>
        <v/>
      </c>
      <c r="W372" s="17" t="str">
        <f ca="1">IF($D372="","",OFFSET('(2)出場選手'!$B$2,$A372,W$1))</f>
        <v/>
      </c>
      <c r="X372" s="17" t="str">
        <f ca="1">IF($D372="","",OFFSET('(2)出場選手'!$B$2,$A372,X$1))</f>
        <v/>
      </c>
      <c r="Y372" s="17" t="str">
        <f ca="1">IF($D372="","",OFFSET('(2)出場選手'!$B$2,$A372,Y$1))</f>
        <v/>
      </c>
      <c r="Z372" s="17" t="str">
        <f ca="1">IF($D372="","",OFFSET('(2)出場選手'!$B$2,$A372,Z$1))</f>
        <v/>
      </c>
    </row>
    <row r="373" spans="1:26" x14ac:dyDescent="0.15">
      <c r="A373" s="17">
        <f>TRUNC((ROWS($D$3:D373)-2)/Max_Entry_Count)+1</f>
        <v>124</v>
      </c>
      <c r="B373" s="17" t="str">
        <f ca="1">IF($A373&gt;=ROWS(Entries)-2,"",IF(OFFSET('(2)出場選手'!$B$2,$A373,B$1+3*(MOD(ROWS($D$3:D373)-2,Max_Entry_Count)))="","",MOD(ROWS($D$3:D373)-2,Max_Entry_Count)))</f>
        <v/>
      </c>
      <c r="D373" s="26" t="str">
        <f ca="1">IF(OR($A373&gt;=ROWS(Entries)-2,$B373=""),"",'(1)鑑'!$E$6&amp;"-"&amp;OFFSET('(2)出場選手'!$B$2,$A373,D$1))</f>
        <v/>
      </c>
      <c r="E373" s="26" t="str">
        <f ca="1">IF($D373="","",OFFSET('(2)出場選手'!$B$2,$A373,E$1))</f>
        <v/>
      </c>
      <c r="F373" s="26" t="str">
        <f ca="1">IF($D373="","",IF(OFFSET('(2)出場選手'!$B$2,$A373,F$1)="","",OFFSET('(2)出場選手'!$B$2,$A373,F$1)))</f>
        <v/>
      </c>
      <c r="G373" s="26" t="str">
        <f t="shared" ca="1" si="18"/>
        <v/>
      </c>
      <c r="H373" s="26" t="str">
        <f t="shared" ca="1" si="28"/>
        <v/>
      </c>
      <c r="I373" s="26" t="str">
        <f ca="1">IF($D373="","",IF(OFFSET('(2)出場選手'!$B$2,$A373,I$1)="","",OFFSET('(2)出場選手'!$B$2,$A373,I$1)))</f>
        <v/>
      </c>
      <c r="J373" s="26" t="str">
        <f ca="1">IF($D373="","",IF(OFFSET('(2)出場選手'!$B$2,$A373,J$1)="",'(1)鑑'!$E$6,OFFSET('(2)出場選手'!$B$2,$A373,J$1)))</f>
        <v/>
      </c>
      <c r="K373" s="26" t="str">
        <f ca="1">IF($D373="","",TRIM(ASC(IF(OFFSET('(2)出場選手'!$B$2,$A373,K$1)="",'(1)鑑'!$E$7,OFFSET('(2)出場選手'!$B$2,$A373,K$1)))))</f>
        <v/>
      </c>
      <c r="L373" s="26" t="str">
        <f ca="1">IF($D373="","",SUBSTITUTE(SUBSTITUTE(SUBSTITUTE(IF(OFFSET('(2)出場選手'!$B$2,$A373,L$1)="",'(1)鑑'!$E$8,OFFSET('(2)出場選手'!$B$2,$A373,L$1)),"県",""),"府",""),"東京都","東京"))</f>
        <v/>
      </c>
      <c r="M373" s="57" t="str">
        <f ca="1">IF($D373="","",IF(OFFSET('(2)出場選手'!$B$2,$A373,M$1)="","",OFFSET('(2)出場選手'!$B$2,$A373,M$1)))</f>
        <v/>
      </c>
      <c r="N373" s="26" t="str">
        <f ca="1">IF($D373="","",OFFSET('(2)出場選手'!$B$2,$A373,N$1+3*$B373))</f>
        <v/>
      </c>
      <c r="O373" s="26" t="str">
        <f ca="1">IF($D373="","",IF(OFFSET('(2)出場選手'!$B$2,$A373,O$1+3*$B373)="","",OFFSET('(2)出場選手'!$B$2,$A373,O$1+3*$B373)))</f>
        <v/>
      </c>
      <c r="P373" s="26" t="str">
        <f ca="1">IF($D373="","",IF(OFFSET('(2)出場選手'!$B$2,$A373,P$1+3*$B373)="","",OFFSET('(2)出場選手'!$B$2,$A373,P$1+3*$B373)))</f>
        <v/>
      </c>
      <c r="Q373" s="43" t="str">
        <f ca="1">IF(D373="","",VLOOKUP(N373,OFFSET(Competition_Events,0,1),11,FALSE)*IF($S373="リレー",IF(COUNTIF($T$3:$T373,$T373)&gt;1,0,1),1))</f>
        <v/>
      </c>
      <c r="R373" s="26" t="str">
        <f t="shared" ca="1" si="20"/>
        <v/>
      </c>
      <c r="S373" s="26" t="str">
        <f t="shared" ca="1" si="21"/>
        <v/>
      </c>
      <c r="T373" s="26" t="str">
        <f t="shared" ca="1" si="22"/>
        <v/>
      </c>
      <c r="U373" s="26" t="str">
        <f t="shared" ca="1" si="27"/>
        <v/>
      </c>
      <c r="W373" s="17" t="str">
        <f ca="1">IF($D373="","",OFFSET('(2)出場選手'!$B$2,$A373,W$1))</f>
        <v/>
      </c>
      <c r="X373" s="17" t="str">
        <f ca="1">IF($D373="","",OFFSET('(2)出場選手'!$B$2,$A373,X$1))</f>
        <v/>
      </c>
      <c r="Y373" s="17" t="str">
        <f ca="1">IF($D373="","",OFFSET('(2)出場選手'!$B$2,$A373,Y$1))</f>
        <v/>
      </c>
      <c r="Z373" s="17" t="str">
        <f ca="1">IF($D373="","",OFFSET('(2)出場選手'!$B$2,$A373,Z$1))</f>
        <v/>
      </c>
    </row>
    <row r="374" spans="1:26" x14ac:dyDescent="0.15">
      <c r="A374" s="17">
        <f>TRUNC((ROWS($D$3:D374)-2)/Max_Entry_Count)+1</f>
        <v>124</v>
      </c>
      <c r="B374" s="17" t="str">
        <f ca="1">IF($A374&gt;=ROWS(Entries)-2,"",IF(OFFSET('(2)出場選手'!$B$2,$A374,B$1+3*(MOD(ROWS($D$3:D374)-2,Max_Entry_Count)))="","",MOD(ROWS($D$3:D374)-2,Max_Entry_Count)))</f>
        <v/>
      </c>
      <c r="D374" s="26" t="str">
        <f ca="1">IF(OR($A374&gt;=ROWS(Entries)-2,$B374=""),"",'(1)鑑'!$E$6&amp;"-"&amp;OFFSET('(2)出場選手'!$B$2,$A374,D$1))</f>
        <v/>
      </c>
      <c r="E374" s="26" t="str">
        <f ca="1">IF($D374="","",OFFSET('(2)出場選手'!$B$2,$A374,E$1))</f>
        <v/>
      </c>
      <c r="F374" s="26" t="str">
        <f ca="1">IF($D374="","",IF(OFFSET('(2)出場選手'!$B$2,$A374,F$1)="","",OFFSET('(2)出場選手'!$B$2,$A374,F$1)))</f>
        <v/>
      </c>
      <c r="G374" s="26" t="str">
        <f t="shared" ca="1" si="18"/>
        <v/>
      </c>
      <c r="H374" s="26" t="str">
        <f t="shared" ca="1" si="28"/>
        <v/>
      </c>
      <c r="I374" s="26" t="str">
        <f ca="1">IF($D374="","",IF(OFFSET('(2)出場選手'!$B$2,$A374,I$1)="","",OFFSET('(2)出場選手'!$B$2,$A374,I$1)))</f>
        <v/>
      </c>
      <c r="J374" s="26" t="str">
        <f ca="1">IF($D374="","",IF(OFFSET('(2)出場選手'!$B$2,$A374,J$1)="",'(1)鑑'!$E$6,OFFSET('(2)出場選手'!$B$2,$A374,J$1)))</f>
        <v/>
      </c>
      <c r="K374" s="26" t="str">
        <f ca="1">IF($D374="","",TRIM(ASC(IF(OFFSET('(2)出場選手'!$B$2,$A374,K$1)="",'(1)鑑'!$E$7,OFFSET('(2)出場選手'!$B$2,$A374,K$1)))))</f>
        <v/>
      </c>
      <c r="L374" s="26" t="str">
        <f ca="1">IF($D374="","",SUBSTITUTE(SUBSTITUTE(SUBSTITUTE(IF(OFFSET('(2)出場選手'!$B$2,$A374,L$1)="",'(1)鑑'!$E$8,OFFSET('(2)出場選手'!$B$2,$A374,L$1)),"県",""),"府",""),"東京都","東京"))</f>
        <v/>
      </c>
      <c r="M374" s="57" t="str">
        <f ca="1">IF($D374="","",IF(OFFSET('(2)出場選手'!$B$2,$A374,M$1)="","",OFFSET('(2)出場選手'!$B$2,$A374,M$1)))</f>
        <v/>
      </c>
      <c r="N374" s="26" t="str">
        <f ca="1">IF($D374="","",OFFSET('(2)出場選手'!$B$2,$A374,N$1+3*$B374))</f>
        <v/>
      </c>
      <c r="O374" s="26" t="str">
        <f ca="1">IF($D374="","",IF(OFFSET('(2)出場選手'!$B$2,$A374,O$1+3*$B374)="","",OFFSET('(2)出場選手'!$B$2,$A374,O$1+3*$B374)))</f>
        <v/>
      </c>
      <c r="P374" s="26" t="str">
        <f ca="1">IF($D374="","",IF(OFFSET('(2)出場選手'!$B$2,$A374,P$1+3*$B374)="","",OFFSET('(2)出場選手'!$B$2,$A374,P$1+3*$B374)))</f>
        <v/>
      </c>
      <c r="Q374" s="43" t="str">
        <f ca="1">IF(D374="","",VLOOKUP(N374,OFFSET(Competition_Events,0,1),11,FALSE)*IF($S374="リレー",IF(COUNTIF($T$3:$T374,$T374)&gt;1,0,1),1))</f>
        <v/>
      </c>
      <c r="R374" s="26" t="str">
        <f t="shared" ca="1" si="20"/>
        <v/>
      </c>
      <c r="S374" s="26" t="str">
        <f t="shared" ca="1" si="21"/>
        <v/>
      </c>
      <c r="T374" s="26" t="str">
        <f t="shared" ca="1" si="22"/>
        <v/>
      </c>
      <c r="U374" s="26" t="str">
        <f t="shared" ca="1" si="27"/>
        <v/>
      </c>
      <c r="W374" s="17" t="str">
        <f ca="1">IF($D374="","",OFFSET('(2)出場選手'!$B$2,$A374,W$1))</f>
        <v/>
      </c>
      <c r="X374" s="17" t="str">
        <f ca="1">IF($D374="","",OFFSET('(2)出場選手'!$B$2,$A374,X$1))</f>
        <v/>
      </c>
      <c r="Y374" s="17" t="str">
        <f ca="1">IF($D374="","",OFFSET('(2)出場選手'!$B$2,$A374,Y$1))</f>
        <v/>
      </c>
      <c r="Z374" s="17" t="str">
        <f ca="1">IF($D374="","",OFFSET('(2)出場選手'!$B$2,$A374,Z$1))</f>
        <v/>
      </c>
    </row>
    <row r="375" spans="1:26" x14ac:dyDescent="0.15">
      <c r="A375" s="17">
        <f>TRUNC((ROWS($D$3:D375)-2)/Max_Entry_Count)+1</f>
        <v>124</v>
      </c>
      <c r="B375" s="17" t="str">
        <f ca="1">IF($A375&gt;=ROWS(Entries)-2,"",IF(OFFSET('(2)出場選手'!$B$2,$A375,B$1+3*(MOD(ROWS($D$3:D375)-2,Max_Entry_Count)))="","",MOD(ROWS($D$3:D375)-2,Max_Entry_Count)))</f>
        <v/>
      </c>
      <c r="D375" s="26" t="str">
        <f ca="1">IF(OR($A375&gt;=ROWS(Entries)-2,$B375=""),"",'(1)鑑'!$E$6&amp;"-"&amp;OFFSET('(2)出場選手'!$B$2,$A375,D$1))</f>
        <v/>
      </c>
      <c r="E375" s="26" t="str">
        <f ca="1">IF($D375="","",OFFSET('(2)出場選手'!$B$2,$A375,E$1))</f>
        <v/>
      </c>
      <c r="F375" s="26" t="str">
        <f ca="1">IF($D375="","",IF(OFFSET('(2)出場選手'!$B$2,$A375,F$1)="","",OFFSET('(2)出場選手'!$B$2,$A375,F$1)))</f>
        <v/>
      </c>
      <c r="G375" s="26" t="str">
        <f t="shared" ca="1" si="18"/>
        <v/>
      </c>
      <c r="H375" s="26" t="str">
        <f t="shared" ca="1" si="28"/>
        <v/>
      </c>
      <c r="I375" s="26" t="str">
        <f ca="1">IF($D375="","",IF(OFFSET('(2)出場選手'!$B$2,$A375,I$1)="","",OFFSET('(2)出場選手'!$B$2,$A375,I$1)))</f>
        <v/>
      </c>
      <c r="J375" s="26" t="str">
        <f ca="1">IF($D375="","",IF(OFFSET('(2)出場選手'!$B$2,$A375,J$1)="",'(1)鑑'!$E$6,OFFSET('(2)出場選手'!$B$2,$A375,J$1)))</f>
        <v/>
      </c>
      <c r="K375" s="26" t="str">
        <f ca="1">IF($D375="","",TRIM(ASC(IF(OFFSET('(2)出場選手'!$B$2,$A375,K$1)="",'(1)鑑'!$E$7,OFFSET('(2)出場選手'!$B$2,$A375,K$1)))))</f>
        <v/>
      </c>
      <c r="L375" s="26" t="str">
        <f ca="1">IF($D375="","",SUBSTITUTE(SUBSTITUTE(SUBSTITUTE(IF(OFFSET('(2)出場選手'!$B$2,$A375,L$1)="",'(1)鑑'!$E$8,OFFSET('(2)出場選手'!$B$2,$A375,L$1)),"県",""),"府",""),"東京都","東京"))</f>
        <v/>
      </c>
      <c r="M375" s="57" t="str">
        <f ca="1">IF($D375="","",IF(OFFSET('(2)出場選手'!$B$2,$A375,M$1)="","",OFFSET('(2)出場選手'!$B$2,$A375,M$1)))</f>
        <v/>
      </c>
      <c r="N375" s="26" t="str">
        <f ca="1">IF($D375="","",OFFSET('(2)出場選手'!$B$2,$A375,N$1+3*$B375))</f>
        <v/>
      </c>
      <c r="O375" s="26" t="str">
        <f ca="1">IF($D375="","",IF(OFFSET('(2)出場選手'!$B$2,$A375,O$1+3*$B375)="","",OFFSET('(2)出場選手'!$B$2,$A375,O$1+3*$B375)))</f>
        <v/>
      </c>
      <c r="P375" s="26" t="str">
        <f ca="1">IF($D375="","",IF(OFFSET('(2)出場選手'!$B$2,$A375,P$1+3*$B375)="","",OFFSET('(2)出場選手'!$B$2,$A375,P$1+3*$B375)))</f>
        <v/>
      </c>
      <c r="Q375" s="43" t="str">
        <f ca="1">IF(D375="","",VLOOKUP(N375,OFFSET(Competition_Events,0,1),11,FALSE)*IF($S375="リレー",IF(COUNTIF($T$3:$T375,$T375)&gt;1,0,1),1))</f>
        <v/>
      </c>
      <c r="R375" s="26" t="str">
        <f t="shared" ca="1" si="20"/>
        <v/>
      </c>
      <c r="S375" s="26" t="str">
        <f t="shared" ca="1" si="21"/>
        <v/>
      </c>
      <c r="T375" s="26" t="str">
        <f t="shared" ca="1" si="22"/>
        <v/>
      </c>
      <c r="U375" s="26" t="str">
        <f t="shared" ca="1" si="27"/>
        <v/>
      </c>
      <c r="W375" s="17" t="str">
        <f ca="1">IF($D375="","",OFFSET('(2)出場選手'!$B$2,$A375,W$1))</f>
        <v/>
      </c>
      <c r="X375" s="17" t="str">
        <f ca="1">IF($D375="","",OFFSET('(2)出場選手'!$B$2,$A375,X$1))</f>
        <v/>
      </c>
      <c r="Y375" s="17" t="str">
        <f ca="1">IF($D375="","",OFFSET('(2)出場選手'!$B$2,$A375,Y$1))</f>
        <v/>
      </c>
      <c r="Z375" s="17" t="str">
        <f ca="1">IF($D375="","",OFFSET('(2)出場選手'!$B$2,$A375,Z$1))</f>
        <v/>
      </c>
    </row>
    <row r="376" spans="1:26" x14ac:dyDescent="0.15">
      <c r="A376" s="17">
        <f>TRUNC((ROWS($D$3:D376)-2)/Max_Entry_Count)+1</f>
        <v>125</v>
      </c>
      <c r="B376" s="17" t="str">
        <f ca="1">IF($A376&gt;=ROWS(Entries)-2,"",IF(OFFSET('(2)出場選手'!$B$2,$A376,B$1+3*(MOD(ROWS($D$3:D376)-2,Max_Entry_Count)))="","",MOD(ROWS($D$3:D376)-2,Max_Entry_Count)))</f>
        <v/>
      </c>
      <c r="D376" s="26" t="str">
        <f ca="1">IF(OR($A376&gt;=ROWS(Entries)-2,$B376=""),"",'(1)鑑'!$E$6&amp;"-"&amp;OFFSET('(2)出場選手'!$B$2,$A376,D$1))</f>
        <v/>
      </c>
      <c r="E376" s="26" t="str">
        <f ca="1">IF($D376="","",OFFSET('(2)出場選手'!$B$2,$A376,E$1))</f>
        <v/>
      </c>
      <c r="F376" s="26" t="str">
        <f ca="1">IF($D376="","",IF(OFFSET('(2)出場選手'!$B$2,$A376,F$1)="","",OFFSET('(2)出場選手'!$B$2,$A376,F$1)))</f>
        <v/>
      </c>
      <c r="G376" s="26" t="str">
        <f t="shared" ca="1" si="18"/>
        <v/>
      </c>
      <c r="H376" s="26" t="str">
        <f t="shared" ca="1" si="28"/>
        <v/>
      </c>
      <c r="I376" s="26" t="str">
        <f ca="1">IF($D376="","",IF(OFFSET('(2)出場選手'!$B$2,$A376,I$1)="","",OFFSET('(2)出場選手'!$B$2,$A376,I$1)))</f>
        <v/>
      </c>
      <c r="J376" s="26" t="str">
        <f ca="1">IF($D376="","",IF(OFFSET('(2)出場選手'!$B$2,$A376,J$1)="",'(1)鑑'!$E$6,OFFSET('(2)出場選手'!$B$2,$A376,J$1)))</f>
        <v/>
      </c>
      <c r="K376" s="26" t="str">
        <f ca="1">IF($D376="","",TRIM(ASC(IF(OFFSET('(2)出場選手'!$B$2,$A376,K$1)="",'(1)鑑'!$E$7,OFFSET('(2)出場選手'!$B$2,$A376,K$1)))))</f>
        <v/>
      </c>
      <c r="L376" s="26" t="str">
        <f ca="1">IF($D376="","",SUBSTITUTE(SUBSTITUTE(SUBSTITUTE(IF(OFFSET('(2)出場選手'!$B$2,$A376,L$1)="",'(1)鑑'!$E$8,OFFSET('(2)出場選手'!$B$2,$A376,L$1)),"県",""),"府",""),"東京都","東京"))</f>
        <v/>
      </c>
      <c r="M376" s="57" t="str">
        <f ca="1">IF($D376="","",IF(OFFSET('(2)出場選手'!$B$2,$A376,M$1)="","",OFFSET('(2)出場選手'!$B$2,$A376,M$1)))</f>
        <v/>
      </c>
      <c r="N376" s="26" t="str">
        <f ca="1">IF($D376="","",OFFSET('(2)出場選手'!$B$2,$A376,N$1+3*$B376))</f>
        <v/>
      </c>
      <c r="O376" s="26" t="str">
        <f ca="1">IF($D376="","",IF(OFFSET('(2)出場選手'!$B$2,$A376,O$1+3*$B376)="","",OFFSET('(2)出場選手'!$B$2,$A376,O$1+3*$B376)))</f>
        <v/>
      </c>
      <c r="P376" s="26" t="str">
        <f ca="1">IF($D376="","",IF(OFFSET('(2)出場選手'!$B$2,$A376,P$1+3*$B376)="","",OFFSET('(2)出場選手'!$B$2,$A376,P$1+3*$B376)))</f>
        <v/>
      </c>
      <c r="Q376" s="43" t="str">
        <f ca="1">IF(D376="","",VLOOKUP(N376,OFFSET(Competition_Events,0,1),11,FALSE)*IF($S376="リレー",IF(COUNTIF($T$3:$T376,$T376)&gt;1,0,1),1))</f>
        <v/>
      </c>
      <c r="R376" s="26" t="str">
        <f t="shared" ca="1" si="20"/>
        <v/>
      </c>
      <c r="S376" s="26" t="str">
        <f t="shared" ca="1" si="21"/>
        <v/>
      </c>
      <c r="T376" s="26" t="str">
        <f t="shared" ca="1" si="22"/>
        <v/>
      </c>
      <c r="U376" s="26" t="str">
        <f t="shared" ca="1" si="27"/>
        <v/>
      </c>
      <c r="W376" s="17" t="str">
        <f ca="1">IF($D376="","",OFFSET('(2)出場選手'!$B$2,$A376,W$1))</f>
        <v/>
      </c>
      <c r="X376" s="17" t="str">
        <f ca="1">IF($D376="","",OFFSET('(2)出場選手'!$B$2,$A376,X$1))</f>
        <v/>
      </c>
      <c r="Y376" s="17" t="str">
        <f ca="1">IF($D376="","",OFFSET('(2)出場選手'!$B$2,$A376,Y$1))</f>
        <v/>
      </c>
      <c r="Z376" s="17" t="str">
        <f ca="1">IF($D376="","",OFFSET('(2)出場選手'!$B$2,$A376,Z$1))</f>
        <v/>
      </c>
    </row>
    <row r="377" spans="1:26" x14ac:dyDescent="0.15">
      <c r="A377" s="17">
        <f>TRUNC((ROWS($D$3:D377)-2)/Max_Entry_Count)+1</f>
        <v>125</v>
      </c>
      <c r="B377" s="17" t="str">
        <f ca="1">IF($A377&gt;=ROWS(Entries)-2,"",IF(OFFSET('(2)出場選手'!$B$2,$A377,B$1+3*(MOD(ROWS($D$3:D377)-2,Max_Entry_Count)))="","",MOD(ROWS($D$3:D377)-2,Max_Entry_Count)))</f>
        <v/>
      </c>
      <c r="D377" s="26" t="str">
        <f ca="1">IF(OR($A377&gt;=ROWS(Entries)-2,$B377=""),"",'(1)鑑'!$E$6&amp;"-"&amp;OFFSET('(2)出場選手'!$B$2,$A377,D$1))</f>
        <v/>
      </c>
      <c r="E377" s="26" t="str">
        <f ca="1">IF($D377="","",OFFSET('(2)出場選手'!$B$2,$A377,E$1))</f>
        <v/>
      </c>
      <c r="F377" s="26" t="str">
        <f ca="1">IF($D377="","",IF(OFFSET('(2)出場選手'!$B$2,$A377,F$1)="","",OFFSET('(2)出場選手'!$B$2,$A377,F$1)))</f>
        <v/>
      </c>
      <c r="G377" s="26" t="str">
        <f t="shared" ca="1" si="18"/>
        <v/>
      </c>
      <c r="H377" s="26" t="str">
        <f t="shared" ca="1" si="28"/>
        <v/>
      </c>
      <c r="I377" s="26" t="str">
        <f ca="1">IF($D377="","",IF(OFFSET('(2)出場選手'!$B$2,$A377,I$1)="","",OFFSET('(2)出場選手'!$B$2,$A377,I$1)))</f>
        <v/>
      </c>
      <c r="J377" s="26" t="str">
        <f ca="1">IF($D377="","",IF(OFFSET('(2)出場選手'!$B$2,$A377,J$1)="",'(1)鑑'!$E$6,OFFSET('(2)出場選手'!$B$2,$A377,J$1)))</f>
        <v/>
      </c>
      <c r="K377" s="26" t="str">
        <f ca="1">IF($D377="","",TRIM(ASC(IF(OFFSET('(2)出場選手'!$B$2,$A377,K$1)="",'(1)鑑'!$E$7,OFFSET('(2)出場選手'!$B$2,$A377,K$1)))))</f>
        <v/>
      </c>
      <c r="L377" s="26" t="str">
        <f ca="1">IF($D377="","",SUBSTITUTE(SUBSTITUTE(SUBSTITUTE(IF(OFFSET('(2)出場選手'!$B$2,$A377,L$1)="",'(1)鑑'!$E$8,OFFSET('(2)出場選手'!$B$2,$A377,L$1)),"県",""),"府",""),"東京都","東京"))</f>
        <v/>
      </c>
      <c r="M377" s="57" t="str">
        <f ca="1">IF($D377="","",IF(OFFSET('(2)出場選手'!$B$2,$A377,M$1)="","",OFFSET('(2)出場選手'!$B$2,$A377,M$1)))</f>
        <v/>
      </c>
      <c r="N377" s="26" t="str">
        <f ca="1">IF($D377="","",OFFSET('(2)出場選手'!$B$2,$A377,N$1+3*$B377))</f>
        <v/>
      </c>
      <c r="O377" s="26" t="str">
        <f ca="1">IF($D377="","",IF(OFFSET('(2)出場選手'!$B$2,$A377,O$1+3*$B377)="","",OFFSET('(2)出場選手'!$B$2,$A377,O$1+3*$B377)))</f>
        <v/>
      </c>
      <c r="P377" s="26" t="str">
        <f ca="1">IF($D377="","",IF(OFFSET('(2)出場選手'!$B$2,$A377,P$1+3*$B377)="","",OFFSET('(2)出場選手'!$B$2,$A377,P$1+3*$B377)))</f>
        <v/>
      </c>
      <c r="Q377" s="43" t="str">
        <f ca="1">IF(D377="","",VLOOKUP(N377,OFFSET(Competition_Events,0,1),11,FALSE)*IF($S377="リレー",IF(COUNTIF($T$3:$T377,$T377)&gt;1,0,1),1))</f>
        <v/>
      </c>
      <c r="R377" s="26" t="str">
        <f t="shared" ca="1" si="20"/>
        <v/>
      </c>
      <c r="S377" s="26" t="str">
        <f t="shared" ca="1" si="21"/>
        <v/>
      </c>
      <c r="T377" s="26" t="str">
        <f t="shared" ca="1" si="22"/>
        <v/>
      </c>
      <c r="U377" s="26" t="str">
        <f t="shared" ca="1" si="27"/>
        <v/>
      </c>
      <c r="W377" s="17" t="str">
        <f ca="1">IF($D377="","",OFFSET('(2)出場選手'!$B$2,$A377,W$1))</f>
        <v/>
      </c>
      <c r="X377" s="17" t="str">
        <f ca="1">IF($D377="","",OFFSET('(2)出場選手'!$B$2,$A377,X$1))</f>
        <v/>
      </c>
      <c r="Y377" s="17" t="str">
        <f ca="1">IF($D377="","",OFFSET('(2)出場選手'!$B$2,$A377,Y$1))</f>
        <v/>
      </c>
      <c r="Z377" s="17" t="str">
        <f ca="1">IF($D377="","",OFFSET('(2)出場選手'!$B$2,$A377,Z$1))</f>
        <v/>
      </c>
    </row>
    <row r="378" spans="1:26" x14ac:dyDescent="0.15">
      <c r="A378" s="17">
        <f>TRUNC((ROWS($D$3:D378)-2)/Max_Entry_Count)+1</f>
        <v>125</v>
      </c>
      <c r="B378" s="17" t="str">
        <f ca="1">IF($A378&gt;=ROWS(Entries)-2,"",IF(OFFSET('(2)出場選手'!$B$2,$A378,B$1+3*(MOD(ROWS($D$3:D378)-2,Max_Entry_Count)))="","",MOD(ROWS($D$3:D378)-2,Max_Entry_Count)))</f>
        <v/>
      </c>
      <c r="D378" s="26" t="str">
        <f ca="1">IF(OR($A378&gt;=ROWS(Entries)-2,$B378=""),"",'(1)鑑'!$E$6&amp;"-"&amp;OFFSET('(2)出場選手'!$B$2,$A378,D$1))</f>
        <v/>
      </c>
      <c r="E378" s="26" t="str">
        <f ca="1">IF($D378="","",OFFSET('(2)出場選手'!$B$2,$A378,E$1))</f>
        <v/>
      </c>
      <c r="F378" s="26" t="str">
        <f ca="1">IF($D378="","",IF(OFFSET('(2)出場選手'!$B$2,$A378,F$1)="","",OFFSET('(2)出場選手'!$B$2,$A378,F$1)))</f>
        <v/>
      </c>
      <c r="G378" s="26" t="str">
        <f t="shared" ca="1" si="18"/>
        <v/>
      </c>
      <c r="H378" s="26" t="str">
        <f t="shared" ca="1" si="28"/>
        <v/>
      </c>
      <c r="I378" s="26" t="str">
        <f ca="1">IF($D378="","",IF(OFFSET('(2)出場選手'!$B$2,$A378,I$1)="","",OFFSET('(2)出場選手'!$B$2,$A378,I$1)))</f>
        <v/>
      </c>
      <c r="J378" s="26" t="str">
        <f ca="1">IF($D378="","",IF(OFFSET('(2)出場選手'!$B$2,$A378,J$1)="",'(1)鑑'!$E$6,OFFSET('(2)出場選手'!$B$2,$A378,J$1)))</f>
        <v/>
      </c>
      <c r="K378" s="26" t="str">
        <f ca="1">IF($D378="","",TRIM(ASC(IF(OFFSET('(2)出場選手'!$B$2,$A378,K$1)="",'(1)鑑'!$E$7,OFFSET('(2)出場選手'!$B$2,$A378,K$1)))))</f>
        <v/>
      </c>
      <c r="L378" s="26" t="str">
        <f ca="1">IF($D378="","",SUBSTITUTE(SUBSTITUTE(SUBSTITUTE(IF(OFFSET('(2)出場選手'!$B$2,$A378,L$1)="",'(1)鑑'!$E$8,OFFSET('(2)出場選手'!$B$2,$A378,L$1)),"県",""),"府",""),"東京都","東京"))</f>
        <v/>
      </c>
      <c r="M378" s="57" t="str">
        <f ca="1">IF($D378="","",IF(OFFSET('(2)出場選手'!$B$2,$A378,M$1)="","",OFFSET('(2)出場選手'!$B$2,$A378,M$1)))</f>
        <v/>
      </c>
      <c r="N378" s="26" t="str">
        <f ca="1">IF($D378="","",OFFSET('(2)出場選手'!$B$2,$A378,N$1+3*$B378))</f>
        <v/>
      </c>
      <c r="O378" s="26" t="str">
        <f ca="1">IF($D378="","",IF(OFFSET('(2)出場選手'!$B$2,$A378,O$1+3*$B378)="","",OFFSET('(2)出場選手'!$B$2,$A378,O$1+3*$B378)))</f>
        <v/>
      </c>
      <c r="P378" s="26" t="str">
        <f ca="1">IF($D378="","",IF(OFFSET('(2)出場選手'!$B$2,$A378,P$1+3*$B378)="","",OFFSET('(2)出場選手'!$B$2,$A378,P$1+3*$B378)))</f>
        <v/>
      </c>
      <c r="Q378" s="43" t="str">
        <f ca="1">IF(D378="","",VLOOKUP(N378,OFFSET(Competition_Events,0,1),11,FALSE)*IF($S378="リレー",IF(COUNTIF($T$3:$T378,$T378)&gt;1,0,1),1))</f>
        <v/>
      </c>
      <c r="R378" s="26" t="str">
        <f t="shared" ca="1" si="20"/>
        <v/>
      </c>
      <c r="S378" s="26" t="str">
        <f t="shared" ca="1" si="21"/>
        <v/>
      </c>
      <c r="T378" s="26" t="str">
        <f t="shared" ca="1" si="22"/>
        <v/>
      </c>
      <c r="U378" s="26" t="str">
        <f t="shared" ca="1" si="27"/>
        <v/>
      </c>
      <c r="W378" s="17" t="str">
        <f ca="1">IF($D378="","",OFFSET('(2)出場選手'!$B$2,$A378,W$1))</f>
        <v/>
      </c>
      <c r="X378" s="17" t="str">
        <f ca="1">IF($D378="","",OFFSET('(2)出場選手'!$B$2,$A378,X$1))</f>
        <v/>
      </c>
      <c r="Y378" s="17" t="str">
        <f ca="1">IF($D378="","",OFFSET('(2)出場選手'!$B$2,$A378,Y$1))</f>
        <v/>
      </c>
      <c r="Z378" s="17" t="str">
        <f ca="1">IF($D378="","",OFFSET('(2)出場選手'!$B$2,$A378,Z$1))</f>
        <v/>
      </c>
    </row>
    <row r="379" spans="1:26" x14ac:dyDescent="0.15">
      <c r="A379" s="17">
        <f>TRUNC((ROWS($D$3:D379)-2)/Max_Entry_Count)+1</f>
        <v>126</v>
      </c>
      <c r="B379" s="17" t="str">
        <f ca="1">IF($A379&gt;=ROWS(Entries)-2,"",IF(OFFSET('(2)出場選手'!$B$2,$A379,B$1+3*(MOD(ROWS($D$3:D379)-2,Max_Entry_Count)))="","",MOD(ROWS($D$3:D379)-2,Max_Entry_Count)))</f>
        <v/>
      </c>
      <c r="D379" s="26" t="str">
        <f ca="1">IF(OR($A379&gt;=ROWS(Entries)-2,$B379=""),"",'(1)鑑'!$E$6&amp;"-"&amp;OFFSET('(2)出場選手'!$B$2,$A379,D$1))</f>
        <v/>
      </c>
      <c r="E379" s="26" t="str">
        <f ca="1">IF($D379="","",OFFSET('(2)出場選手'!$B$2,$A379,E$1))</f>
        <v/>
      </c>
      <c r="F379" s="26" t="str">
        <f ca="1">IF($D379="","",IF(OFFSET('(2)出場選手'!$B$2,$A379,F$1)="","",OFFSET('(2)出場選手'!$B$2,$A379,F$1)))</f>
        <v/>
      </c>
      <c r="G379" s="26" t="str">
        <f t="shared" ca="1" si="18"/>
        <v/>
      </c>
      <c r="H379" s="26" t="str">
        <f t="shared" ca="1" si="28"/>
        <v/>
      </c>
      <c r="I379" s="26" t="str">
        <f ca="1">IF($D379="","",IF(OFFSET('(2)出場選手'!$B$2,$A379,I$1)="","",OFFSET('(2)出場選手'!$B$2,$A379,I$1)))</f>
        <v/>
      </c>
      <c r="J379" s="26" t="str">
        <f ca="1">IF($D379="","",IF(OFFSET('(2)出場選手'!$B$2,$A379,J$1)="",'(1)鑑'!$E$6,OFFSET('(2)出場選手'!$B$2,$A379,J$1)))</f>
        <v/>
      </c>
      <c r="K379" s="26" t="str">
        <f ca="1">IF($D379="","",TRIM(ASC(IF(OFFSET('(2)出場選手'!$B$2,$A379,K$1)="",'(1)鑑'!$E$7,OFFSET('(2)出場選手'!$B$2,$A379,K$1)))))</f>
        <v/>
      </c>
      <c r="L379" s="26" t="str">
        <f ca="1">IF($D379="","",SUBSTITUTE(SUBSTITUTE(SUBSTITUTE(IF(OFFSET('(2)出場選手'!$B$2,$A379,L$1)="",'(1)鑑'!$E$8,OFFSET('(2)出場選手'!$B$2,$A379,L$1)),"県",""),"府",""),"東京都","東京"))</f>
        <v/>
      </c>
      <c r="M379" s="57" t="str">
        <f ca="1">IF($D379="","",IF(OFFSET('(2)出場選手'!$B$2,$A379,M$1)="","",OFFSET('(2)出場選手'!$B$2,$A379,M$1)))</f>
        <v/>
      </c>
      <c r="N379" s="26" t="str">
        <f ca="1">IF($D379="","",OFFSET('(2)出場選手'!$B$2,$A379,N$1+3*$B379))</f>
        <v/>
      </c>
      <c r="O379" s="26" t="str">
        <f ca="1">IF($D379="","",IF(OFFSET('(2)出場選手'!$B$2,$A379,O$1+3*$B379)="","",OFFSET('(2)出場選手'!$B$2,$A379,O$1+3*$B379)))</f>
        <v/>
      </c>
      <c r="P379" s="26" t="str">
        <f ca="1">IF($D379="","",IF(OFFSET('(2)出場選手'!$B$2,$A379,P$1+3*$B379)="","",OFFSET('(2)出場選手'!$B$2,$A379,P$1+3*$B379)))</f>
        <v/>
      </c>
      <c r="Q379" s="43" t="str">
        <f ca="1">IF(D379="","",VLOOKUP(N379,OFFSET(Competition_Events,0,1),11,FALSE)*IF($S379="リレー",IF(COUNTIF($T$3:$T379,$T379)&gt;1,0,1),1))</f>
        <v/>
      </c>
      <c r="R379" s="26" t="str">
        <f t="shared" ca="1" si="20"/>
        <v/>
      </c>
      <c r="S379" s="26" t="str">
        <f t="shared" ca="1" si="21"/>
        <v/>
      </c>
      <c r="T379" s="26" t="str">
        <f t="shared" ca="1" si="22"/>
        <v/>
      </c>
      <c r="U379" s="26" t="str">
        <f t="shared" ca="1" si="27"/>
        <v/>
      </c>
      <c r="W379" s="17" t="str">
        <f ca="1">IF($D379="","",OFFSET('(2)出場選手'!$B$2,$A379,W$1))</f>
        <v/>
      </c>
      <c r="X379" s="17" t="str">
        <f ca="1">IF($D379="","",OFFSET('(2)出場選手'!$B$2,$A379,X$1))</f>
        <v/>
      </c>
      <c r="Y379" s="17" t="str">
        <f ca="1">IF($D379="","",OFFSET('(2)出場選手'!$B$2,$A379,Y$1))</f>
        <v/>
      </c>
      <c r="Z379" s="17" t="str">
        <f ca="1">IF($D379="","",OFFSET('(2)出場選手'!$B$2,$A379,Z$1))</f>
        <v/>
      </c>
    </row>
    <row r="380" spans="1:26" x14ac:dyDescent="0.15">
      <c r="A380" s="17">
        <f>TRUNC((ROWS($D$3:D380)-2)/Max_Entry_Count)+1</f>
        <v>126</v>
      </c>
      <c r="B380" s="17" t="str">
        <f ca="1">IF($A380&gt;=ROWS(Entries)-2,"",IF(OFFSET('(2)出場選手'!$B$2,$A380,B$1+3*(MOD(ROWS($D$3:D380)-2,Max_Entry_Count)))="","",MOD(ROWS($D$3:D380)-2,Max_Entry_Count)))</f>
        <v/>
      </c>
      <c r="D380" s="26" t="str">
        <f ca="1">IF(OR($A380&gt;=ROWS(Entries)-2,$B380=""),"",'(1)鑑'!$E$6&amp;"-"&amp;OFFSET('(2)出場選手'!$B$2,$A380,D$1))</f>
        <v/>
      </c>
      <c r="E380" s="26" t="str">
        <f ca="1">IF($D380="","",OFFSET('(2)出場選手'!$B$2,$A380,E$1))</f>
        <v/>
      </c>
      <c r="F380" s="26" t="str">
        <f ca="1">IF($D380="","",IF(OFFSET('(2)出場選手'!$B$2,$A380,F$1)="","",OFFSET('(2)出場選手'!$B$2,$A380,F$1)))</f>
        <v/>
      </c>
      <c r="G380" s="26" t="str">
        <f t="shared" ca="1" si="18"/>
        <v/>
      </c>
      <c r="H380" s="26" t="str">
        <f t="shared" ca="1" si="28"/>
        <v/>
      </c>
      <c r="I380" s="26" t="str">
        <f ca="1">IF($D380="","",IF(OFFSET('(2)出場選手'!$B$2,$A380,I$1)="","",OFFSET('(2)出場選手'!$B$2,$A380,I$1)))</f>
        <v/>
      </c>
      <c r="J380" s="26" t="str">
        <f ca="1">IF($D380="","",IF(OFFSET('(2)出場選手'!$B$2,$A380,J$1)="",'(1)鑑'!$E$6,OFFSET('(2)出場選手'!$B$2,$A380,J$1)))</f>
        <v/>
      </c>
      <c r="K380" s="26" t="str">
        <f ca="1">IF($D380="","",TRIM(ASC(IF(OFFSET('(2)出場選手'!$B$2,$A380,K$1)="",'(1)鑑'!$E$7,OFFSET('(2)出場選手'!$B$2,$A380,K$1)))))</f>
        <v/>
      </c>
      <c r="L380" s="26" t="str">
        <f ca="1">IF($D380="","",SUBSTITUTE(SUBSTITUTE(SUBSTITUTE(IF(OFFSET('(2)出場選手'!$B$2,$A380,L$1)="",'(1)鑑'!$E$8,OFFSET('(2)出場選手'!$B$2,$A380,L$1)),"県",""),"府",""),"東京都","東京"))</f>
        <v/>
      </c>
      <c r="M380" s="57" t="str">
        <f ca="1">IF($D380="","",IF(OFFSET('(2)出場選手'!$B$2,$A380,M$1)="","",OFFSET('(2)出場選手'!$B$2,$A380,M$1)))</f>
        <v/>
      </c>
      <c r="N380" s="26" t="str">
        <f ca="1">IF($D380="","",OFFSET('(2)出場選手'!$B$2,$A380,N$1+3*$B380))</f>
        <v/>
      </c>
      <c r="O380" s="26" t="str">
        <f ca="1">IF($D380="","",IF(OFFSET('(2)出場選手'!$B$2,$A380,O$1+3*$B380)="","",OFFSET('(2)出場選手'!$B$2,$A380,O$1+3*$B380)))</f>
        <v/>
      </c>
      <c r="P380" s="26" t="str">
        <f ca="1">IF($D380="","",IF(OFFSET('(2)出場選手'!$B$2,$A380,P$1+3*$B380)="","",OFFSET('(2)出場選手'!$B$2,$A380,P$1+3*$B380)))</f>
        <v/>
      </c>
      <c r="Q380" s="43" t="str">
        <f ca="1">IF(D380="","",VLOOKUP(N380,OFFSET(Competition_Events,0,1),11,FALSE)*IF($S380="リレー",IF(COUNTIF($T$3:$T380,$T380)&gt;1,0,1),1))</f>
        <v/>
      </c>
      <c r="R380" s="26" t="str">
        <f t="shared" ca="1" si="20"/>
        <v/>
      </c>
      <c r="S380" s="26" t="str">
        <f t="shared" ca="1" si="21"/>
        <v/>
      </c>
      <c r="T380" s="26" t="str">
        <f t="shared" ca="1" si="22"/>
        <v/>
      </c>
      <c r="U380" s="26" t="str">
        <f t="shared" ca="1" si="27"/>
        <v/>
      </c>
      <c r="W380" s="17" t="str">
        <f ca="1">IF($D380="","",OFFSET('(2)出場選手'!$B$2,$A380,W$1))</f>
        <v/>
      </c>
      <c r="X380" s="17" t="str">
        <f ca="1">IF($D380="","",OFFSET('(2)出場選手'!$B$2,$A380,X$1))</f>
        <v/>
      </c>
      <c r="Y380" s="17" t="str">
        <f ca="1">IF($D380="","",OFFSET('(2)出場選手'!$B$2,$A380,Y$1))</f>
        <v/>
      </c>
      <c r="Z380" s="17" t="str">
        <f ca="1">IF($D380="","",OFFSET('(2)出場選手'!$B$2,$A380,Z$1))</f>
        <v/>
      </c>
    </row>
    <row r="381" spans="1:26" x14ac:dyDescent="0.15">
      <c r="A381" s="17">
        <f>TRUNC((ROWS($D$3:D381)-2)/Max_Entry_Count)+1</f>
        <v>126</v>
      </c>
      <c r="B381" s="17" t="str">
        <f ca="1">IF($A381&gt;=ROWS(Entries)-2,"",IF(OFFSET('(2)出場選手'!$B$2,$A381,B$1+3*(MOD(ROWS($D$3:D381)-2,Max_Entry_Count)))="","",MOD(ROWS($D$3:D381)-2,Max_Entry_Count)))</f>
        <v/>
      </c>
      <c r="D381" s="26" t="str">
        <f ca="1">IF(OR($A381&gt;=ROWS(Entries)-2,$B381=""),"",'(1)鑑'!$E$6&amp;"-"&amp;OFFSET('(2)出場選手'!$B$2,$A381,D$1))</f>
        <v/>
      </c>
      <c r="E381" s="26" t="str">
        <f ca="1">IF($D381="","",OFFSET('(2)出場選手'!$B$2,$A381,E$1))</f>
        <v/>
      </c>
      <c r="F381" s="26" t="str">
        <f ca="1">IF($D381="","",IF(OFFSET('(2)出場選手'!$B$2,$A381,F$1)="","",OFFSET('(2)出場選手'!$B$2,$A381,F$1)))</f>
        <v/>
      </c>
      <c r="G381" s="26" t="str">
        <f t="shared" ca="1" si="18"/>
        <v/>
      </c>
      <c r="H381" s="26" t="str">
        <f t="shared" ca="1" si="28"/>
        <v/>
      </c>
      <c r="I381" s="26" t="str">
        <f ca="1">IF($D381="","",IF(OFFSET('(2)出場選手'!$B$2,$A381,I$1)="","",OFFSET('(2)出場選手'!$B$2,$A381,I$1)))</f>
        <v/>
      </c>
      <c r="J381" s="26" t="str">
        <f ca="1">IF($D381="","",IF(OFFSET('(2)出場選手'!$B$2,$A381,J$1)="",'(1)鑑'!$E$6,OFFSET('(2)出場選手'!$B$2,$A381,J$1)))</f>
        <v/>
      </c>
      <c r="K381" s="26" t="str">
        <f ca="1">IF($D381="","",TRIM(ASC(IF(OFFSET('(2)出場選手'!$B$2,$A381,K$1)="",'(1)鑑'!$E$7,OFFSET('(2)出場選手'!$B$2,$A381,K$1)))))</f>
        <v/>
      </c>
      <c r="L381" s="26" t="str">
        <f ca="1">IF($D381="","",SUBSTITUTE(SUBSTITUTE(SUBSTITUTE(IF(OFFSET('(2)出場選手'!$B$2,$A381,L$1)="",'(1)鑑'!$E$8,OFFSET('(2)出場選手'!$B$2,$A381,L$1)),"県",""),"府",""),"東京都","東京"))</f>
        <v/>
      </c>
      <c r="M381" s="57" t="str">
        <f ca="1">IF($D381="","",IF(OFFSET('(2)出場選手'!$B$2,$A381,M$1)="","",OFFSET('(2)出場選手'!$B$2,$A381,M$1)))</f>
        <v/>
      </c>
      <c r="N381" s="26" t="str">
        <f ca="1">IF($D381="","",OFFSET('(2)出場選手'!$B$2,$A381,N$1+3*$B381))</f>
        <v/>
      </c>
      <c r="O381" s="26" t="str">
        <f ca="1">IF($D381="","",IF(OFFSET('(2)出場選手'!$B$2,$A381,O$1+3*$B381)="","",OFFSET('(2)出場選手'!$B$2,$A381,O$1+3*$B381)))</f>
        <v/>
      </c>
      <c r="P381" s="26" t="str">
        <f ca="1">IF($D381="","",IF(OFFSET('(2)出場選手'!$B$2,$A381,P$1+3*$B381)="","",OFFSET('(2)出場選手'!$B$2,$A381,P$1+3*$B381)))</f>
        <v/>
      </c>
      <c r="Q381" s="43" t="str">
        <f ca="1">IF(D381="","",VLOOKUP(N381,OFFSET(Competition_Events,0,1),11,FALSE)*IF($S381="リレー",IF(COUNTIF($T$3:$T381,$T381)&gt;1,0,1),1))</f>
        <v/>
      </c>
      <c r="R381" s="26" t="str">
        <f t="shared" ca="1" si="20"/>
        <v/>
      </c>
      <c r="S381" s="26" t="str">
        <f t="shared" ca="1" si="21"/>
        <v/>
      </c>
      <c r="T381" s="26" t="str">
        <f t="shared" ca="1" si="22"/>
        <v/>
      </c>
      <c r="U381" s="26" t="str">
        <f t="shared" ref="U381:U444" ca="1" si="29">IF($D381="","",IFERROR(CHOOSE(VLOOKUP($R381,Competition_Events,6,FALSE),SUBSTITUTE(O381,"点","")*1,SUBSTITUTE(O381,"m",".")*100,SUBSTITUTE(SUBSTITUTE("0:"&amp;O381,"'",":"),"""",".")/"0:00:00.01"*-1,SUBSTITUTE(O381,"m",".")*100,SUBSTITUTE(SUBSTITUTE(O381,"'",":"),"""",".")/"0:00:00.01"*-1),-8640000))</f>
        <v/>
      </c>
      <c r="W381" s="17" t="str">
        <f ca="1">IF($D381="","",OFFSET('(2)出場選手'!$B$2,$A381,W$1))</f>
        <v/>
      </c>
      <c r="X381" s="17" t="str">
        <f ca="1">IF($D381="","",OFFSET('(2)出場選手'!$B$2,$A381,X$1))</f>
        <v/>
      </c>
      <c r="Y381" s="17" t="str">
        <f ca="1">IF($D381="","",OFFSET('(2)出場選手'!$B$2,$A381,Y$1))</f>
        <v/>
      </c>
      <c r="Z381" s="17" t="str">
        <f ca="1">IF($D381="","",OFFSET('(2)出場選手'!$B$2,$A381,Z$1))</f>
        <v/>
      </c>
    </row>
    <row r="382" spans="1:26" x14ac:dyDescent="0.15">
      <c r="A382" s="17">
        <f>TRUNC((ROWS($D$3:D382)-2)/Max_Entry_Count)+1</f>
        <v>127</v>
      </c>
      <c r="B382" s="17" t="str">
        <f ca="1">IF($A382&gt;=ROWS(Entries)-2,"",IF(OFFSET('(2)出場選手'!$B$2,$A382,B$1+3*(MOD(ROWS($D$3:D382)-2,Max_Entry_Count)))="","",MOD(ROWS($D$3:D382)-2,Max_Entry_Count)))</f>
        <v/>
      </c>
      <c r="D382" s="26" t="str">
        <f ca="1">IF(OR($A382&gt;=ROWS(Entries)-2,$B382=""),"",'(1)鑑'!$E$6&amp;"-"&amp;OFFSET('(2)出場選手'!$B$2,$A382,D$1))</f>
        <v/>
      </c>
      <c r="E382" s="26" t="str">
        <f ca="1">IF($D382="","",OFFSET('(2)出場選手'!$B$2,$A382,E$1))</f>
        <v/>
      </c>
      <c r="F382" s="26" t="str">
        <f ca="1">IF($D382="","",IF(OFFSET('(2)出場選手'!$B$2,$A382,F$1)="","",OFFSET('(2)出場選手'!$B$2,$A382,F$1)))</f>
        <v/>
      </c>
      <c r="G382" s="26" t="str">
        <f t="shared" ca="1" si="18"/>
        <v/>
      </c>
      <c r="H382" s="26" t="str">
        <f t="shared" ca="1" si="28"/>
        <v/>
      </c>
      <c r="I382" s="26" t="str">
        <f ca="1">IF($D382="","",IF(OFFSET('(2)出場選手'!$B$2,$A382,I$1)="","",OFFSET('(2)出場選手'!$B$2,$A382,I$1)))</f>
        <v/>
      </c>
      <c r="J382" s="26" t="str">
        <f ca="1">IF($D382="","",IF(OFFSET('(2)出場選手'!$B$2,$A382,J$1)="",'(1)鑑'!$E$6,OFFSET('(2)出場選手'!$B$2,$A382,J$1)))</f>
        <v/>
      </c>
      <c r="K382" s="26" t="str">
        <f ca="1">IF($D382="","",TRIM(ASC(IF(OFFSET('(2)出場選手'!$B$2,$A382,K$1)="",'(1)鑑'!$E$7,OFFSET('(2)出場選手'!$B$2,$A382,K$1)))))</f>
        <v/>
      </c>
      <c r="L382" s="26" t="str">
        <f ca="1">IF($D382="","",SUBSTITUTE(SUBSTITUTE(SUBSTITUTE(IF(OFFSET('(2)出場選手'!$B$2,$A382,L$1)="",'(1)鑑'!$E$8,OFFSET('(2)出場選手'!$B$2,$A382,L$1)),"県",""),"府",""),"東京都","東京"))</f>
        <v/>
      </c>
      <c r="M382" s="57" t="str">
        <f ca="1">IF($D382="","",IF(OFFSET('(2)出場選手'!$B$2,$A382,M$1)="","",OFFSET('(2)出場選手'!$B$2,$A382,M$1)))</f>
        <v/>
      </c>
      <c r="N382" s="26" t="str">
        <f ca="1">IF($D382="","",OFFSET('(2)出場選手'!$B$2,$A382,N$1+3*$B382))</f>
        <v/>
      </c>
      <c r="O382" s="26" t="str">
        <f ca="1">IF($D382="","",IF(OFFSET('(2)出場選手'!$B$2,$A382,O$1+3*$B382)="","",OFFSET('(2)出場選手'!$B$2,$A382,O$1+3*$B382)))</f>
        <v/>
      </c>
      <c r="P382" s="26" t="str">
        <f ca="1">IF($D382="","",IF(OFFSET('(2)出場選手'!$B$2,$A382,P$1+3*$B382)="","",OFFSET('(2)出場選手'!$B$2,$A382,P$1+3*$B382)))</f>
        <v/>
      </c>
      <c r="Q382" s="43" t="str">
        <f ca="1">IF(D382="","",VLOOKUP(N382,OFFSET(Competition_Events,0,1),11,FALSE)*IF($S382="リレー",IF(COUNTIF($T$3:$T382,$T382)&gt;1,0,1),1))</f>
        <v/>
      </c>
      <c r="R382" s="26" t="str">
        <f t="shared" ca="1" si="20"/>
        <v/>
      </c>
      <c r="S382" s="26" t="str">
        <f t="shared" ca="1" si="21"/>
        <v/>
      </c>
      <c r="T382" s="26" t="str">
        <f t="shared" ca="1" si="22"/>
        <v/>
      </c>
      <c r="U382" s="26" t="str">
        <f t="shared" ca="1" si="29"/>
        <v/>
      </c>
      <c r="W382" s="17" t="str">
        <f ca="1">IF($D382="","",OFFSET('(2)出場選手'!$B$2,$A382,W$1))</f>
        <v/>
      </c>
      <c r="X382" s="17" t="str">
        <f ca="1">IF($D382="","",OFFSET('(2)出場選手'!$B$2,$A382,X$1))</f>
        <v/>
      </c>
      <c r="Y382" s="17" t="str">
        <f ca="1">IF($D382="","",OFFSET('(2)出場選手'!$B$2,$A382,Y$1))</f>
        <v/>
      </c>
      <c r="Z382" s="17" t="str">
        <f ca="1">IF($D382="","",OFFSET('(2)出場選手'!$B$2,$A382,Z$1))</f>
        <v/>
      </c>
    </row>
    <row r="383" spans="1:26" x14ac:dyDescent="0.15">
      <c r="A383" s="17">
        <f>TRUNC((ROWS($D$3:D383)-2)/Max_Entry_Count)+1</f>
        <v>127</v>
      </c>
      <c r="B383" s="17" t="str">
        <f ca="1">IF($A383&gt;=ROWS(Entries)-2,"",IF(OFFSET('(2)出場選手'!$B$2,$A383,B$1+3*(MOD(ROWS($D$3:D383)-2,Max_Entry_Count)))="","",MOD(ROWS($D$3:D383)-2,Max_Entry_Count)))</f>
        <v/>
      </c>
      <c r="D383" s="26" t="str">
        <f ca="1">IF(OR($A383&gt;=ROWS(Entries)-2,$B383=""),"",'(1)鑑'!$E$6&amp;"-"&amp;OFFSET('(2)出場選手'!$B$2,$A383,D$1))</f>
        <v/>
      </c>
      <c r="E383" s="26" t="str">
        <f ca="1">IF($D383="","",OFFSET('(2)出場選手'!$B$2,$A383,E$1))</f>
        <v/>
      </c>
      <c r="F383" s="26" t="str">
        <f ca="1">IF($D383="","",IF(OFFSET('(2)出場選手'!$B$2,$A383,F$1)="","",OFFSET('(2)出場選手'!$B$2,$A383,F$1)))</f>
        <v/>
      </c>
      <c r="G383" s="26" t="str">
        <f t="shared" ca="1" si="18"/>
        <v/>
      </c>
      <c r="H383" s="26" t="str">
        <f t="shared" ca="1" si="28"/>
        <v/>
      </c>
      <c r="I383" s="26" t="str">
        <f ca="1">IF($D383="","",IF(OFFSET('(2)出場選手'!$B$2,$A383,I$1)="","",OFFSET('(2)出場選手'!$B$2,$A383,I$1)))</f>
        <v/>
      </c>
      <c r="J383" s="26" t="str">
        <f ca="1">IF($D383="","",IF(OFFSET('(2)出場選手'!$B$2,$A383,J$1)="",'(1)鑑'!$E$6,OFFSET('(2)出場選手'!$B$2,$A383,J$1)))</f>
        <v/>
      </c>
      <c r="K383" s="26" t="str">
        <f ca="1">IF($D383="","",TRIM(ASC(IF(OFFSET('(2)出場選手'!$B$2,$A383,K$1)="",'(1)鑑'!$E$7,OFFSET('(2)出場選手'!$B$2,$A383,K$1)))))</f>
        <v/>
      </c>
      <c r="L383" s="26" t="str">
        <f ca="1">IF($D383="","",SUBSTITUTE(SUBSTITUTE(SUBSTITUTE(IF(OFFSET('(2)出場選手'!$B$2,$A383,L$1)="",'(1)鑑'!$E$8,OFFSET('(2)出場選手'!$B$2,$A383,L$1)),"県",""),"府",""),"東京都","東京"))</f>
        <v/>
      </c>
      <c r="M383" s="57" t="str">
        <f ca="1">IF($D383="","",IF(OFFSET('(2)出場選手'!$B$2,$A383,M$1)="","",OFFSET('(2)出場選手'!$B$2,$A383,M$1)))</f>
        <v/>
      </c>
      <c r="N383" s="26" t="str">
        <f ca="1">IF($D383="","",OFFSET('(2)出場選手'!$B$2,$A383,N$1+3*$B383))</f>
        <v/>
      </c>
      <c r="O383" s="26" t="str">
        <f ca="1">IF($D383="","",IF(OFFSET('(2)出場選手'!$B$2,$A383,O$1+3*$B383)="","",OFFSET('(2)出場選手'!$B$2,$A383,O$1+3*$B383)))</f>
        <v/>
      </c>
      <c r="P383" s="26" t="str">
        <f ca="1">IF($D383="","",IF(OFFSET('(2)出場選手'!$B$2,$A383,P$1+3*$B383)="","",OFFSET('(2)出場選手'!$B$2,$A383,P$1+3*$B383)))</f>
        <v/>
      </c>
      <c r="Q383" s="43" t="str">
        <f ca="1">IF(D383="","",VLOOKUP(N383,OFFSET(Competition_Events,0,1),11,FALSE)*IF($S383="リレー",IF(COUNTIF($T$3:$T383,$T383)&gt;1,0,1),1))</f>
        <v/>
      </c>
      <c r="R383" s="26" t="str">
        <f t="shared" ca="1" si="20"/>
        <v/>
      </c>
      <c r="S383" s="26" t="str">
        <f t="shared" ca="1" si="21"/>
        <v/>
      </c>
      <c r="T383" s="26" t="str">
        <f t="shared" ca="1" si="22"/>
        <v/>
      </c>
      <c r="U383" s="26" t="str">
        <f t="shared" ca="1" si="29"/>
        <v/>
      </c>
      <c r="W383" s="17" t="str">
        <f ca="1">IF($D383="","",OFFSET('(2)出場選手'!$B$2,$A383,W$1))</f>
        <v/>
      </c>
      <c r="X383" s="17" t="str">
        <f ca="1">IF($D383="","",OFFSET('(2)出場選手'!$B$2,$A383,X$1))</f>
        <v/>
      </c>
      <c r="Y383" s="17" t="str">
        <f ca="1">IF($D383="","",OFFSET('(2)出場選手'!$B$2,$A383,Y$1))</f>
        <v/>
      </c>
      <c r="Z383" s="17" t="str">
        <f ca="1">IF($D383="","",OFFSET('(2)出場選手'!$B$2,$A383,Z$1))</f>
        <v/>
      </c>
    </row>
    <row r="384" spans="1:26" x14ac:dyDescent="0.15">
      <c r="A384" s="17">
        <f>TRUNC((ROWS($D$3:D384)-2)/Max_Entry_Count)+1</f>
        <v>127</v>
      </c>
      <c r="B384" s="17" t="str">
        <f ca="1">IF($A384&gt;=ROWS(Entries)-2,"",IF(OFFSET('(2)出場選手'!$B$2,$A384,B$1+3*(MOD(ROWS($D$3:D384)-2,Max_Entry_Count)))="","",MOD(ROWS($D$3:D384)-2,Max_Entry_Count)))</f>
        <v/>
      </c>
      <c r="D384" s="26" t="str">
        <f ca="1">IF(OR($A384&gt;=ROWS(Entries)-2,$B384=""),"",'(1)鑑'!$E$6&amp;"-"&amp;OFFSET('(2)出場選手'!$B$2,$A384,D$1))</f>
        <v/>
      </c>
      <c r="E384" s="26" t="str">
        <f ca="1">IF($D384="","",OFFSET('(2)出場選手'!$B$2,$A384,E$1))</f>
        <v/>
      </c>
      <c r="F384" s="26" t="str">
        <f ca="1">IF($D384="","",IF(OFFSET('(2)出場選手'!$B$2,$A384,F$1)="","",OFFSET('(2)出場選手'!$B$2,$A384,F$1)))</f>
        <v/>
      </c>
      <c r="G384" s="26" t="str">
        <f t="shared" ca="1" si="18"/>
        <v/>
      </c>
      <c r="H384" s="26" t="str">
        <f t="shared" ca="1" si="28"/>
        <v/>
      </c>
      <c r="I384" s="26" t="str">
        <f ca="1">IF($D384="","",IF(OFFSET('(2)出場選手'!$B$2,$A384,I$1)="","",OFFSET('(2)出場選手'!$B$2,$A384,I$1)))</f>
        <v/>
      </c>
      <c r="J384" s="26" t="str">
        <f ca="1">IF($D384="","",IF(OFFSET('(2)出場選手'!$B$2,$A384,J$1)="",'(1)鑑'!$E$6,OFFSET('(2)出場選手'!$B$2,$A384,J$1)))</f>
        <v/>
      </c>
      <c r="K384" s="26" t="str">
        <f ca="1">IF($D384="","",TRIM(ASC(IF(OFFSET('(2)出場選手'!$B$2,$A384,K$1)="",'(1)鑑'!$E$7,OFFSET('(2)出場選手'!$B$2,$A384,K$1)))))</f>
        <v/>
      </c>
      <c r="L384" s="26" t="str">
        <f ca="1">IF($D384="","",SUBSTITUTE(SUBSTITUTE(SUBSTITUTE(IF(OFFSET('(2)出場選手'!$B$2,$A384,L$1)="",'(1)鑑'!$E$8,OFFSET('(2)出場選手'!$B$2,$A384,L$1)),"県",""),"府",""),"東京都","東京"))</f>
        <v/>
      </c>
      <c r="M384" s="57" t="str">
        <f ca="1">IF($D384="","",IF(OFFSET('(2)出場選手'!$B$2,$A384,M$1)="","",OFFSET('(2)出場選手'!$B$2,$A384,M$1)))</f>
        <v/>
      </c>
      <c r="N384" s="26" t="str">
        <f ca="1">IF($D384="","",OFFSET('(2)出場選手'!$B$2,$A384,N$1+3*$B384))</f>
        <v/>
      </c>
      <c r="O384" s="26" t="str">
        <f ca="1">IF($D384="","",IF(OFFSET('(2)出場選手'!$B$2,$A384,O$1+3*$B384)="","",OFFSET('(2)出場選手'!$B$2,$A384,O$1+3*$B384)))</f>
        <v/>
      </c>
      <c r="P384" s="26" t="str">
        <f ca="1">IF($D384="","",IF(OFFSET('(2)出場選手'!$B$2,$A384,P$1+3*$B384)="","",OFFSET('(2)出場選手'!$B$2,$A384,P$1+3*$B384)))</f>
        <v/>
      </c>
      <c r="Q384" s="43" t="str">
        <f ca="1">IF(D384="","",VLOOKUP(N384,OFFSET(Competition_Events,0,1),11,FALSE)*IF($S384="リレー",IF(COUNTIF($T$3:$T384,$T384)&gt;1,0,1),1))</f>
        <v/>
      </c>
      <c r="R384" s="26" t="str">
        <f t="shared" ca="1" si="20"/>
        <v/>
      </c>
      <c r="S384" s="26" t="str">
        <f t="shared" ca="1" si="21"/>
        <v/>
      </c>
      <c r="T384" s="26" t="str">
        <f t="shared" ca="1" si="22"/>
        <v/>
      </c>
      <c r="U384" s="26" t="str">
        <f t="shared" ca="1" si="29"/>
        <v/>
      </c>
      <c r="W384" s="17" t="str">
        <f ca="1">IF($D384="","",OFFSET('(2)出場選手'!$B$2,$A384,W$1))</f>
        <v/>
      </c>
      <c r="X384" s="17" t="str">
        <f ca="1">IF($D384="","",OFFSET('(2)出場選手'!$B$2,$A384,X$1))</f>
        <v/>
      </c>
      <c r="Y384" s="17" t="str">
        <f ca="1">IF($D384="","",OFFSET('(2)出場選手'!$B$2,$A384,Y$1))</f>
        <v/>
      </c>
      <c r="Z384" s="17" t="str">
        <f ca="1">IF($D384="","",OFFSET('(2)出場選手'!$B$2,$A384,Z$1))</f>
        <v/>
      </c>
    </row>
    <row r="385" spans="1:26" x14ac:dyDescent="0.15">
      <c r="A385" s="17">
        <f>TRUNC((ROWS($D$3:D385)-2)/Max_Entry_Count)+1</f>
        <v>128</v>
      </c>
      <c r="B385" s="17" t="str">
        <f ca="1">IF($A385&gt;=ROWS(Entries)-2,"",IF(OFFSET('(2)出場選手'!$B$2,$A385,B$1+3*(MOD(ROWS($D$3:D385)-2,Max_Entry_Count)))="","",MOD(ROWS($D$3:D385)-2,Max_Entry_Count)))</f>
        <v/>
      </c>
      <c r="D385" s="26" t="str">
        <f ca="1">IF(OR($A385&gt;=ROWS(Entries)-2,$B385=""),"",'(1)鑑'!$E$6&amp;"-"&amp;OFFSET('(2)出場選手'!$B$2,$A385,D$1))</f>
        <v/>
      </c>
      <c r="E385" s="26" t="str">
        <f ca="1">IF($D385="","",OFFSET('(2)出場選手'!$B$2,$A385,E$1))</f>
        <v/>
      </c>
      <c r="F385" s="26" t="str">
        <f ca="1">IF($D385="","",IF(OFFSET('(2)出場選手'!$B$2,$A385,F$1)="","",OFFSET('(2)出場選手'!$B$2,$A385,F$1)))</f>
        <v/>
      </c>
      <c r="G385" s="26" t="str">
        <f t="shared" ca="1" si="18"/>
        <v/>
      </c>
      <c r="H385" s="26" t="str">
        <f t="shared" ca="1" si="28"/>
        <v/>
      </c>
      <c r="I385" s="26" t="str">
        <f ca="1">IF($D385="","",IF(OFFSET('(2)出場選手'!$B$2,$A385,I$1)="","",OFFSET('(2)出場選手'!$B$2,$A385,I$1)))</f>
        <v/>
      </c>
      <c r="J385" s="26" t="str">
        <f ca="1">IF($D385="","",IF(OFFSET('(2)出場選手'!$B$2,$A385,J$1)="",'(1)鑑'!$E$6,OFFSET('(2)出場選手'!$B$2,$A385,J$1)))</f>
        <v/>
      </c>
      <c r="K385" s="26" t="str">
        <f ca="1">IF($D385="","",TRIM(ASC(IF(OFFSET('(2)出場選手'!$B$2,$A385,K$1)="",'(1)鑑'!$E$7,OFFSET('(2)出場選手'!$B$2,$A385,K$1)))))</f>
        <v/>
      </c>
      <c r="L385" s="26" t="str">
        <f ca="1">IF($D385="","",SUBSTITUTE(SUBSTITUTE(SUBSTITUTE(IF(OFFSET('(2)出場選手'!$B$2,$A385,L$1)="",'(1)鑑'!$E$8,OFFSET('(2)出場選手'!$B$2,$A385,L$1)),"県",""),"府",""),"東京都","東京"))</f>
        <v/>
      </c>
      <c r="M385" s="57" t="str">
        <f ca="1">IF($D385="","",IF(OFFSET('(2)出場選手'!$B$2,$A385,M$1)="","",OFFSET('(2)出場選手'!$B$2,$A385,M$1)))</f>
        <v/>
      </c>
      <c r="N385" s="26" t="str">
        <f ca="1">IF($D385="","",OFFSET('(2)出場選手'!$B$2,$A385,N$1+3*$B385))</f>
        <v/>
      </c>
      <c r="O385" s="26" t="str">
        <f ca="1">IF($D385="","",IF(OFFSET('(2)出場選手'!$B$2,$A385,O$1+3*$B385)="","",OFFSET('(2)出場選手'!$B$2,$A385,O$1+3*$B385)))</f>
        <v/>
      </c>
      <c r="P385" s="26" t="str">
        <f ca="1">IF($D385="","",IF(OFFSET('(2)出場選手'!$B$2,$A385,P$1+3*$B385)="","",OFFSET('(2)出場選手'!$B$2,$A385,P$1+3*$B385)))</f>
        <v/>
      </c>
      <c r="Q385" s="43" t="str">
        <f ca="1">IF(D385="","",VLOOKUP(N385,OFFSET(Competition_Events,0,1),11,FALSE)*IF($S385="リレー",IF(COUNTIF($T$3:$T385,$T385)&gt;1,0,1),1))</f>
        <v/>
      </c>
      <c r="R385" s="26" t="str">
        <f t="shared" ca="1" si="20"/>
        <v/>
      </c>
      <c r="S385" s="26" t="str">
        <f t="shared" ca="1" si="21"/>
        <v/>
      </c>
      <c r="T385" s="26" t="str">
        <f t="shared" ca="1" si="22"/>
        <v/>
      </c>
      <c r="U385" s="26" t="str">
        <f t="shared" ca="1" si="29"/>
        <v/>
      </c>
      <c r="W385" s="17" t="str">
        <f ca="1">IF($D385="","",OFFSET('(2)出場選手'!$B$2,$A385,W$1))</f>
        <v/>
      </c>
      <c r="X385" s="17" t="str">
        <f ca="1">IF($D385="","",OFFSET('(2)出場選手'!$B$2,$A385,X$1))</f>
        <v/>
      </c>
      <c r="Y385" s="17" t="str">
        <f ca="1">IF($D385="","",OFFSET('(2)出場選手'!$B$2,$A385,Y$1))</f>
        <v/>
      </c>
      <c r="Z385" s="17" t="str">
        <f ca="1">IF($D385="","",OFFSET('(2)出場選手'!$B$2,$A385,Z$1))</f>
        <v/>
      </c>
    </row>
    <row r="386" spans="1:26" x14ac:dyDescent="0.15">
      <c r="A386" s="17">
        <f>TRUNC((ROWS($D$3:D386)-2)/Max_Entry_Count)+1</f>
        <v>128</v>
      </c>
      <c r="B386" s="17" t="str">
        <f ca="1">IF($A386&gt;=ROWS(Entries)-2,"",IF(OFFSET('(2)出場選手'!$B$2,$A386,B$1+3*(MOD(ROWS($D$3:D386)-2,Max_Entry_Count)))="","",MOD(ROWS($D$3:D386)-2,Max_Entry_Count)))</f>
        <v/>
      </c>
      <c r="D386" s="26" t="str">
        <f ca="1">IF(OR($A386&gt;=ROWS(Entries)-2,$B386=""),"",'(1)鑑'!$E$6&amp;"-"&amp;OFFSET('(2)出場選手'!$B$2,$A386,D$1))</f>
        <v/>
      </c>
      <c r="E386" s="26" t="str">
        <f ca="1">IF($D386="","",OFFSET('(2)出場選手'!$B$2,$A386,E$1))</f>
        <v/>
      </c>
      <c r="F386" s="26" t="str">
        <f ca="1">IF($D386="","",IF(OFFSET('(2)出場選手'!$B$2,$A386,F$1)="","",OFFSET('(2)出場選手'!$B$2,$A386,F$1)))</f>
        <v/>
      </c>
      <c r="G386" s="26" t="str">
        <f t="shared" ca="1" si="18"/>
        <v/>
      </c>
      <c r="H386" s="26" t="str">
        <f t="shared" ca="1" si="28"/>
        <v/>
      </c>
      <c r="I386" s="26" t="str">
        <f ca="1">IF($D386="","",IF(OFFSET('(2)出場選手'!$B$2,$A386,I$1)="","",OFFSET('(2)出場選手'!$B$2,$A386,I$1)))</f>
        <v/>
      </c>
      <c r="J386" s="26" t="str">
        <f ca="1">IF($D386="","",IF(OFFSET('(2)出場選手'!$B$2,$A386,J$1)="",'(1)鑑'!$E$6,OFFSET('(2)出場選手'!$B$2,$A386,J$1)))</f>
        <v/>
      </c>
      <c r="K386" s="26" t="str">
        <f ca="1">IF($D386="","",TRIM(ASC(IF(OFFSET('(2)出場選手'!$B$2,$A386,K$1)="",'(1)鑑'!$E$7,OFFSET('(2)出場選手'!$B$2,$A386,K$1)))))</f>
        <v/>
      </c>
      <c r="L386" s="26" t="str">
        <f ca="1">IF($D386="","",SUBSTITUTE(SUBSTITUTE(SUBSTITUTE(IF(OFFSET('(2)出場選手'!$B$2,$A386,L$1)="",'(1)鑑'!$E$8,OFFSET('(2)出場選手'!$B$2,$A386,L$1)),"県",""),"府",""),"東京都","東京"))</f>
        <v/>
      </c>
      <c r="M386" s="57" t="str">
        <f ca="1">IF($D386="","",IF(OFFSET('(2)出場選手'!$B$2,$A386,M$1)="","",OFFSET('(2)出場選手'!$B$2,$A386,M$1)))</f>
        <v/>
      </c>
      <c r="N386" s="26" t="str">
        <f ca="1">IF($D386="","",OFFSET('(2)出場選手'!$B$2,$A386,N$1+3*$B386))</f>
        <v/>
      </c>
      <c r="O386" s="26" t="str">
        <f ca="1">IF($D386="","",IF(OFFSET('(2)出場選手'!$B$2,$A386,O$1+3*$B386)="","",OFFSET('(2)出場選手'!$B$2,$A386,O$1+3*$B386)))</f>
        <v/>
      </c>
      <c r="P386" s="26" t="str">
        <f ca="1">IF($D386="","",IF(OFFSET('(2)出場選手'!$B$2,$A386,P$1+3*$B386)="","",OFFSET('(2)出場選手'!$B$2,$A386,P$1+3*$B386)))</f>
        <v/>
      </c>
      <c r="Q386" s="43" t="str">
        <f ca="1">IF(D386="","",VLOOKUP(N386,OFFSET(Competition_Events,0,1),11,FALSE)*IF($S386="リレー",IF(COUNTIF($T$3:$T386,$T386)&gt;1,0,1),1))</f>
        <v/>
      </c>
      <c r="R386" s="26" t="str">
        <f t="shared" ca="1" si="20"/>
        <v/>
      </c>
      <c r="S386" s="26" t="str">
        <f t="shared" ca="1" si="21"/>
        <v/>
      </c>
      <c r="T386" s="26" t="str">
        <f t="shared" ca="1" si="22"/>
        <v/>
      </c>
      <c r="U386" s="26" t="str">
        <f t="shared" ca="1" si="29"/>
        <v/>
      </c>
      <c r="W386" s="17" t="str">
        <f ca="1">IF($D386="","",OFFSET('(2)出場選手'!$B$2,$A386,W$1))</f>
        <v/>
      </c>
      <c r="X386" s="17" t="str">
        <f ca="1">IF($D386="","",OFFSET('(2)出場選手'!$B$2,$A386,X$1))</f>
        <v/>
      </c>
      <c r="Y386" s="17" t="str">
        <f ca="1">IF($D386="","",OFFSET('(2)出場選手'!$B$2,$A386,Y$1))</f>
        <v/>
      </c>
      <c r="Z386" s="17" t="str">
        <f ca="1">IF($D386="","",OFFSET('(2)出場選手'!$B$2,$A386,Z$1))</f>
        <v/>
      </c>
    </row>
    <row r="387" spans="1:26" x14ac:dyDescent="0.15">
      <c r="A387" s="17">
        <f>TRUNC((ROWS($D$3:D387)-2)/Max_Entry_Count)+1</f>
        <v>128</v>
      </c>
      <c r="B387" s="17" t="str">
        <f ca="1">IF($A387&gt;=ROWS(Entries)-2,"",IF(OFFSET('(2)出場選手'!$B$2,$A387,B$1+3*(MOD(ROWS($D$3:D387)-2,Max_Entry_Count)))="","",MOD(ROWS($D$3:D387)-2,Max_Entry_Count)))</f>
        <v/>
      </c>
      <c r="D387" s="26" t="str">
        <f ca="1">IF(OR($A387&gt;=ROWS(Entries)-2,$B387=""),"",'(1)鑑'!$E$6&amp;"-"&amp;OFFSET('(2)出場選手'!$B$2,$A387,D$1))</f>
        <v/>
      </c>
      <c r="E387" s="26" t="str">
        <f ca="1">IF($D387="","",OFFSET('(2)出場選手'!$B$2,$A387,E$1))</f>
        <v/>
      </c>
      <c r="F387" s="26" t="str">
        <f ca="1">IF($D387="","",IF(OFFSET('(2)出場選手'!$B$2,$A387,F$1)="","",OFFSET('(2)出場選手'!$B$2,$A387,F$1)))</f>
        <v/>
      </c>
      <c r="G387" s="26" t="str">
        <f t="shared" ca="1" si="18"/>
        <v/>
      </c>
      <c r="H387" s="26" t="str">
        <f t="shared" ca="1" si="28"/>
        <v/>
      </c>
      <c r="I387" s="26" t="str">
        <f ca="1">IF($D387="","",IF(OFFSET('(2)出場選手'!$B$2,$A387,I$1)="","",OFFSET('(2)出場選手'!$B$2,$A387,I$1)))</f>
        <v/>
      </c>
      <c r="J387" s="26" t="str">
        <f ca="1">IF($D387="","",IF(OFFSET('(2)出場選手'!$B$2,$A387,J$1)="",'(1)鑑'!$E$6,OFFSET('(2)出場選手'!$B$2,$A387,J$1)))</f>
        <v/>
      </c>
      <c r="K387" s="26" t="str">
        <f ca="1">IF($D387="","",TRIM(ASC(IF(OFFSET('(2)出場選手'!$B$2,$A387,K$1)="",'(1)鑑'!$E$7,OFFSET('(2)出場選手'!$B$2,$A387,K$1)))))</f>
        <v/>
      </c>
      <c r="L387" s="26" t="str">
        <f ca="1">IF($D387="","",SUBSTITUTE(SUBSTITUTE(SUBSTITUTE(IF(OFFSET('(2)出場選手'!$B$2,$A387,L$1)="",'(1)鑑'!$E$8,OFFSET('(2)出場選手'!$B$2,$A387,L$1)),"県",""),"府",""),"東京都","東京"))</f>
        <v/>
      </c>
      <c r="M387" s="57" t="str">
        <f ca="1">IF($D387="","",IF(OFFSET('(2)出場選手'!$B$2,$A387,M$1)="","",OFFSET('(2)出場選手'!$B$2,$A387,M$1)))</f>
        <v/>
      </c>
      <c r="N387" s="26" t="str">
        <f ca="1">IF($D387="","",OFFSET('(2)出場選手'!$B$2,$A387,N$1+3*$B387))</f>
        <v/>
      </c>
      <c r="O387" s="26" t="str">
        <f ca="1">IF($D387="","",IF(OFFSET('(2)出場選手'!$B$2,$A387,O$1+3*$B387)="","",OFFSET('(2)出場選手'!$B$2,$A387,O$1+3*$B387)))</f>
        <v/>
      </c>
      <c r="P387" s="26" t="str">
        <f ca="1">IF($D387="","",IF(OFFSET('(2)出場選手'!$B$2,$A387,P$1+3*$B387)="","",OFFSET('(2)出場選手'!$B$2,$A387,P$1+3*$B387)))</f>
        <v/>
      </c>
      <c r="Q387" s="43" t="str">
        <f ca="1">IF(D387="","",VLOOKUP(N387,OFFSET(Competition_Events,0,1),11,FALSE)*IF($S387="リレー",IF(COUNTIF($T$3:$T387,$T387)&gt;1,0,1),1))</f>
        <v/>
      </c>
      <c r="R387" s="26" t="str">
        <f t="shared" ca="1" si="20"/>
        <v/>
      </c>
      <c r="S387" s="26" t="str">
        <f t="shared" ca="1" si="21"/>
        <v/>
      </c>
      <c r="T387" s="26" t="str">
        <f t="shared" ca="1" si="22"/>
        <v/>
      </c>
      <c r="U387" s="26" t="str">
        <f t="shared" ca="1" si="29"/>
        <v/>
      </c>
      <c r="W387" s="17" t="str">
        <f ca="1">IF($D387="","",OFFSET('(2)出場選手'!$B$2,$A387,W$1))</f>
        <v/>
      </c>
      <c r="X387" s="17" t="str">
        <f ca="1">IF($D387="","",OFFSET('(2)出場選手'!$B$2,$A387,X$1))</f>
        <v/>
      </c>
      <c r="Y387" s="17" t="str">
        <f ca="1">IF($D387="","",OFFSET('(2)出場選手'!$B$2,$A387,Y$1))</f>
        <v/>
      </c>
      <c r="Z387" s="17" t="str">
        <f ca="1">IF($D387="","",OFFSET('(2)出場選手'!$B$2,$A387,Z$1))</f>
        <v/>
      </c>
    </row>
    <row r="388" spans="1:26" x14ac:dyDescent="0.15">
      <c r="A388" s="17">
        <f>TRUNC((ROWS($D$3:D388)-2)/Max_Entry_Count)+1</f>
        <v>129</v>
      </c>
      <c r="B388" s="17" t="str">
        <f ca="1">IF($A388&gt;=ROWS(Entries)-2,"",IF(OFFSET('(2)出場選手'!$B$2,$A388,B$1+3*(MOD(ROWS($D$3:D388)-2,Max_Entry_Count)))="","",MOD(ROWS($D$3:D388)-2,Max_Entry_Count)))</f>
        <v/>
      </c>
      <c r="D388" s="26" t="str">
        <f ca="1">IF(OR($A388&gt;=ROWS(Entries)-2,$B388=""),"",'(1)鑑'!$E$6&amp;"-"&amp;OFFSET('(2)出場選手'!$B$2,$A388,D$1))</f>
        <v/>
      </c>
      <c r="E388" s="26" t="str">
        <f ca="1">IF($D388="","",OFFSET('(2)出場選手'!$B$2,$A388,E$1))</f>
        <v/>
      </c>
      <c r="F388" s="26" t="str">
        <f ca="1">IF($D388="","",IF(OFFSET('(2)出場選手'!$B$2,$A388,F$1)="","",OFFSET('(2)出場選手'!$B$2,$A388,F$1)))</f>
        <v/>
      </c>
      <c r="G388" s="26" t="str">
        <f t="shared" ca="1" si="18"/>
        <v/>
      </c>
      <c r="H388" s="26" t="str">
        <f t="shared" ref="H388:H451" ca="1" si="30">IF($D388="","",ASC(TRIM($Y388)&amp;"　"&amp;TRIM($Z388)))</f>
        <v/>
      </c>
      <c r="I388" s="26" t="str">
        <f ca="1">IF($D388="","",IF(OFFSET('(2)出場選手'!$B$2,$A388,I$1)="","",OFFSET('(2)出場選手'!$B$2,$A388,I$1)))</f>
        <v/>
      </c>
      <c r="J388" s="26" t="str">
        <f ca="1">IF($D388="","",IF(OFFSET('(2)出場選手'!$B$2,$A388,J$1)="",'(1)鑑'!$E$6,OFFSET('(2)出場選手'!$B$2,$A388,J$1)))</f>
        <v/>
      </c>
      <c r="K388" s="26" t="str">
        <f ca="1">IF($D388="","",TRIM(ASC(IF(OFFSET('(2)出場選手'!$B$2,$A388,K$1)="",'(1)鑑'!$E$7,OFFSET('(2)出場選手'!$B$2,$A388,K$1)))))</f>
        <v/>
      </c>
      <c r="L388" s="26" t="str">
        <f ca="1">IF($D388="","",SUBSTITUTE(SUBSTITUTE(SUBSTITUTE(IF(OFFSET('(2)出場選手'!$B$2,$A388,L$1)="",'(1)鑑'!$E$8,OFFSET('(2)出場選手'!$B$2,$A388,L$1)),"県",""),"府",""),"東京都","東京"))</f>
        <v/>
      </c>
      <c r="M388" s="57" t="str">
        <f ca="1">IF($D388="","",IF(OFFSET('(2)出場選手'!$B$2,$A388,M$1)="","",OFFSET('(2)出場選手'!$B$2,$A388,M$1)))</f>
        <v/>
      </c>
      <c r="N388" s="26" t="str">
        <f ca="1">IF($D388="","",OFFSET('(2)出場選手'!$B$2,$A388,N$1+3*$B388))</f>
        <v/>
      </c>
      <c r="O388" s="26" t="str">
        <f ca="1">IF($D388="","",IF(OFFSET('(2)出場選手'!$B$2,$A388,O$1+3*$B388)="","",OFFSET('(2)出場選手'!$B$2,$A388,O$1+3*$B388)))</f>
        <v/>
      </c>
      <c r="P388" s="26" t="str">
        <f ca="1">IF($D388="","",IF(OFFSET('(2)出場選手'!$B$2,$A388,P$1+3*$B388)="","",OFFSET('(2)出場選手'!$B$2,$A388,P$1+3*$B388)))</f>
        <v/>
      </c>
      <c r="Q388" s="43" t="str">
        <f ca="1">IF(D388="","",VLOOKUP(N388,OFFSET(Competition_Events,0,1),11,FALSE)*IF($S388="リレー",IF(COUNTIF($T$3:$T388,$T388)&gt;1,0,1),1))</f>
        <v/>
      </c>
      <c r="R388" s="26" t="str">
        <f t="shared" ca="1" si="20"/>
        <v/>
      </c>
      <c r="S388" s="26" t="str">
        <f t="shared" ca="1" si="21"/>
        <v/>
      </c>
      <c r="T388" s="26" t="str">
        <f t="shared" ca="1" si="22"/>
        <v/>
      </c>
      <c r="U388" s="26" t="str">
        <f t="shared" ca="1" si="29"/>
        <v/>
      </c>
      <c r="W388" s="17" t="str">
        <f ca="1">IF($D388="","",OFFSET('(2)出場選手'!$B$2,$A388,W$1))</f>
        <v/>
      </c>
      <c r="X388" s="17" t="str">
        <f ca="1">IF($D388="","",OFFSET('(2)出場選手'!$B$2,$A388,X$1))</f>
        <v/>
      </c>
      <c r="Y388" s="17" t="str">
        <f ca="1">IF($D388="","",OFFSET('(2)出場選手'!$B$2,$A388,Y$1))</f>
        <v/>
      </c>
      <c r="Z388" s="17" t="str">
        <f ca="1">IF($D388="","",OFFSET('(2)出場選手'!$B$2,$A388,Z$1))</f>
        <v/>
      </c>
    </row>
    <row r="389" spans="1:26" x14ac:dyDescent="0.15">
      <c r="A389" s="17">
        <f>TRUNC((ROWS($D$3:D389)-2)/Max_Entry_Count)+1</f>
        <v>129</v>
      </c>
      <c r="B389" s="17" t="str">
        <f ca="1">IF($A389&gt;=ROWS(Entries)-2,"",IF(OFFSET('(2)出場選手'!$B$2,$A389,B$1+3*(MOD(ROWS($D$3:D389)-2,Max_Entry_Count)))="","",MOD(ROWS($D$3:D389)-2,Max_Entry_Count)))</f>
        <v/>
      </c>
      <c r="D389" s="26" t="str">
        <f ca="1">IF(OR($A389&gt;=ROWS(Entries)-2,$B389=""),"",'(1)鑑'!$E$6&amp;"-"&amp;OFFSET('(2)出場選手'!$B$2,$A389,D$1))</f>
        <v/>
      </c>
      <c r="E389" s="26" t="str">
        <f ca="1">IF($D389="","",OFFSET('(2)出場選手'!$B$2,$A389,E$1))</f>
        <v/>
      </c>
      <c r="F389" s="26" t="str">
        <f ca="1">IF($D389="","",IF(OFFSET('(2)出場選手'!$B$2,$A389,F$1)="","",OFFSET('(2)出場選手'!$B$2,$A389,F$1)))</f>
        <v/>
      </c>
      <c r="G389" s="26" t="str">
        <f t="shared" ca="1" si="18"/>
        <v/>
      </c>
      <c r="H389" s="26" t="str">
        <f t="shared" ca="1" si="30"/>
        <v/>
      </c>
      <c r="I389" s="26" t="str">
        <f ca="1">IF($D389="","",IF(OFFSET('(2)出場選手'!$B$2,$A389,I$1)="","",OFFSET('(2)出場選手'!$B$2,$A389,I$1)))</f>
        <v/>
      </c>
      <c r="J389" s="26" t="str">
        <f ca="1">IF($D389="","",IF(OFFSET('(2)出場選手'!$B$2,$A389,J$1)="",'(1)鑑'!$E$6,OFFSET('(2)出場選手'!$B$2,$A389,J$1)))</f>
        <v/>
      </c>
      <c r="K389" s="26" t="str">
        <f ca="1">IF($D389="","",TRIM(ASC(IF(OFFSET('(2)出場選手'!$B$2,$A389,K$1)="",'(1)鑑'!$E$7,OFFSET('(2)出場選手'!$B$2,$A389,K$1)))))</f>
        <v/>
      </c>
      <c r="L389" s="26" t="str">
        <f ca="1">IF($D389="","",SUBSTITUTE(SUBSTITUTE(SUBSTITUTE(IF(OFFSET('(2)出場選手'!$B$2,$A389,L$1)="",'(1)鑑'!$E$8,OFFSET('(2)出場選手'!$B$2,$A389,L$1)),"県",""),"府",""),"東京都","東京"))</f>
        <v/>
      </c>
      <c r="M389" s="57" t="str">
        <f ca="1">IF($D389="","",IF(OFFSET('(2)出場選手'!$B$2,$A389,M$1)="","",OFFSET('(2)出場選手'!$B$2,$A389,M$1)))</f>
        <v/>
      </c>
      <c r="N389" s="26" t="str">
        <f ca="1">IF($D389="","",OFFSET('(2)出場選手'!$B$2,$A389,N$1+3*$B389))</f>
        <v/>
      </c>
      <c r="O389" s="26" t="str">
        <f ca="1">IF($D389="","",IF(OFFSET('(2)出場選手'!$B$2,$A389,O$1+3*$B389)="","",OFFSET('(2)出場選手'!$B$2,$A389,O$1+3*$B389)))</f>
        <v/>
      </c>
      <c r="P389" s="26" t="str">
        <f ca="1">IF($D389="","",IF(OFFSET('(2)出場選手'!$B$2,$A389,P$1+3*$B389)="","",OFFSET('(2)出場選手'!$B$2,$A389,P$1+3*$B389)))</f>
        <v/>
      </c>
      <c r="Q389" s="43" t="str">
        <f ca="1">IF(D389="","",VLOOKUP(N389,OFFSET(Competition_Events,0,1),11,FALSE)*IF($S389="リレー",IF(COUNTIF($T$3:$T389,$T389)&gt;1,0,1),1))</f>
        <v/>
      </c>
      <c r="R389" s="26" t="str">
        <f t="shared" ca="1" si="20"/>
        <v/>
      </c>
      <c r="S389" s="26" t="str">
        <f t="shared" ca="1" si="21"/>
        <v/>
      </c>
      <c r="T389" s="26" t="str">
        <f t="shared" ca="1" si="22"/>
        <v/>
      </c>
      <c r="U389" s="26" t="str">
        <f t="shared" ca="1" si="29"/>
        <v/>
      </c>
      <c r="W389" s="17" t="str">
        <f ca="1">IF($D389="","",OFFSET('(2)出場選手'!$B$2,$A389,W$1))</f>
        <v/>
      </c>
      <c r="X389" s="17" t="str">
        <f ca="1">IF($D389="","",OFFSET('(2)出場選手'!$B$2,$A389,X$1))</f>
        <v/>
      </c>
      <c r="Y389" s="17" t="str">
        <f ca="1">IF($D389="","",OFFSET('(2)出場選手'!$B$2,$A389,Y$1))</f>
        <v/>
      </c>
      <c r="Z389" s="17" t="str">
        <f ca="1">IF($D389="","",OFFSET('(2)出場選手'!$B$2,$A389,Z$1))</f>
        <v/>
      </c>
    </row>
    <row r="390" spans="1:26" x14ac:dyDescent="0.15">
      <c r="A390" s="17">
        <f>TRUNC((ROWS($D$3:D390)-2)/Max_Entry_Count)+1</f>
        <v>129</v>
      </c>
      <c r="B390" s="17" t="str">
        <f ca="1">IF($A390&gt;=ROWS(Entries)-2,"",IF(OFFSET('(2)出場選手'!$B$2,$A390,B$1+3*(MOD(ROWS($D$3:D390)-2,Max_Entry_Count)))="","",MOD(ROWS($D$3:D390)-2,Max_Entry_Count)))</f>
        <v/>
      </c>
      <c r="D390" s="26" t="str">
        <f ca="1">IF(OR($A390&gt;=ROWS(Entries)-2,$B390=""),"",'(1)鑑'!$E$6&amp;"-"&amp;OFFSET('(2)出場選手'!$B$2,$A390,D$1))</f>
        <v/>
      </c>
      <c r="E390" s="26" t="str">
        <f ca="1">IF($D390="","",OFFSET('(2)出場選手'!$B$2,$A390,E$1))</f>
        <v/>
      </c>
      <c r="F390" s="26" t="str">
        <f ca="1">IF($D390="","",IF(OFFSET('(2)出場選手'!$B$2,$A390,F$1)="","",OFFSET('(2)出場選手'!$B$2,$A390,F$1)))</f>
        <v/>
      </c>
      <c r="G390" s="26" t="str">
        <f t="shared" ca="1" si="18"/>
        <v/>
      </c>
      <c r="H390" s="26" t="str">
        <f t="shared" ca="1" si="30"/>
        <v/>
      </c>
      <c r="I390" s="26" t="str">
        <f ca="1">IF($D390="","",IF(OFFSET('(2)出場選手'!$B$2,$A390,I$1)="","",OFFSET('(2)出場選手'!$B$2,$A390,I$1)))</f>
        <v/>
      </c>
      <c r="J390" s="26" t="str">
        <f ca="1">IF($D390="","",IF(OFFSET('(2)出場選手'!$B$2,$A390,J$1)="",'(1)鑑'!$E$6,OFFSET('(2)出場選手'!$B$2,$A390,J$1)))</f>
        <v/>
      </c>
      <c r="K390" s="26" t="str">
        <f ca="1">IF($D390="","",TRIM(ASC(IF(OFFSET('(2)出場選手'!$B$2,$A390,K$1)="",'(1)鑑'!$E$7,OFFSET('(2)出場選手'!$B$2,$A390,K$1)))))</f>
        <v/>
      </c>
      <c r="L390" s="26" t="str">
        <f ca="1">IF($D390="","",SUBSTITUTE(SUBSTITUTE(SUBSTITUTE(IF(OFFSET('(2)出場選手'!$B$2,$A390,L$1)="",'(1)鑑'!$E$8,OFFSET('(2)出場選手'!$B$2,$A390,L$1)),"県",""),"府",""),"東京都","東京"))</f>
        <v/>
      </c>
      <c r="M390" s="57" t="str">
        <f ca="1">IF($D390="","",IF(OFFSET('(2)出場選手'!$B$2,$A390,M$1)="","",OFFSET('(2)出場選手'!$B$2,$A390,M$1)))</f>
        <v/>
      </c>
      <c r="N390" s="26" t="str">
        <f ca="1">IF($D390="","",OFFSET('(2)出場選手'!$B$2,$A390,N$1+3*$B390))</f>
        <v/>
      </c>
      <c r="O390" s="26" t="str">
        <f ca="1">IF($D390="","",IF(OFFSET('(2)出場選手'!$B$2,$A390,O$1+3*$B390)="","",OFFSET('(2)出場選手'!$B$2,$A390,O$1+3*$B390)))</f>
        <v/>
      </c>
      <c r="P390" s="26" t="str">
        <f ca="1">IF($D390="","",IF(OFFSET('(2)出場選手'!$B$2,$A390,P$1+3*$B390)="","",OFFSET('(2)出場選手'!$B$2,$A390,P$1+3*$B390)))</f>
        <v/>
      </c>
      <c r="Q390" s="43" t="str">
        <f ca="1">IF(D390="","",VLOOKUP(N390,OFFSET(Competition_Events,0,1),11,FALSE)*IF($S390="リレー",IF(COUNTIF($T$3:$T390,$T390)&gt;1,0,1),1))</f>
        <v/>
      </c>
      <c r="R390" s="26" t="str">
        <f t="shared" ca="1" si="20"/>
        <v/>
      </c>
      <c r="S390" s="26" t="str">
        <f t="shared" ca="1" si="21"/>
        <v/>
      </c>
      <c r="T390" s="26" t="str">
        <f t="shared" ca="1" si="22"/>
        <v/>
      </c>
      <c r="U390" s="26" t="str">
        <f t="shared" ca="1" si="29"/>
        <v/>
      </c>
      <c r="W390" s="17" t="str">
        <f ca="1">IF($D390="","",OFFSET('(2)出場選手'!$B$2,$A390,W$1))</f>
        <v/>
      </c>
      <c r="X390" s="17" t="str">
        <f ca="1">IF($D390="","",OFFSET('(2)出場選手'!$B$2,$A390,X$1))</f>
        <v/>
      </c>
      <c r="Y390" s="17" t="str">
        <f ca="1">IF($D390="","",OFFSET('(2)出場選手'!$B$2,$A390,Y$1))</f>
        <v/>
      </c>
      <c r="Z390" s="17" t="str">
        <f ca="1">IF($D390="","",OFFSET('(2)出場選手'!$B$2,$A390,Z$1))</f>
        <v/>
      </c>
    </row>
    <row r="391" spans="1:26" x14ac:dyDescent="0.15">
      <c r="A391" s="17">
        <f>TRUNC((ROWS($D$3:D391)-2)/Max_Entry_Count)+1</f>
        <v>130</v>
      </c>
      <c r="B391" s="17" t="str">
        <f ca="1">IF($A391&gt;=ROWS(Entries)-2,"",IF(OFFSET('(2)出場選手'!$B$2,$A391,B$1+3*(MOD(ROWS($D$3:D391)-2,Max_Entry_Count)))="","",MOD(ROWS($D$3:D391)-2,Max_Entry_Count)))</f>
        <v/>
      </c>
      <c r="D391" s="26" t="str">
        <f ca="1">IF(OR($A391&gt;=ROWS(Entries)-2,$B391=""),"",'(1)鑑'!$E$6&amp;"-"&amp;OFFSET('(2)出場選手'!$B$2,$A391,D$1))</f>
        <v/>
      </c>
      <c r="E391" s="26" t="str">
        <f ca="1">IF($D391="","",OFFSET('(2)出場選手'!$B$2,$A391,E$1))</f>
        <v/>
      </c>
      <c r="F391" s="26" t="str">
        <f ca="1">IF($D391="","",IF(OFFSET('(2)出場選手'!$B$2,$A391,F$1)="","",OFFSET('(2)出場選手'!$B$2,$A391,F$1)))</f>
        <v/>
      </c>
      <c r="G391" s="26" t="str">
        <f t="shared" ca="1" si="18"/>
        <v/>
      </c>
      <c r="H391" s="26" t="str">
        <f t="shared" ca="1" si="30"/>
        <v/>
      </c>
      <c r="I391" s="26" t="str">
        <f ca="1">IF($D391="","",IF(OFFSET('(2)出場選手'!$B$2,$A391,I$1)="","",OFFSET('(2)出場選手'!$B$2,$A391,I$1)))</f>
        <v/>
      </c>
      <c r="J391" s="26" t="str">
        <f ca="1">IF($D391="","",IF(OFFSET('(2)出場選手'!$B$2,$A391,J$1)="",'(1)鑑'!$E$6,OFFSET('(2)出場選手'!$B$2,$A391,J$1)))</f>
        <v/>
      </c>
      <c r="K391" s="26" t="str">
        <f ca="1">IF($D391="","",TRIM(ASC(IF(OFFSET('(2)出場選手'!$B$2,$A391,K$1)="",'(1)鑑'!$E$7,OFFSET('(2)出場選手'!$B$2,$A391,K$1)))))</f>
        <v/>
      </c>
      <c r="L391" s="26" t="str">
        <f ca="1">IF($D391="","",SUBSTITUTE(SUBSTITUTE(SUBSTITUTE(IF(OFFSET('(2)出場選手'!$B$2,$A391,L$1)="",'(1)鑑'!$E$8,OFFSET('(2)出場選手'!$B$2,$A391,L$1)),"県",""),"府",""),"東京都","東京"))</f>
        <v/>
      </c>
      <c r="M391" s="57" t="str">
        <f ca="1">IF($D391="","",IF(OFFSET('(2)出場選手'!$B$2,$A391,M$1)="","",OFFSET('(2)出場選手'!$B$2,$A391,M$1)))</f>
        <v/>
      </c>
      <c r="N391" s="26" t="str">
        <f ca="1">IF($D391="","",OFFSET('(2)出場選手'!$B$2,$A391,N$1+3*$B391))</f>
        <v/>
      </c>
      <c r="O391" s="26" t="str">
        <f ca="1">IF($D391="","",IF(OFFSET('(2)出場選手'!$B$2,$A391,O$1+3*$B391)="","",OFFSET('(2)出場選手'!$B$2,$A391,O$1+3*$B391)))</f>
        <v/>
      </c>
      <c r="P391" s="26" t="str">
        <f ca="1">IF($D391="","",IF(OFFSET('(2)出場選手'!$B$2,$A391,P$1+3*$B391)="","",OFFSET('(2)出場選手'!$B$2,$A391,P$1+3*$B391)))</f>
        <v/>
      </c>
      <c r="Q391" s="43" t="str">
        <f ca="1">IF(D391="","",VLOOKUP(N391,OFFSET(Competition_Events,0,1),11,FALSE)*IF($S391="リレー",IF(COUNTIF($T$3:$T391,$T391)&gt;1,0,1),1))</f>
        <v/>
      </c>
      <c r="R391" s="26" t="str">
        <f t="shared" ca="1" si="20"/>
        <v/>
      </c>
      <c r="S391" s="26" t="str">
        <f t="shared" ca="1" si="21"/>
        <v/>
      </c>
      <c r="T391" s="26" t="str">
        <f t="shared" ca="1" si="22"/>
        <v/>
      </c>
      <c r="U391" s="26" t="str">
        <f t="shared" ca="1" si="29"/>
        <v/>
      </c>
      <c r="W391" s="17" t="str">
        <f ca="1">IF($D391="","",OFFSET('(2)出場選手'!$B$2,$A391,W$1))</f>
        <v/>
      </c>
      <c r="X391" s="17" t="str">
        <f ca="1">IF($D391="","",OFFSET('(2)出場選手'!$B$2,$A391,X$1))</f>
        <v/>
      </c>
      <c r="Y391" s="17" t="str">
        <f ca="1">IF($D391="","",OFFSET('(2)出場選手'!$B$2,$A391,Y$1))</f>
        <v/>
      </c>
      <c r="Z391" s="17" t="str">
        <f ca="1">IF($D391="","",OFFSET('(2)出場選手'!$B$2,$A391,Z$1))</f>
        <v/>
      </c>
    </row>
    <row r="392" spans="1:26" x14ac:dyDescent="0.15">
      <c r="A392" s="17">
        <f>TRUNC((ROWS($D$3:D392)-2)/Max_Entry_Count)+1</f>
        <v>130</v>
      </c>
      <c r="B392" s="17" t="str">
        <f ca="1">IF($A392&gt;=ROWS(Entries)-2,"",IF(OFFSET('(2)出場選手'!$B$2,$A392,B$1+3*(MOD(ROWS($D$3:D392)-2,Max_Entry_Count)))="","",MOD(ROWS($D$3:D392)-2,Max_Entry_Count)))</f>
        <v/>
      </c>
      <c r="D392" s="26" t="str">
        <f ca="1">IF(OR($A392&gt;=ROWS(Entries)-2,$B392=""),"",'(1)鑑'!$E$6&amp;"-"&amp;OFFSET('(2)出場選手'!$B$2,$A392,D$1))</f>
        <v/>
      </c>
      <c r="E392" s="26" t="str">
        <f ca="1">IF($D392="","",OFFSET('(2)出場選手'!$B$2,$A392,E$1))</f>
        <v/>
      </c>
      <c r="F392" s="26" t="str">
        <f ca="1">IF($D392="","",IF(OFFSET('(2)出場選手'!$B$2,$A392,F$1)="","",OFFSET('(2)出場選手'!$B$2,$A392,F$1)))</f>
        <v/>
      </c>
      <c r="G392" s="26" t="str">
        <f t="shared" ca="1" si="18"/>
        <v/>
      </c>
      <c r="H392" s="26" t="str">
        <f t="shared" ca="1" si="30"/>
        <v/>
      </c>
      <c r="I392" s="26" t="str">
        <f ca="1">IF($D392="","",IF(OFFSET('(2)出場選手'!$B$2,$A392,I$1)="","",OFFSET('(2)出場選手'!$B$2,$A392,I$1)))</f>
        <v/>
      </c>
      <c r="J392" s="26" t="str">
        <f ca="1">IF($D392="","",IF(OFFSET('(2)出場選手'!$B$2,$A392,J$1)="",'(1)鑑'!$E$6,OFFSET('(2)出場選手'!$B$2,$A392,J$1)))</f>
        <v/>
      </c>
      <c r="K392" s="26" t="str">
        <f ca="1">IF($D392="","",TRIM(ASC(IF(OFFSET('(2)出場選手'!$B$2,$A392,K$1)="",'(1)鑑'!$E$7,OFFSET('(2)出場選手'!$B$2,$A392,K$1)))))</f>
        <v/>
      </c>
      <c r="L392" s="26" t="str">
        <f ca="1">IF($D392="","",SUBSTITUTE(SUBSTITUTE(SUBSTITUTE(IF(OFFSET('(2)出場選手'!$B$2,$A392,L$1)="",'(1)鑑'!$E$8,OFFSET('(2)出場選手'!$B$2,$A392,L$1)),"県",""),"府",""),"東京都","東京"))</f>
        <v/>
      </c>
      <c r="M392" s="57" t="str">
        <f ca="1">IF($D392="","",IF(OFFSET('(2)出場選手'!$B$2,$A392,M$1)="","",OFFSET('(2)出場選手'!$B$2,$A392,M$1)))</f>
        <v/>
      </c>
      <c r="N392" s="26" t="str">
        <f ca="1">IF($D392="","",OFFSET('(2)出場選手'!$B$2,$A392,N$1+3*$B392))</f>
        <v/>
      </c>
      <c r="O392" s="26" t="str">
        <f ca="1">IF($D392="","",IF(OFFSET('(2)出場選手'!$B$2,$A392,O$1+3*$B392)="","",OFFSET('(2)出場選手'!$B$2,$A392,O$1+3*$B392)))</f>
        <v/>
      </c>
      <c r="P392" s="26" t="str">
        <f ca="1">IF($D392="","",IF(OFFSET('(2)出場選手'!$B$2,$A392,P$1+3*$B392)="","",OFFSET('(2)出場選手'!$B$2,$A392,P$1+3*$B392)))</f>
        <v/>
      </c>
      <c r="Q392" s="43" t="str">
        <f ca="1">IF(D392="","",VLOOKUP(N392,OFFSET(Competition_Events,0,1),11,FALSE)*IF($S392="リレー",IF(COUNTIF($T$3:$T392,$T392)&gt;1,0,1),1))</f>
        <v/>
      </c>
      <c r="R392" s="26" t="str">
        <f t="shared" ca="1" si="20"/>
        <v/>
      </c>
      <c r="S392" s="26" t="str">
        <f t="shared" ca="1" si="21"/>
        <v/>
      </c>
      <c r="T392" s="26" t="str">
        <f t="shared" ca="1" si="22"/>
        <v/>
      </c>
      <c r="U392" s="26" t="str">
        <f t="shared" ca="1" si="29"/>
        <v/>
      </c>
      <c r="W392" s="17" t="str">
        <f ca="1">IF($D392="","",OFFSET('(2)出場選手'!$B$2,$A392,W$1))</f>
        <v/>
      </c>
      <c r="X392" s="17" t="str">
        <f ca="1">IF($D392="","",OFFSET('(2)出場選手'!$B$2,$A392,X$1))</f>
        <v/>
      </c>
      <c r="Y392" s="17" t="str">
        <f ca="1">IF($D392="","",OFFSET('(2)出場選手'!$B$2,$A392,Y$1))</f>
        <v/>
      </c>
      <c r="Z392" s="17" t="str">
        <f ca="1">IF($D392="","",OFFSET('(2)出場選手'!$B$2,$A392,Z$1))</f>
        <v/>
      </c>
    </row>
    <row r="393" spans="1:26" x14ac:dyDescent="0.15">
      <c r="A393" s="17">
        <f>TRUNC((ROWS($D$3:D393)-2)/Max_Entry_Count)+1</f>
        <v>130</v>
      </c>
      <c r="B393" s="17" t="str">
        <f ca="1">IF($A393&gt;=ROWS(Entries)-2,"",IF(OFFSET('(2)出場選手'!$B$2,$A393,B$1+3*(MOD(ROWS($D$3:D393)-2,Max_Entry_Count)))="","",MOD(ROWS($D$3:D393)-2,Max_Entry_Count)))</f>
        <v/>
      </c>
      <c r="D393" s="26" t="str">
        <f ca="1">IF(OR($A393&gt;=ROWS(Entries)-2,$B393=""),"",'(1)鑑'!$E$6&amp;"-"&amp;OFFSET('(2)出場選手'!$B$2,$A393,D$1))</f>
        <v/>
      </c>
      <c r="E393" s="26" t="str">
        <f ca="1">IF($D393="","",OFFSET('(2)出場選手'!$B$2,$A393,E$1))</f>
        <v/>
      </c>
      <c r="F393" s="26" t="str">
        <f ca="1">IF($D393="","",IF(OFFSET('(2)出場選手'!$B$2,$A393,F$1)="","",OFFSET('(2)出場選手'!$B$2,$A393,F$1)))</f>
        <v/>
      </c>
      <c r="G393" s="26" t="str">
        <f t="shared" ca="1" si="18"/>
        <v/>
      </c>
      <c r="H393" s="26" t="str">
        <f t="shared" ca="1" si="30"/>
        <v/>
      </c>
      <c r="I393" s="26" t="str">
        <f ca="1">IF($D393="","",IF(OFFSET('(2)出場選手'!$B$2,$A393,I$1)="","",OFFSET('(2)出場選手'!$B$2,$A393,I$1)))</f>
        <v/>
      </c>
      <c r="J393" s="26" t="str">
        <f ca="1">IF($D393="","",IF(OFFSET('(2)出場選手'!$B$2,$A393,J$1)="",'(1)鑑'!$E$6,OFFSET('(2)出場選手'!$B$2,$A393,J$1)))</f>
        <v/>
      </c>
      <c r="K393" s="26" t="str">
        <f ca="1">IF($D393="","",TRIM(ASC(IF(OFFSET('(2)出場選手'!$B$2,$A393,K$1)="",'(1)鑑'!$E$7,OFFSET('(2)出場選手'!$B$2,$A393,K$1)))))</f>
        <v/>
      </c>
      <c r="L393" s="26" t="str">
        <f ca="1">IF($D393="","",SUBSTITUTE(SUBSTITUTE(SUBSTITUTE(IF(OFFSET('(2)出場選手'!$B$2,$A393,L$1)="",'(1)鑑'!$E$8,OFFSET('(2)出場選手'!$B$2,$A393,L$1)),"県",""),"府",""),"東京都","東京"))</f>
        <v/>
      </c>
      <c r="M393" s="57" t="str">
        <f ca="1">IF($D393="","",IF(OFFSET('(2)出場選手'!$B$2,$A393,M$1)="","",OFFSET('(2)出場選手'!$B$2,$A393,M$1)))</f>
        <v/>
      </c>
      <c r="N393" s="26" t="str">
        <f ca="1">IF($D393="","",OFFSET('(2)出場選手'!$B$2,$A393,N$1+3*$B393))</f>
        <v/>
      </c>
      <c r="O393" s="26" t="str">
        <f ca="1">IF($D393="","",IF(OFFSET('(2)出場選手'!$B$2,$A393,O$1+3*$B393)="","",OFFSET('(2)出場選手'!$B$2,$A393,O$1+3*$B393)))</f>
        <v/>
      </c>
      <c r="P393" s="26" t="str">
        <f ca="1">IF($D393="","",IF(OFFSET('(2)出場選手'!$B$2,$A393,P$1+3*$B393)="","",OFFSET('(2)出場選手'!$B$2,$A393,P$1+3*$B393)))</f>
        <v/>
      </c>
      <c r="Q393" s="43" t="str">
        <f ca="1">IF(D393="","",VLOOKUP(N393,OFFSET(Competition_Events,0,1),11,FALSE)*IF($S393="リレー",IF(COUNTIF($T$3:$T393,$T393)&gt;1,0,1),1))</f>
        <v/>
      </c>
      <c r="R393" s="26" t="str">
        <f t="shared" ca="1" si="20"/>
        <v/>
      </c>
      <c r="S393" s="26" t="str">
        <f t="shared" ca="1" si="21"/>
        <v/>
      </c>
      <c r="T393" s="26" t="str">
        <f t="shared" ca="1" si="22"/>
        <v/>
      </c>
      <c r="U393" s="26" t="str">
        <f t="shared" ca="1" si="29"/>
        <v/>
      </c>
      <c r="W393" s="17" t="str">
        <f ca="1">IF($D393="","",OFFSET('(2)出場選手'!$B$2,$A393,W$1))</f>
        <v/>
      </c>
      <c r="X393" s="17" t="str">
        <f ca="1">IF($D393="","",OFFSET('(2)出場選手'!$B$2,$A393,X$1))</f>
        <v/>
      </c>
      <c r="Y393" s="17" t="str">
        <f ca="1">IF($D393="","",OFFSET('(2)出場選手'!$B$2,$A393,Y$1))</f>
        <v/>
      </c>
      <c r="Z393" s="17" t="str">
        <f ca="1">IF($D393="","",OFFSET('(2)出場選手'!$B$2,$A393,Z$1))</f>
        <v/>
      </c>
    </row>
    <row r="394" spans="1:26" x14ac:dyDescent="0.15">
      <c r="A394" s="17">
        <f>TRUNC((ROWS($D$3:D394)-2)/Max_Entry_Count)+1</f>
        <v>131</v>
      </c>
      <c r="B394" s="17" t="str">
        <f ca="1">IF($A394&gt;=ROWS(Entries)-2,"",IF(OFFSET('(2)出場選手'!$B$2,$A394,B$1+3*(MOD(ROWS($D$3:D394)-2,Max_Entry_Count)))="","",MOD(ROWS($D$3:D394)-2,Max_Entry_Count)))</f>
        <v/>
      </c>
      <c r="D394" s="26" t="str">
        <f ca="1">IF(OR($A394&gt;=ROWS(Entries)-2,$B394=""),"",'(1)鑑'!$E$6&amp;"-"&amp;OFFSET('(2)出場選手'!$B$2,$A394,D$1))</f>
        <v/>
      </c>
      <c r="E394" s="26" t="str">
        <f ca="1">IF($D394="","",OFFSET('(2)出場選手'!$B$2,$A394,E$1))</f>
        <v/>
      </c>
      <c r="F394" s="26" t="str">
        <f ca="1">IF($D394="","",IF(OFFSET('(2)出場選手'!$B$2,$A394,F$1)="","",OFFSET('(2)出場選手'!$B$2,$A394,F$1)))</f>
        <v/>
      </c>
      <c r="G394" s="26" t="str">
        <f t="shared" ca="1" si="18"/>
        <v/>
      </c>
      <c r="H394" s="26" t="str">
        <f t="shared" ca="1" si="30"/>
        <v/>
      </c>
      <c r="I394" s="26" t="str">
        <f ca="1">IF($D394="","",IF(OFFSET('(2)出場選手'!$B$2,$A394,I$1)="","",OFFSET('(2)出場選手'!$B$2,$A394,I$1)))</f>
        <v/>
      </c>
      <c r="J394" s="26" t="str">
        <f ca="1">IF($D394="","",IF(OFFSET('(2)出場選手'!$B$2,$A394,J$1)="",'(1)鑑'!$E$6,OFFSET('(2)出場選手'!$B$2,$A394,J$1)))</f>
        <v/>
      </c>
      <c r="K394" s="26" t="str">
        <f ca="1">IF($D394="","",TRIM(ASC(IF(OFFSET('(2)出場選手'!$B$2,$A394,K$1)="",'(1)鑑'!$E$7,OFFSET('(2)出場選手'!$B$2,$A394,K$1)))))</f>
        <v/>
      </c>
      <c r="L394" s="26" t="str">
        <f ca="1">IF($D394="","",SUBSTITUTE(SUBSTITUTE(SUBSTITUTE(IF(OFFSET('(2)出場選手'!$B$2,$A394,L$1)="",'(1)鑑'!$E$8,OFFSET('(2)出場選手'!$B$2,$A394,L$1)),"県",""),"府",""),"東京都","東京"))</f>
        <v/>
      </c>
      <c r="M394" s="57" t="str">
        <f ca="1">IF($D394="","",IF(OFFSET('(2)出場選手'!$B$2,$A394,M$1)="","",OFFSET('(2)出場選手'!$B$2,$A394,M$1)))</f>
        <v/>
      </c>
      <c r="N394" s="26" t="str">
        <f ca="1">IF($D394="","",OFFSET('(2)出場選手'!$B$2,$A394,N$1+3*$B394))</f>
        <v/>
      </c>
      <c r="O394" s="26" t="str">
        <f ca="1">IF($D394="","",IF(OFFSET('(2)出場選手'!$B$2,$A394,O$1+3*$B394)="","",OFFSET('(2)出場選手'!$B$2,$A394,O$1+3*$B394)))</f>
        <v/>
      </c>
      <c r="P394" s="26" t="str">
        <f ca="1">IF($D394="","",IF(OFFSET('(2)出場選手'!$B$2,$A394,P$1+3*$B394)="","",OFFSET('(2)出場選手'!$B$2,$A394,P$1+3*$B394)))</f>
        <v/>
      </c>
      <c r="Q394" s="43" t="str">
        <f ca="1">IF(D394="","",VLOOKUP(N394,OFFSET(Competition_Events,0,1),11,FALSE)*IF($S394="リレー",IF(COUNTIF($T$3:$T394,$T394)&gt;1,0,1),1))</f>
        <v/>
      </c>
      <c r="R394" s="26" t="str">
        <f t="shared" ca="1" si="20"/>
        <v/>
      </c>
      <c r="S394" s="26" t="str">
        <f t="shared" ca="1" si="21"/>
        <v/>
      </c>
      <c r="T394" s="26" t="str">
        <f t="shared" ca="1" si="22"/>
        <v/>
      </c>
      <c r="U394" s="26" t="str">
        <f t="shared" ca="1" si="29"/>
        <v/>
      </c>
      <c r="W394" s="17" t="str">
        <f ca="1">IF($D394="","",OFFSET('(2)出場選手'!$B$2,$A394,W$1))</f>
        <v/>
      </c>
      <c r="X394" s="17" t="str">
        <f ca="1">IF($D394="","",OFFSET('(2)出場選手'!$B$2,$A394,X$1))</f>
        <v/>
      </c>
      <c r="Y394" s="17" t="str">
        <f ca="1">IF($D394="","",OFFSET('(2)出場選手'!$B$2,$A394,Y$1))</f>
        <v/>
      </c>
      <c r="Z394" s="17" t="str">
        <f ca="1">IF($D394="","",OFFSET('(2)出場選手'!$B$2,$A394,Z$1))</f>
        <v/>
      </c>
    </row>
    <row r="395" spans="1:26" x14ac:dyDescent="0.15">
      <c r="A395" s="17">
        <f>TRUNC((ROWS($D$3:D395)-2)/Max_Entry_Count)+1</f>
        <v>131</v>
      </c>
      <c r="B395" s="17" t="str">
        <f ca="1">IF($A395&gt;=ROWS(Entries)-2,"",IF(OFFSET('(2)出場選手'!$B$2,$A395,B$1+3*(MOD(ROWS($D$3:D395)-2,Max_Entry_Count)))="","",MOD(ROWS($D$3:D395)-2,Max_Entry_Count)))</f>
        <v/>
      </c>
      <c r="D395" s="26" t="str">
        <f ca="1">IF(OR($A395&gt;=ROWS(Entries)-2,$B395=""),"",'(1)鑑'!$E$6&amp;"-"&amp;OFFSET('(2)出場選手'!$B$2,$A395,D$1))</f>
        <v/>
      </c>
      <c r="E395" s="26" t="str">
        <f ca="1">IF($D395="","",OFFSET('(2)出場選手'!$B$2,$A395,E$1))</f>
        <v/>
      </c>
      <c r="F395" s="26" t="str">
        <f ca="1">IF($D395="","",IF(OFFSET('(2)出場選手'!$B$2,$A395,F$1)="","",OFFSET('(2)出場選手'!$B$2,$A395,F$1)))</f>
        <v/>
      </c>
      <c r="G395" s="26" t="str">
        <f t="shared" ca="1" si="18"/>
        <v/>
      </c>
      <c r="H395" s="26" t="str">
        <f t="shared" ca="1" si="30"/>
        <v/>
      </c>
      <c r="I395" s="26" t="str">
        <f ca="1">IF($D395="","",IF(OFFSET('(2)出場選手'!$B$2,$A395,I$1)="","",OFFSET('(2)出場選手'!$B$2,$A395,I$1)))</f>
        <v/>
      </c>
      <c r="J395" s="26" t="str">
        <f ca="1">IF($D395="","",IF(OFFSET('(2)出場選手'!$B$2,$A395,J$1)="",'(1)鑑'!$E$6,OFFSET('(2)出場選手'!$B$2,$A395,J$1)))</f>
        <v/>
      </c>
      <c r="K395" s="26" t="str">
        <f ca="1">IF($D395="","",TRIM(ASC(IF(OFFSET('(2)出場選手'!$B$2,$A395,K$1)="",'(1)鑑'!$E$7,OFFSET('(2)出場選手'!$B$2,$A395,K$1)))))</f>
        <v/>
      </c>
      <c r="L395" s="26" t="str">
        <f ca="1">IF($D395="","",SUBSTITUTE(SUBSTITUTE(SUBSTITUTE(IF(OFFSET('(2)出場選手'!$B$2,$A395,L$1)="",'(1)鑑'!$E$8,OFFSET('(2)出場選手'!$B$2,$A395,L$1)),"県",""),"府",""),"東京都","東京"))</f>
        <v/>
      </c>
      <c r="M395" s="57" t="str">
        <f ca="1">IF($D395="","",IF(OFFSET('(2)出場選手'!$B$2,$A395,M$1)="","",OFFSET('(2)出場選手'!$B$2,$A395,M$1)))</f>
        <v/>
      </c>
      <c r="N395" s="26" t="str">
        <f ca="1">IF($D395="","",OFFSET('(2)出場選手'!$B$2,$A395,N$1+3*$B395))</f>
        <v/>
      </c>
      <c r="O395" s="26" t="str">
        <f ca="1">IF($D395="","",IF(OFFSET('(2)出場選手'!$B$2,$A395,O$1+3*$B395)="","",OFFSET('(2)出場選手'!$B$2,$A395,O$1+3*$B395)))</f>
        <v/>
      </c>
      <c r="P395" s="26" t="str">
        <f ca="1">IF($D395="","",IF(OFFSET('(2)出場選手'!$B$2,$A395,P$1+3*$B395)="","",OFFSET('(2)出場選手'!$B$2,$A395,P$1+3*$B395)))</f>
        <v/>
      </c>
      <c r="Q395" s="43" t="str">
        <f ca="1">IF(D395="","",VLOOKUP(N395,OFFSET(Competition_Events,0,1),11,FALSE)*IF($S395="リレー",IF(COUNTIF($T$3:$T395,$T395)&gt;1,0,1),1))</f>
        <v/>
      </c>
      <c r="R395" s="26" t="str">
        <f t="shared" ca="1" si="20"/>
        <v/>
      </c>
      <c r="S395" s="26" t="str">
        <f t="shared" ca="1" si="21"/>
        <v/>
      </c>
      <c r="T395" s="26" t="str">
        <f t="shared" ca="1" si="22"/>
        <v/>
      </c>
      <c r="U395" s="26" t="str">
        <f t="shared" ca="1" si="29"/>
        <v/>
      </c>
      <c r="W395" s="17" t="str">
        <f ca="1">IF($D395="","",OFFSET('(2)出場選手'!$B$2,$A395,W$1))</f>
        <v/>
      </c>
      <c r="X395" s="17" t="str">
        <f ca="1">IF($D395="","",OFFSET('(2)出場選手'!$B$2,$A395,X$1))</f>
        <v/>
      </c>
      <c r="Y395" s="17" t="str">
        <f ca="1">IF($D395="","",OFFSET('(2)出場選手'!$B$2,$A395,Y$1))</f>
        <v/>
      </c>
      <c r="Z395" s="17" t="str">
        <f ca="1">IF($D395="","",OFFSET('(2)出場選手'!$B$2,$A395,Z$1))</f>
        <v/>
      </c>
    </row>
    <row r="396" spans="1:26" x14ac:dyDescent="0.15">
      <c r="A396" s="17">
        <f>TRUNC((ROWS($D$3:D396)-2)/Max_Entry_Count)+1</f>
        <v>131</v>
      </c>
      <c r="B396" s="17" t="str">
        <f ca="1">IF($A396&gt;=ROWS(Entries)-2,"",IF(OFFSET('(2)出場選手'!$B$2,$A396,B$1+3*(MOD(ROWS($D$3:D396)-2,Max_Entry_Count)))="","",MOD(ROWS($D$3:D396)-2,Max_Entry_Count)))</f>
        <v/>
      </c>
      <c r="D396" s="26" t="str">
        <f ca="1">IF(OR($A396&gt;=ROWS(Entries)-2,$B396=""),"",'(1)鑑'!$E$6&amp;"-"&amp;OFFSET('(2)出場選手'!$B$2,$A396,D$1))</f>
        <v/>
      </c>
      <c r="E396" s="26" t="str">
        <f ca="1">IF($D396="","",OFFSET('(2)出場選手'!$B$2,$A396,E$1))</f>
        <v/>
      </c>
      <c r="F396" s="26" t="str">
        <f ca="1">IF($D396="","",IF(OFFSET('(2)出場選手'!$B$2,$A396,F$1)="","",OFFSET('(2)出場選手'!$B$2,$A396,F$1)))</f>
        <v/>
      </c>
      <c r="G396" s="26" t="str">
        <f t="shared" ca="1" si="18"/>
        <v/>
      </c>
      <c r="H396" s="26" t="str">
        <f t="shared" ca="1" si="30"/>
        <v/>
      </c>
      <c r="I396" s="26" t="str">
        <f ca="1">IF($D396="","",IF(OFFSET('(2)出場選手'!$B$2,$A396,I$1)="","",OFFSET('(2)出場選手'!$B$2,$A396,I$1)))</f>
        <v/>
      </c>
      <c r="J396" s="26" t="str">
        <f ca="1">IF($D396="","",IF(OFFSET('(2)出場選手'!$B$2,$A396,J$1)="",'(1)鑑'!$E$6,OFFSET('(2)出場選手'!$B$2,$A396,J$1)))</f>
        <v/>
      </c>
      <c r="K396" s="26" t="str">
        <f ca="1">IF($D396="","",TRIM(ASC(IF(OFFSET('(2)出場選手'!$B$2,$A396,K$1)="",'(1)鑑'!$E$7,OFFSET('(2)出場選手'!$B$2,$A396,K$1)))))</f>
        <v/>
      </c>
      <c r="L396" s="26" t="str">
        <f ca="1">IF($D396="","",SUBSTITUTE(SUBSTITUTE(SUBSTITUTE(IF(OFFSET('(2)出場選手'!$B$2,$A396,L$1)="",'(1)鑑'!$E$8,OFFSET('(2)出場選手'!$B$2,$A396,L$1)),"県",""),"府",""),"東京都","東京"))</f>
        <v/>
      </c>
      <c r="M396" s="57" t="str">
        <f ca="1">IF($D396="","",IF(OFFSET('(2)出場選手'!$B$2,$A396,M$1)="","",OFFSET('(2)出場選手'!$B$2,$A396,M$1)))</f>
        <v/>
      </c>
      <c r="N396" s="26" t="str">
        <f ca="1">IF($D396="","",OFFSET('(2)出場選手'!$B$2,$A396,N$1+3*$B396))</f>
        <v/>
      </c>
      <c r="O396" s="26" t="str">
        <f ca="1">IF($D396="","",IF(OFFSET('(2)出場選手'!$B$2,$A396,O$1+3*$B396)="","",OFFSET('(2)出場選手'!$B$2,$A396,O$1+3*$B396)))</f>
        <v/>
      </c>
      <c r="P396" s="26" t="str">
        <f ca="1">IF($D396="","",IF(OFFSET('(2)出場選手'!$B$2,$A396,P$1+3*$B396)="","",OFFSET('(2)出場選手'!$B$2,$A396,P$1+3*$B396)))</f>
        <v/>
      </c>
      <c r="Q396" s="43" t="str">
        <f ca="1">IF(D396="","",VLOOKUP(N396,OFFSET(Competition_Events,0,1),11,FALSE)*IF($S396="リレー",IF(COUNTIF($T$3:$T396,$T396)&gt;1,0,1),1))</f>
        <v/>
      </c>
      <c r="R396" s="26" t="str">
        <f t="shared" ca="1" si="20"/>
        <v/>
      </c>
      <c r="S396" s="26" t="str">
        <f t="shared" ca="1" si="21"/>
        <v/>
      </c>
      <c r="T396" s="26" t="str">
        <f t="shared" ca="1" si="22"/>
        <v/>
      </c>
      <c r="U396" s="26" t="str">
        <f t="shared" ca="1" si="29"/>
        <v/>
      </c>
      <c r="W396" s="17" t="str">
        <f ca="1">IF($D396="","",OFFSET('(2)出場選手'!$B$2,$A396,W$1))</f>
        <v/>
      </c>
      <c r="X396" s="17" t="str">
        <f ca="1">IF($D396="","",OFFSET('(2)出場選手'!$B$2,$A396,X$1))</f>
        <v/>
      </c>
      <c r="Y396" s="17" t="str">
        <f ca="1">IF($D396="","",OFFSET('(2)出場選手'!$B$2,$A396,Y$1))</f>
        <v/>
      </c>
      <c r="Z396" s="17" t="str">
        <f ca="1">IF($D396="","",OFFSET('(2)出場選手'!$B$2,$A396,Z$1))</f>
        <v/>
      </c>
    </row>
    <row r="397" spans="1:26" x14ac:dyDescent="0.15">
      <c r="A397" s="17">
        <f>TRUNC((ROWS($D$3:D397)-2)/Max_Entry_Count)+1</f>
        <v>132</v>
      </c>
      <c r="B397" s="17" t="str">
        <f ca="1">IF($A397&gt;=ROWS(Entries)-2,"",IF(OFFSET('(2)出場選手'!$B$2,$A397,B$1+3*(MOD(ROWS($D$3:D397)-2,Max_Entry_Count)))="","",MOD(ROWS($D$3:D397)-2,Max_Entry_Count)))</f>
        <v/>
      </c>
      <c r="D397" s="26" t="str">
        <f ca="1">IF(OR($A397&gt;=ROWS(Entries)-2,$B397=""),"",'(1)鑑'!$E$6&amp;"-"&amp;OFFSET('(2)出場選手'!$B$2,$A397,D$1))</f>
        <v/>
      </c>
      <c r="E397" s="26" t="str">
        <f ca="1">IF($D397="","",OFFSET('(2)出場選手'!$B$2,$A397,E$1))</f>
        <v/>
      </c>
      <c r="F397" s="26" t="str">
        <f ca="1">IF($D397="","",IF(OFFSET('(2)出場選手'!$B$2,$A397,F$1)="","",OFFSET('(2)出場選手'!$B$2,$A397,F$1)))</f>
        <v/>
      </c>
      <c r="G397" s="26" t="str">
        <f t="shared" ca="1" si="18"/>
        <v/>
      </c>
      <c r="H397" s="26" t="str">
        <f t="shared" ca="1" si="30"/>
        <v/>
      </c>
      <c r="I397" s="26" t="str">
        <f ca="1">IF($D397="","",IF(OFFSET('(2)出場選手'!$B$2,$A397,I$1)="","",OFFSET('(2)出場選手'!$B$2,$A397,I$1)))</f>
        <v/>
      </c>
      <c r="J397" s="26" t="str">
        <f ca="1">IF($D397="","",IF(OFFSET('(2)出場選手'!$B$2,$A397,J$1)="",'(1)鑑'!$E$6,OFFSET('(2)出場選手'!$B$2,$A397,J$1)))</f>
        <v/>
      </c>
      <c r="K397" s="26" t="str">
        <f ca="1">IF($D397="","",TRIM(ASC(IF(OFFSET('(2)出場選手'!$B$2,$A397,K$1)="",'(1)鑑'!$E$7,OFFSET('(2)出場選手'!$B$2,$A397,K$1)))))</f>
        <v/>
      </c>
      <c r="L397" s="26" t="str">
        <f ca="1">IF($D397="","",SUBSTITUTE(SUBSTITUTE(SUBSTITUTE(IF(OFFSET('(2)出場選手'!$B$2,$A397,L$1)="",'(1)鑑'!$E$8,OFFSET('(2)出場選手'!$B$2,$A397,L$1)),"県",""),"府",""),"東京都","東京"))</f>
        <v/>
      </c>
      <c r="M397" s="57" t="str">
        <f ca="1">IF($D397="","",IF(OFFSET('(2)出場選手'!$B$2,$A397,M$1)="","",OFFSET('(2)出場選手'!$B$2,$A397,M$1)))</f>
        <v/>
      </c>
      <c r="N397" s="26" t="str">
        <f ca="1">IF($D397="","",OFFSET('(2)出場選手'!$B$2,$A397,N$1+3*$B397))</f>
        <v/>
      </c>
      <c r="O397" s="26" t="str">
        <f ca="1">IF($D397="","",IF(OFFSET('(2)出場選手'!$B$2,$A397,O$1+3*$B397)="","",OFFSET('(2)出場選手'!$B$2,$A397,O$1+3*$B397)))</f>
        <v/>
      </c>
      <c r="P397" s="26" t="str">
        <f ca="1">IF($D397="","",IF(OFFSET('(2)出場選手'!$B$2,$A397,P$1+3*$B397)="","",OFFSET('(2)出場選手'!$B$2,$A397,P$1+3*$B397)))</f>
        <v/>
      </c>
      <c r="Q397" s="43" t="str">
        <f ca="1">IF(D397="","",VLOOKUP(N397,OFFSET(Competition_Events,0,1),11,FALSE)*IF($S397="リレー",IF(COUNTIF($T$3:$T397,$T397)&gt;1,0,1),1))</f>
        <v/>
      </c>
      <c r="R397" s="26" t="str">
        <f t="shared" ca="1" si="20"/>
        <v/>
      </c>
      <c r="S397" s="26" t="str">
        <f t="shared" ca="1" si="21"/>
        <v/>
      </c>
      <c r="T397" s="26" t="str">
        <f t="shared" ca="1" si="22"/>
        <v/>
      </c>
      <c r="U397" s="26" t="str">
        <f t="shared" ca="1" si="29"/>
        <v/>
      </c>
      <c r="W397" s="17" t="str">
        <f ca="1">IF($D397="","",OFFSET('(2)出場選手'!$B$2,$A397,W$1))</f>
        <v/>
      </c>
      <c r="X397" s="17" t="str">
        <f ca="1">IF($D397="","",OFFSET('(2)出場選手'!$B$2,$A397,X$1))</f>
        <v/>
      </c>
      <c r="Y397" s="17" t="str">
        <f ca="1">IF($D397="","",OFFSET('(2)出場選手'!$B$2,$A397,Y$1))</f>
        <v/>
      </c>
      <c r="Z397" s="17" t="str">
        <f ca="1">IF($D397="","",OFFSET('(2)出場選手'!$B$2,$A397,Z$1))</f>
        <v/>
      </c>
    </row>
    <row r="398" spans="1:26" x14ac:dyDescent="0.15">
      <c r="A398" s="17">
        <f>TRUNC((ROWS($D$3:D398)-2)/Max_Entry_Count)+1</f>
        <v>132</v>
      </c>
      <c r="B398" s="17" t="str">
        <f ca="1">IF($A398&gt;=ROWS(Entries)-2,"",IF(OFFSET('(2)出場選手'!$B$2,$A398,B$1+3*(MOD(ROWS($D$3:D398)-2,Max_Entry_Count)))="","",MOD(ROWS($D$3:D398)-2,Max_Entry_Count)))</f>
        <v/>
      </c>
      <c r="D398" s="26" t="str">
        <f ca="1">IF(OR($A398&gt;=ROWS(Entries)-2,$B398=""),"",'(1)鑑'!$E$6&amp;"-"&amp;OFFSET('(2)出場選手'!$B$2,$A398,D$1))</f>
        <v/>
      </c>
      <c r="E398" s="26" t="str">
        <f ca="1">IF($D398="","",OFFSET('(2)出場選手'!$B$2,$A398,E$1))</f>
        <v/>
      </c>
      <c r="F398" s="26" t="str">
        <f ca="1">IF($D398="","",IF(OFFSET('(2)出場選手'!$B$2,$A398,F$1)="","",OFFSET('(2)出場選手'!$B$2,$A398,F$1)))</f>
        <v/>
      </c>
      <c r="G398" s="26" t="str">
        <f t="shared" ca="1" si="18"/>
        <v/>
      </c>
      <c r="H398" s="26" t="str">
        <f t="shared" ca="1" si="30"/>
        <v/>
      </c>
      <c r="I398" s="26" t="str">
        <f ca="1">IF($D398="","",IF(OFFSET('(2)出場選手'!$B$2,$A398,I$1)="","",OFFSET('(2)出場選手'!$B$2,$A398,I$1)))</f>
        <v/>
      </c>
      <c r="J398" s="26" t="str">
        <f ca="1">IF($D398="","",IF(OFFSET('(2)出場選手'!$B$2,$A398,J$1)="",'(1)鑑'!$E$6,OFFSET('(2)出場選手'!$B$2,$A398,J$1)))</f>
        <v/>
      </c>
      <c r="K398" s="26" t="str">
        <f ca="1">IF($D398="","",TRIM(ASC(IF(OFFSET('(2)出場選手'!$B$2,$A398,K$1)="",'(1)鑑'!$E$7,OFFSET('(2)出場選手'!$B$2,$A398,K$1)))))</f>
        <v/>
      </c>
      <c r="L398" s="26" t="str">
        <f ca="1">IF($D398="","",SUBSTITUTE(SUBSTITUTE(SUBSTITUTE(IF(OFFSET('(2)出場選手'!$B$2,$A398,L$1)="",'(1)鑑'!$E$8,OFFSET('(2)出場選手'!$B$2,$A398,L$1)),"県",""),"府",""),"東京都","東京"))</f>
        <v/>
      </c>
      <c r="M398" s="57" t="str">
        <f ca="1">IF($D398="","",IF(OFFSET('(2)出場選手'!$B$2,$A398,M$1)="","",OFFSET('(2)出場選手'!$B$2,$A398,M$1)))</f>
        <v/>
      </c>
      <c r="N398" s="26" t="str">
        <f ca="1">IF($D398="","",OFFSET('(2)出場選手'!$B$2,$A398,N$1+3*$B398))</f>
        <v/>
      </c>
      <c r="O398" s="26" t="str">
        <f ca="1">IF($D398="","",IF(OFFSET('(2)出場選手'!$B$2,$A398,O$1+3*$B398)="","",OFFSET('(2)出場選手'!$B$2,$A398,O$1+3*$B398)))</f>
        <v/>
      </c>
      <c r="P398" s="26" t="str">
        <f ca="1">IF($D398="","",IF(OFFSET('(2)出場選手'!$B$2,$A398,P$1+3*$B398)="","",OFFSET('(2)出場選手'!$B$2,$A398,P$1+3*$B398)))</f>
        <v/>
      </c>
      <c r="Q398" s="43" t="str">
        <f ca="1">IF(D398="","",VLOOKUP(N398,OFFSET(Competition_Events,0,1),11,FALSE)*IF($S398="リレー",IF(COUNTIF($T$3:$T398,$T398)&gt;1,0,1),1))</f>
        <v/>
      </c>
      <c r="R398" s="26" t="str">
        <f t="shared" ca="1" si="20"/>
        <v/>
      </c>
      <c r="S398" s="26" t="str">
        <f t="shared" ca="1" si="21"/>
        <v/>
      </c>
      <c r="T398" s="26" t="str">
        <f t="shared" ca="1" si="22"/>
        <v/>
      </c>
      <c r="U398" s="26" t="str">
        <f t="shared" ca="1" si="29"/>
        <v/>
      </c>
      <c r="W398" s="17" t="str">
        <f ca="1">IF($D398="","",OFFSET('(2)出場選手'!$B$2,$A398,W$1))</f>
        <v/>
      </c>
      <c r="X398" s="17" t="str">
        <f ca="1">IF($D398="","",OFFSET('(2)出場選手'!$B$2,$A398,X$1))</f>
        <v/>
      </c>
      <c r="Y398" s="17" t="str">
        <f ca="1">IF($D398="","",OFFSET('(2)出場選手'!$B$2,$A398,Y$1))</f>
        <v/>
      </c>
      <c r="Z398" s="17" t="str">
        <f ca="1">IF($D398="","",OFFSET('(2)出場選手'!$B$2,$A398,Z$1))</f>
        <v/>
      </c>
    </row>
    <row r="399" spans="1:26" x14ac:dyDescent="0.15">
      <c r="A399" s="17">
        <f>TRUNC((ROWS($D$3:D399)-2)/Max_Entry_Count)+1</f>
        <v>132</v>
      </c>
      <c r="B399" s="17" t="str">
        <f ca="1">IF($A399&gt;=ROWS(Entries)-2,"",IF(OFFSET('(2)出場選手'!$B$2,$A399,B$1+3*(MOD(ROWS($D$3:D399)-2,Max_Entry_Count)))="","",MOD(ROWS($D$3:D399)-2,Max_Entry_Count)))</f>
        <v/>
      </c>
      <c r="D399" s="26" t="str">
        <f ca="1">IF(OR($A399&gt;=ROWS(Entries)-2,$B399=""),"",'(1)鑑'!$E$6&amp;"-"&amp;OFFSET('(2)出場選手'!$B$2,$A399,D$1))</f>
        <v/>
      </c>
      <c r="E399" s="26" t="str">
        <f ca="1">IF($D399="","",OFFSET('(2)出場選手'!$B$2,$A399,E$1))</f>
        <v/>
      </c>
      <c r="F399" s="26" t="str">
        <f ca="1">IF($D399="","",IF(OFFSET('(2)出場選手'!$B$2,$A399,F$1)="","",OFFSET('(2)出場選手'!$B$2,$A399,F$1)))</f>
        <v/>
      </c>
      <c r="G399" s="26" t="str">
        <f t="shared" ca="1" si="18"/>
        <v/>
      </c>
      <c r="H399" s="26" t="str">
        <f t="shared" ca="1" si="30"/>
        <v/>
      </c>
      <c r="I399" s="26" t="str">
        <f ca="1">IF($D399="","",IF(OFFSET('(2)出場選手'!$B$2,$A399,I$1)="","",OFFSET('(2)出場選手'!$B$2,$A399,I$1)))</f>
        <v/>
      </c>
      <c r="J399" s="26" t="str">
        <f ca="1">IF($D399="","",IF(OFFSET('(2)出場選手'!$B$2,$A399,J$1)="",'(1)鑑'!$E$6,OFFSET('(2)出場選手'!$B$2,$A399,J$1)))</f>
        <v/>
      </c>
      <c r="K399" s="26" t="str">
        <f ca="1">IF($D399="","",TRIM(ASC(IF(OFFSET('(2)出場選手'!$B$2,$A399,K$1)="",'(1)鑑'!$E$7,OFFSET('(2)出場選手'!$B$2,$A399,K$1)))))</f>
        <v/>
      </c>
      <c r="L399" s="26" t="str">
        <f ca="1">IF($D399="","",SUBSTITUTE(SUBSTITUTE(SUBSTITUTE(IF(OFFSET('(2)出場選手'!$B$2,$A399,L$1)="",'(1)鑑'!$E$8,OFFSET('(2)出場選手'!$B$2,$A399,L$1)),"県",""),"府",""),"東京都","東京"))</f>
        <v/>
      </c>
      <c r="M399" s="57" t="str">
        <f ca="1">IF($D399="","",IF(OFFSET('(2)出場選手'!$B$2,$A399,M$1)="","",OFFSET('(2)出場選手'!$B$2,$A399,M$1)))</f>
        <v/>
      </c>
      <c r="N399" s="26" t="str">
        <f ca="1">IF($D399="","",OFFSET('(2)出場選手'!$B$2,$A399,N$1+3*$B399))</f>
        <v/>
      </c>
      <c r="O399" s="26" t="str">
        <f ca="1">IF($D399="","",IF(OFFSET('(2)出場選手'!$B$2,$A399,O$1+3*$B399)="","",OFFSET('(2)出場選手'!$B$2,$A399,O$1+3*$B399)))</f>
        <v/>
      </c>
      <c r="P399" s="26" t="str">
        <f ca="1">IF($D399="","",IF(OFFSET('(2)出場選手'!$B$2,$A399,P$1+3*$B399)="","",OFFSET('(2)出場選手'!$B$2,$A399,P$1+3*$B399)))</f>
        <v/>
      </c>
      <c r="Q399" s="43" t="str">
        <f ca="1">IF(D399="","",VLOOKUP(N399,OFFSET(Competition_Events,0,1),11,FALSE)*IF($S399="リレー",IF(COUNTIF($T$3:$T399,$T399)&gt;1,0,1),1))</f>
        <v/>
      </c>
      <c r="R399" s="26" t="str">
        <f t="shared" ca="1" si="20"/>
        <v/>
      </c>
      <c r="S399" s="26" t="str">
        <f t="shared" ca="1" si="21"/>
        <v/>
      </c>
      <c r="T399" s="26" t="str">
        <f t="shared" ca="1" si="22"/>
        <v/>
      </c>
      <c r="U399" s="26" t="str">
        <f t="shared" ca="1" si="29"/>
        <v/>
      </c>
      <c r="W399" s="17" t="str">
        <f ca="1">IF($D399="","",OFFSET('(2)出場選手'!$B$2,$A399,W$1))</f>
        <v/>
      </c>
      <c r="X399" s="17" t="str">
        <f ca="1">IF($D399="","",OFFSET('(2)出場選手'!$B$2,$A399,X$1))</f>
        <v/>
      </c>
      <c r="Y399" s="17" t="str">
        <f ca="1">IF($D399="","",OFFSET('(2)出場選手'!$B$2,$A399,Y$1))</f>
        <v/>
      </c>
      <c r="Z399" s="17" t="str">
        <f ca="1">IF($D399="","",OFFSET('(2)出場選手'!$B$2,$A399,Z$1))</f>
        <v/>
      </c>
    </row>
    <row r="400" spans="1:26" x14ac:dyDescent="0.15">
      <c r="A400" s="17">
        <f>TRUNC((ROWS($D$3:D400)-2)/Max_Entry_Count)+1</f>
        <v>133</v>
      </c>
      <c r="B400" s="17" t="str">
        <f ca="1">IF($A400&gt;=ROWS(Entries)-2,"",IF(OFFSET('(2)出場選手'!$B$2,$A400,B$1+3*(MOD(ROWS($D$3:D400)-2,Max_Entry_Count)))="","",MOD(ROWS($D$3:D400)-2,Max_Entry_Count)))</f>
        <v/>
      </c>
      <c r="D400" s="26" t="str">
        <f ca="1">IF(OR($A400&gt;=ROWS(Entries)-2,$B400=""),"",'(1)鑑'!$E$6&amp;"-"&amp;OFFSET('(2)出場選手'!$B$2,$A400,D$1))</f>
        <v/>
      </c>
      <c r="E400" s="26" t="str">
        <f ca="1">IF($D400="","",OFFSET('(2)出場選手'!$B$2,$A400,E$1))</f>
        <v/>
      </c>
      <c r="F400" s="26" t="str">
        <f ca="1">IF($D400="","",IF(OFFSET('(2)出場選手'!$B$2,$A400,F$1)="","",OFFSET('(2)出場選手'!$B$2,$A400,F$1)))</f>
        <v/>
      </c>
      <c r="G400" s="26" t="str">
        <f t="shared" ca="1" si="18"/>
        <v/>
      </c>
      <c r="H400" s="26" t="str">
        <f t="shared" ca="1" si="30"/>
        <v/>
      </c>
      <c r="I400" s="26" t="str">
        <f ca="1">IF($D400="","",IF(OFFSET('(2)出場選手'!$B$2,$A400,I$1)="","",OFFSET('(2)出場選手'!$B$2,$A400,I$1)))</f>
        <v/>
      </c>
      <c r="J400" s="26" t="str">
        <f ca="1">IF($D400="","",IF(OFFSET('(2)出場選手'!$B$2,$A400,J$1)="",'(1)鑑'!$E$6,OFFSET('(2)出場選手'!$B$2,$A400,J$1)))</f>
        <v/>
      </c>
      <c r="K400" s="26" t="str">
        <f ca="1">IF($D400="","",TRIM(ASC(IF(OFFSET('(2)出場選手'!$B$2,$A400,K$1)="",'(1)鑑'!$E$7,OFFSET('(2)出場選手'!$B$2,$A400,K$1)))))</f>
        <v/>
      </c>
      <c r="L400" s="26" t="str">
        <f ca="1">IF($D400="","",SUBSTITUTE(SUBSTITUTE(SUBSTITUTE(IF(OFFSET('(2)出場選手'!$B$2,$A400,L$1)="",'(1)鑑'!$E$8,OFFSET('(2)出場選手'!$B$2,$A400,L$1)),"県",""),"府",""),"東京都","東京"))</f>
        <v/>
      </c>
      <c r="M400" s="57" t="str">
        <f ca="1">IF($D400="","",IF(OFFSET('(2)出場選手'!$B$2,$A400,M$1)="","",OFFSET('(2)出場選手'!$B$2,$A400,M$1)))</f>
        <v/>
      </c>
      <c r="N400" s="26" t="str">
        <f ca="1">IF($D400="","",OFFSET('(2)出場選手'!$B$2,$A400,N$1+3*$B400))</f>
        <v/>
      </c>
      <c r="O400" s="26" t="str">
        <f ca="1">IF($D400="","",IF(OFFSET('(2)出場選手'!$B$2,$A400,O$1+3*$B400)="","",OFFSET('(2)出場選手'!$B$2,$A400,O$1+3*$B400)))</f>
        <v/>
      </c>
      <c r="P400" s="26" t="str">
        <f ca="1">IF($D400="","",IF(OFFSET('(2)出場選手'!$B$2,$A400,P$1+3*$B400)="","",OFFSET('(2)出場選手'!$B$2,$A400,P$1+3*$B400)))</f>
        <v/>
      </c>
      <c r="Q400" s="43" t="str">
        <f ca="1">IF(D400="","",VLOOKUP(N400,OFFSET(Competition_Events,0,1),11,FALSE)*IF($S400="リレー",IF(COUNTIF($T$3:$T400,$T400)&gt;1,0,1),1))</f>
        <v/>
      </c>
      <c r="R400" s="26" t="str">
        <f t="shared" ca="1" si="20"/>
        <v/>
      </c>
      <c r="S400" s="26" t="str">
        <f t="shared" ca="1" si="21"/>
        <v/>
      </c>
      <c r="T400" s="26" t="str">
        <f t="shared" ca="1" si="22"/>
        <v/>
      </c>
      <c r="U400" s="26" t="str">
        <f t="shared" ca="1" si="29"/>
        <v/>
      </c>
      <c r="W400" s="17" t="str">
        <f ca="1">IF($D400="","",OFFSET('(2)出場選手'!$B$2,$A400,W$1))</f>
        <v/>
      </c>
      <c r="X400" s="17" t="str">
        <f ca="1">IF($D400="","",OFFSET('(2)出場選手'!$B$2,$A400,X$1))</f>
        <v/>
      </c>
      <c r="Y400" s="17" t="str">
        <f ca="1">IF($D400="","",OFFSET('(2)出場選手'!$B$2,$A400,Y$1))</f>
        <v/>
      </c>
      <c r="Z400" s="17" t="str">
        <f ca="1">IF($D400="","",OFFSET('(2)出場選手'!$B$2,$A400,Z$1))</f>
        <v/>
      </c>
    </row>
    <row r="401" spans="1:26" x14ac:dyDescent="0.15">
      <c r="A401" s="17">
        <f>TRUNC((ROWS($D$3:D401)-2)/Max_Entry_Count)+1</f>
        <v>133</v>
      </c>
      <c r="B401" s="17" t="str">
        <f ca="1">IF($A401&gt;=ROWS(Entries)-2,"",IF(OFFSET('(2)出場選手'!$B$2,$A401,B$1+3*(MOD(ROWS($D$3:D401)-2,Max_Entry_Count)))="","",MOD(ROWS($D$3:D401)-2,Max_Entry_Count)))</f>
        <v/>
      </c>
      <c r="D401" s="26" t="str">
        <f ca="1">IF(OR($A401&gt;=ROWS(Entries)-2,$B401=""),"",'(1)鑑'!$E$6&amp;"-"&amp;OFFSET('(2)出場選手'!$B$2,$A401,D$1))</f>
        <v/>
      </c>
      <c r="E401" s="26" t="str">
        <f ca="1">IF($D401="","",OFFSET('(2)出場選手'!$B$2,$A401,E$1))</f>
        <v/>
      </c>
      <c r="F401" s="26" t="str">
        <f ca="1">IF($D401="","",IF(OFFSET('(2)出場選手'!$B$2,$A401,F$1)="","",OFFSET('(2)出場選手'!$B$2,$A401,F$1)))</f>
        <v/>
      </c>
      <c r="G401" s="26" t="str">
        <f t="shared" ca="1" si="18"/>
        <v/>
      </c>
      <c r="H401" s="26" t="str">
        <f t="shared" ca="1" si="30"/>
        <v/>
      </c>
      <c r="I401" s="26" t="str">
        <f ca="1">IF($D401="","",IF(OFFSET('(2)出場選手'!$B$2,$A401,I$1)="","",OFFSET('(2)出場選手'!$B$2,$A401,I$1)))</f>
        <v/>
      </c>
      <c r="J401" s="26" t="str">
        <f ca="1">IF($D401="","",IF(OFFSET('(2)出場選手'!$B$2,$A401,J$1)="",'(1)鑑'!$E$6,OFFSET('(2)出場選手'!$B$2,$A401,J$1)))</f>
        <v/>
      </c>
      <c r="K401" s="26" t="str">
        <f ca="1">IF($D401="","",TRIM(ASC(IF(OFFSET('(2)出場選手'!$B$2,$A401,K$1)="",'(1)鑑'!$E$7,OFFSET('(2)出場選手'!$B$2,$A401,K$1)))))</f>
        <v/>
      </c>
      <c r="L401" s="26" t="str">
        <f ca="1">IF($D401="","",SUBSTITUTE(SUBSTITUTE(SUBSTITUTE(IF(OFFSET('(2)出場選手'!$B$2,$A401,L$1)="",'(1)鑑'!$E$8,OFFSET('(2)出場選手'!$B$2,$A401,L$1)),"県",""),"府",""),"東京都","東京"))</f>
        <v/>
      </c>
      <c r="M401" s="57" t="str">
        <f ca="1">IF($D401="","",IF(OFFSET('(2)出場選手'!$B$2,$A401,M$1)="","",OFFSET('(2)出場選手'!$B$2,$A401,M$1)))</f>
        <v/>
      </c>
      <c r="N401" s="26" t="str">
        <f ca="1">IF($D401="","",OFFSET('(2)出場選手'!$B$2,$A401,N$1+3*$B401))</f>
        <v/>
      </c>
      <c r="O401" s="26" t="str">
        <f ca="1">IF($D401="","",IF(OFFSET('(2)出場選手'!$B$2,$A401,O$1+3*$B401)="","",OFFSET('(2)出場選手'!$B$2,$A401,O$1+3*$B401)))</f>
        <v/>
      </c>
      <c r="P401" s="26" t="str">
        <f ca="1">IF($D401="","",IF(OFFSET('(2)出場選手'!$B$2,$A401,P$1+3*$B401)="","",OFFSET('(2)出場選手'!$B$2,$A401,P$1+3*$B401)))</f>
        <v/>
      </c>
      <c r="Q401" s="43" t="str">
        <f ca="1">IF(D401="","",VLOOKUP(N401,OFFSET(Competition_Events,0,1),11,FALSE)*IF($S401="リレー",IF(COUNTIF($T$3:$T401,$T401)&gt;1,0,1),1))</f>
        <v/>
      </c>
      <c r="R401" s="26" t="str">
        <f t="shared" ca="1" si="20"/>
        <v/>
      </c>
      <c r="S401" s="26" t="str">
        <f t="shared" ca="1" si="21"/>
        <v/>
      </c>
      <c r="T401" s="26" t="str">
        <f t="shared" ca="1" si="22"/>
        <v/>
      </c>
      <c r="U401" s="26" t="str">
        <f t="shared" ca="1" si="29"/>
        <v/>
      </c>
      <c r="W401" s="17" t="str">
        <f ca="1">IF($D401="","",OFFSET('(2)出場選手'!$B$2,$A401,W$1))</f>
        <v/>
      </c>
      <c r="X401" s="17" t="str">
        <f ca="1">IF($D401="","",OFFSET('(2)出場選手'!$B$2,$A401,X$1))</f>
        <v/>
      </c>
      <c r="Y401" s="17" t="str">
        <f ca="1">IF($D401="","",OFFSET('(2)出場選手'!$B$2,$A401,Y$1))</f>
        <v/>
      </c>
      <c r="Z401" s="17" t="str">
        <f ca="1">IF($D401="","",OFFSET('(2)出場選手'!$B$2,$A401,Z$1))</f>
        <v/>
      </c>
    </row>
    <row r="402" spans="1:26" x14ac:dyDescent="0.15">
      <c r="A402" s="17">
        <f>TRUNC((ROWS($D$3:D402)-2)/Max_Entry_Count)+1</f>
        <v>133</v>
      </c>
      <c r="B402" s="17" t="str">
        <f ca="1">IF($A402&gt;=ROWS(Entries)-2,"",IF(OFFSET('(2)出場選手'!$B$2,$A402,B$1+3*(MOD(ROWS($D$3:D402)-2,Max_Entry_Count)))="","",MOD(ROWS($D$3:D402)-2,Max_Entry_Count)))</f>
        <v/>
      </c>
      <c r="D402" s="26" t="str">
        <f ca="1">IF(OR($A402&gt;=ROWS(Entries)-2,$B402=""),"",'(1)鑑'!$E$6&amp;"-"&amp;OFFSET('(2)出場選手'!$B$2,$A402,D$1))</f>
        <v/>
      </c>
      <c r="E402" s="26" t="str">
        <f ca="1">IF($D402="","",OFFSET('(2)出場選手'!$B$2,$A402,E$1))</f>
        <v/>
      </c>
      <c r="F402" s="26" t="str">
        <f ca="1">IF($D402="","",IF(OFFSET('(2)出場選手'!$B$2,$A402,F$1)="","",OFFSET('(2)出場選手'!$B$2,$A402,F$1)))</f>
        <v/>
      </c>
      <c r="G402" s="26" t="str">
        <f t="shared" ca="1" si="18"/>
        <v/>
      </c>
      <c r="H402" s="26" t="str">
        <f t="shared" ca="1" si="30"/>
        <v/>
      </c>
      <c r="I402" s="26" t="str">
        <f ca="1">IF($D402="","",IF(OFFSET('(2)出場選手'!$B$2,$A402,I$1)="","",OFFSET('(2)出場選手'!$B$2,$A402,I$1)))</f>
        <v/>
      </c>
      <c r="J402" s="26" t="str">
        <f ca="1">IF($D402="","",IF(OFFSET('(2)出場選手'!$B$2,$A402,J$1)="",'(1)鑑'!$E$6,OFFSET('(2)出場選手'!$B$2,$A402,J$1)))</f>
        <v/>
      </c>
      <c r="K402" s="26" t="str">
        <f ca="1">IF($D402="","",TRIM(ASC(IF(OFFSET('(2)出場選手'!$B$2,$A402,K$1)="",'(1)鑑'!$E$7,OFFSET('(2)出場選手'!$B$2,$A402,K$1)))))</f>
        <v/>
      </c>
      <c r="L402" s="26" t="str">
        <f ca="1">IF($D402="","",SUBSTITUTE(SUBSTITUTE(SUBSTITUTE(IF(OFFSET('(2)出場選手'!$B$2,$A402,L$1)="",'(1)鑑'!$E$8,OFFSET('(2)出場選手'!$B$2,$A402,L$1)),"県",""),"府",""),"東京都","東京"))</f>
        <v/>
      </c>
      <c r="M402" s="57" t="str">
        <f ca="1">IF($D402="","",IF(OFFSET('(2)出場選手'!$B$2,$A402,M$1)="","",OFFSET('(2)出場選手'!$B$2,$A402,M$1)))</f>
        <v/>
      </c>
      <c r="N402" s="26" t="str">
        <f ca="1">IF($D402="","",OFFSET('(2)出場選手'!$B$2,$A402,N$1+3*$B402))</f>
        <v/>
      </c>
      <c r="O402" s="26" t="str">
        <f ca="1">IF($D402="","",IF(OFFSET('(2)出場選手'!$B$2,$A402,O$1+3*$B402)="","",OFFSET('(2)出場選手'!$B$2,$A402,O$1+3*$B402)))</f>
        <v/>
      </c>
      <c r="P402" s="26" t="str">
        <f ca="1">IF($D402="","",IF(OFFSET('(2)出場選手'!$B$2,$A402,P$1+3*$B402)="","",OFFSET('(2)出場選手'!$B$2,$A402,P$1+3*$B402)))</f>
        <v/>
      </c>
      <c r="Q402" s="43" t="str">
        <f ca="1">IF(D402="","",VLOOKUP(N402,OFFSET(Competition_Events,0,1),11,FALSE)*IF($S402="リレー",IF(COUNTIF($T$3:$T402,$T402)&gt;1,0,1),1))</f>
        <v/>
      </c>
      <c r="R402" s="26" t="str">
        <f t="shared" ca="1" si="20"/>
        <v/>
      </c>
      <c r="S402" s="26" t="str">
        <f t="shared" ca="1" si="21"/>
        <v/>
      </c>
      <c r="T402" s="26" t="str">
        <f t="shared" ca="1" si="22"/>
        <v/>
      </c>
      <c r="U402" s="26" t="str">
        <f t="shared" ca="1" si="29"/>
        <v/>
      </c>
      <c r="W402" s="17" t="str">
        <f ca="1">IF($D402="","",OFFSET('(2)出場選手'!$B$2,$A402,W$1))</f>
        <v/>
      </c>
      <c r="X402" s="17" t="str">
        <f ca="1">IF($D402="","",OFFSET('(2)出場選手'!$B$2,$A402,X$1))</f>
        <v/>
      </c>
      <c r="Y402" s="17" t="str">
        <f ca="1">IF($D402="","",OFFSET('(2)出場選手'!$B$2,$A402,Y$1))</f>
        <v/>
      </c>
      <c r="Z402" s="17" t="str">
        <f ca="1">IF($D402="","",OFFSET('(2)出場選手'!$B$2,$A402,Z$1))</f>
        <v/>
      </c>
    </row>
    <row r="403" spans="1:26" x14ac:dyDescent="0.15">
      <c r="A403" s="17">
        <f>TRUNC((ROWS($D$3:D403)-2)/Max_Entry_Count)+1</f>
        <v>134</v>
      </c>
      <c r="B403" s="17" t="str">
        <f ca="1">IF($A403&gt;=ROWS(Entries)-2,"",IF(OFFSET('(2)出場選手'!$B$2,$A403,B$1+3*(MOD(ROWS($D$3:D403)-2,Max_Entry_Count)))="","",MOD(ROWS($D$3:D403)-2,Max_Entry_Count)))</f>
        <v/>
      </c>
      <c r="D403" s="26" t="str">
        <f ca="1">IF(OR($A403&gt;=ROWS(Entries)-2,$B403=""),"",'(1)鑑'!$E$6&amp;"-"&amp;OFFSET('(2)出場選手'!$B$2,$A403,D$1))</f>
        <v/>
      </c>
      <c r="E403" s="26" t="str">
        <f ca="1">IF($D403="","",OFFSET('(2)出場選手'!$B$2,$A403,E$1))</f>
        <v/>
      </c>
      <c r="F403" s="26" t="str">
        <f ca="1">IF($D403="","",IF(OFFSET('(2)出場選手'!$B$2,$A403,F$1)="","",OFFSET('(2)出場選手'!$B$2,$A403,F$1)))</f>
        <v/>
      </c>
      <c r="G403" s="26" t="str">
        <f t="shared" ca="1" si="18"/>
        <v/>
      </c>
      <c r="H403" s="26" t="str">
        <f t="shared" ca="1" si="30"/>
        <v/>
      </c>
      <c r="I403" s="26" t="str">
        <f ca="1">IF($D403="","",IF(OFFSET('(2)出場選手'!$B$2,$A403,I$1)="","",OFFSET('(2)出場選手'!$B$2,$A403,I$1)))</f>
        <v/>
      </c>
      <c r="J403" s="26" t="str">
        <f ca="1">IF($D403="","",IF(OFFSET('(2)出場選手'!$B$2,$A403,J$1)="",'(1)鑑'!$E$6,OFFSET('(2)出場選手'!$B$2,$A403,J$1)))</f>
        <v/>
      </c>
      <c r="K403" s="26" t="str">
        <f ca="1">IF($D403="","",TRIM(ASC(IF(OFFSET('(2)出場選手'!$B$2,$A403,K$1)="",'(1)鑑'!$E$7,OFFSET('(2)出場選手'!$B$2,$A403,K$1)))))</f>
        <v/>
      </c>
      <c r="L403" s="26" t="str">
        <f ca="1">IF($D403="","",SUBSTITUTE(SUBSTITUTE(SUBSTITUTE(IF(OFFSET('(2)出場選手'!$B$2,$A403,L$1)="",'(1)鑑'!$E$8,OFFSET('(2)出場選手'!$B$2,$A403,L$1)),"県",""),"府",""),"東京都","東京"))</f>
        <v/>
      </c>
      <c r="M403" s="57" t="str">
        <f ca="1">IF($D403="","",IF(OFFSET('(2)出場選手'!$B$2,$A403,M$1)="","",OFFSET('(2)出場選手'!$B$2,$A403,M$1)))</f>
        <v/>
      </c>
      <c r="N403" s="26" t="str">
        <f ca="1">IF($D403="","",OFFSET('(2)出場選手'!$B$2,$A403,N$1+3*$B403))</f>
        <v/>
      </c>
      <c r="O403" s="26" t="str">
        <f ca="1">IF($D403="","",IF(OFFSET('(2)出場選手'!$B$2,$A403,O$1+3*$B403)="","",OFFSET('(2)出場選手'!$B$2,$A403,O$1+3*$B403)))</f>
        <v/>
      </c>
      <c r="P403" s="26" t="str">
        <f ca="1">IF($D403="","",IF(OFFSET('(2)出場選手'!$B$2,$A403,P$1+3*$B403)="","",OFFSET('(2)出場選手'!$B$2,$A403,P$1+3*$B403)))</f>
        <v/>
      </c>
      <c r="Q403" s="43" t="str">
        <f ca="1">IF(D403="","",VLOOKUP(N403,OFFSET(Competition_Events,0,1),11,FALSE)*IF($S403="リレー",IF(COUNTIF($T$3:$T403,$T403)&gt;1,0,1),1))</f>
        <v/>
      </c>
      <c r="R403" s="26" t="str">
        <f t="shared" ca="1" si="20"/>
        <v/>
      </c>
      <c r="S403" s="26" t="str">
        <f t="shared" ca="1" si="21"/>
        <v/>
      </c>
      <c r="T403" s="26" t="str">
        <f t="shared" ca="1" si="22"/>
        <v/>
      </c>
      <c r="U403" s="26" t="str">
        <f t="shared" ca="1" si="29"/>
        <v/>
      </c>
      <c r="W403" s="17" t="str">
        <f ca="1">IF($D403="","",OFFSET('(2)出場選手'!$B$2,$A403,W$1))</f>
        <v/>
      </c>
      <c r="X403" s="17" t="str">
        <f ca="1">IF($D403="","",OFFSET('(2)出場選手'!$B$2,$A403,X$1))</f>
        <v/>
      </c>
      <c r="Y403" s="17" t="str">
        <f ca="1">IF($D403="","",OFFSET('(2)出場選手'!$B$2,$A403,Y$1))</f>
        <v/>
      </c>
      <c r="Z403" s="17" t="str">
        <f ca="1">IF($D403="","",OFFSET('(2)出場選手'!$B$2,$A403,Z$1))</f>
        <v/>
      </c>
    </row>
    <row r="404" spans="1:26" x14ac:dyDescent="0.15">
      <c r="A404" s="17">
        <f>TRUNC((ROWS($D$3:D404)-2)/Max_Entry_Count)+1</f>
        <v>134</v>
      </c>
      <c r="B404" s="17" t="str">
        <f ca="1">IF($A404&gt;=ROWS(Entries)-2,"",IF(OFFSET('(2)出場選手'!$B$2,$A404,B$1+3*(MOD(ROWS($D$3:D404)-2,Max_Entry_Count)))="","",MOD(ROWS($D$3:D404)-2,Max_Entry_Count)))</f>
        <v/>
      </c>
      <c r="D404" s="26" t="str">
        <f ca="1">IF(OR($A404&gt;=ROWS(Entries)-2,$B404=""),"",'(1)鑑'!$E$6&amp;"-"&amp;OFFSET('(2)出場選手'!$B$2,$A404,D$1))</f>
        <v/>
      </c>
      <c r="E404" s="26" t="str">
        <f ca="1">IF($D404="","",OFFSET('(2)出場選手'!$B$2,$A404,E$1))</f>
        <v/>
      </c>
      <c r="F404" s="26" t="str">
        <f ca="1">IF($D404="","",IF(OFFSET('(2)出場選手'!$B$2,$A404,F$1)="","",OFFSET('(2)出場選手'!$B$2,$A404,F$1)))</f>
        <v/>
      </c>
      <c r="G404" s="26" t="str">
        <f t="shared" ca="1" si="18"/>
        <v/>
      </c>
      <c r="H404" s="26" t="str">
        <f t="shared" ca="1" si="30"/>
        <v/>
      </c>
      <c r="I404" s="26" t="str">
        <f ca="1">IF($D404="","",IF(OFFSET('(2)出場選手'!$B$2,$A404,I$1)="","",OFFSET('(2)出場選手'!$B$2,$A404,I$1)))</f>
        <v/>
      </c>
      <c r="J404" s="26" t="str">
        <f ca="1">IF($D404="","",IF(OFFSET('(2)出場選手'!$B$2,$A404,J$1)="",'(1)鑑'!$E$6,OFFSET('(2)出場選手'!$B$2,$A404,J$1)))</f>
        <v/>
      </c>
      <c r="K404" s="26" t="str">
        <f ca="1">IF($D404="","",TRIM(ASC(IF(OFFSET('(2)出場選手'!$B$2,$A404,K$1)="",'(1)鑑'!$E$7,OFFSET('(2)出場選手'!$B$2,$A404,K$1)))))</f>
        <v/>
      </c>
      <c r="L404" s="26" t="str">
        <f ca="1">IF($D404="","",SUBSTITUTE(SUBSTITUTE(SUBSTITUTE(IF(OFFSET('(2)出場選手'!$B$2,$A404,L$1)="",'(1)鑑'!$E$8,OFFSET('(2)出場選手'!$B$2,$A404,L$1)),"県",""),"府",""),"東京都","東京"))</f>
        <v/>
      </c>
      <c r="M404" s="57" t="str">
        <f ca="1">IF($D404="","",IF(OFFSET('(2)出場選手'!$B$2,$A404,M$1)="","",OFFSET('(2)出場選手'!$B$2,$A404,M$1)))</f>
        <v/>
      </c>
      <c r="N404" s="26" t="str">
        <f ca="1">IF($D404="","",OFFSET('(2)出場選手'!$B$2,$A404,N$1+3*$B404))</f>
        <v/>
      </c>
      <c r="O404" s="26" t="str">
        <f ca="1">IF($D404="","",IF(OFFSET('(2)出場選手'!$B$2,$A404,O$1+3*$B404)="","",OFFSET('(2)出場選手'!$B$2,$A404,O$1+3*$B404)))</f>
        <v/>
      </c>
      <c r="P404" s="26" t="str">
        <f ca="1">IF($D404="","",IF(OFFSET('(2)出場選手'!$B$2,$A404,P$1+3*$B404)="","",OFFSET('(2)出場選手'!$B$2,$A404,P$1+3*$B404)))</f>
        <v/>
      </c>
      <c r="Q404" s="43" t="str">
        <f ca="1">IF(D404="","",VLOOKUP(N404,OFFSET(Competition_Events,0,1),11,FALSE)*IF($S404="リレー",IF(COUNTIF($T$3:$T404,$T404)&gt;1,0,1),1))</f>
        <v/>
      </c>
      <c r="R404" s="26" t="str">
        <f t="shared" ca="1" si="20"/>
        <v/>
      </c>
      <c r="S404" s="26" t="str">
        <f t="shared" ca="1" si="21"/>
        <v/>
      </c>
      <c r="T404" s="26" t="str">
        <f t="shared" ca="1" si="22"/>
        <v/>
      </c>
      <c r="U404" s="26" t="str">
        <f t="shared" ca="1" si="29"/>
        <v/>
      </c>
      <c r="W404" s="17" t="str">
        <f ca="1">IF($D404="","",OFFSET('(2)出場選手'!$B$2,$A404,W$1))</f>
        <v/>
      </c>
      <c r="X404" s="17" t="str">
        <f ca="1">IF($D404="","",OFFSET('(2)出場選手'!$B$2,$A404,X$1))</f>
        <v/>
      </c>
      <c r="Y404" s="17" t="str">
        <f ca="1">IF($D404="","",OFFSET('(2)出場選手'!$B$2,$A404,Y$1))</f>
        <v/>
      </c>
      <c r="Z404" s="17" t="str">
        <f ca="1">IF($D404="","",OFFSET('(2)出場選手'!$B$2,$A404,Z$1))</f>
        <v/>
      </c>
    </row>
    <row r="405" spans="1:26" x14ac:dyDescent="0.15">
      <c r="A405" s="17">
        <f>TRUNC((ROWS($D$3:D405)-2)/Max_Entry_Count)+1</f>
        <v>134</v>
      </c>
      <c r="B405" s="17" t="str">
        <f ca="1">IF($A405&gt;=ROWS(Entries)-2,"",IF(OFFSET('(2)出場選手'!$B$2,$A405,B$1+3*(MOD(ROWS($D$3:D405)-2,Max_Entry_Count)))="","",MOD(ROWS($D$3:D405)-2,Max_Entry_Count)))</f>
        <v/>
      </c>
      <c r="D405" s="26" t="str">
        <f ca="1">IF(OR($A405&gt;=ROWS(Entries)-2,$B405=""),"",'(1)鑑'!$E$6&amp;"-"&amp;OFFSET('(2)出場選手'!$B$2,$A405,D$1))</f>
        <v/>
      </c>
      <c r="E405" s="26" t="str">
        <f ca="1">IF($D405="","",OFFSET('(2)出場選手'!$B$2,$A405,E$1))</f>
        <v/>
      </c>
      <c r="F405" s="26" t="str">
        <f ca="1">IF($D405="","",IF(OFFSET('(2)出場選手'!$B$2,$A405,F$1)="","",OFFSET('(2)出場選手'!$B$2,$A405,F$1)))</f>
        <v/>
      </c>
      <c r="G405" s="26" t="str">
        <f t="shared" ca="1" si="18"/>
        <v/>
      </c>
      <c r="H405" s="26" t="str">
        <f t="shared" ca="1" si="30"/>
        <v/>
      </c>
      <c r="I405" s="26" t="str">
        <f ca="1">IF($D405="","",IF(OFFSET('(2)出場選手'!$B$2,$A405,I$1)="","",OFFSET('(2)出場選手'!$B$2,$A405,I$1)))</f>
        <v/>
      </c>
      <c r="J405" s="26" t="str">
        <f ca="1">IF($D405="","",IF(OFFSET('(2)出場選手'!$B$2,$A405,J$1)="",'(1)鑑'!$E$6,OFFSET('(2)出場選手'!$B$2,$A405,J$1)))</f>
        <v/>
      </c>
      <c r="K405" s="26" t="str">
        <f ca="1">IF($D405="","",TRIM(ASC(IF(OFFSET('(2)出場選手'!$B$2,$A405,K$1)="",'(1)鑑'!$E$7,OFFSET('(2)出場選手'!$B$2,$A405,K$1)))))</f>
        <v/>
      </c>
      <c r="L405" s="26" t="str">
        <f ca="1">IF($D405="","",SUBSTITUTE(SUBSTITUTE(SUBSTITUTE(IF(OFFSET('(2)出場選手'!$B$2,$A405,L$1)="",'(1)鑑'!$E$8,OFFSET('(2)出場選手'!$B$2,$A405,L$1)),"県",""),"府",""),"東京都","東京"))</f>
        <v/>
      </c>
      <c r="M405" s="57" t="str">
        <f ca="1">IF($D405="","",IF(OFFSET('(2)出場選手'!$B$2,$A405,M$1)="","",OFFSET('(2)出場選手'!$B$2,$A405,M$1)))</f>
        <v/>
      </c>
      <c r="N405" s="26" t="str">
        <f ca="1">IF($D405="","",OFFSET('(2)出場選手'!$B$2,$A405,N$1+3*$B405))</f>
        <v/>
      </c>
      <c r="O405" s="26" t="str">
        <f ca="1">IF($D405="","",IF(OFFSET('(2)出場選手'!$B$2,$A405,O$1+3*$B405)="","",OFFSET('(2)出場選手'!$B$2,$A405,O$1+3*$B405)))</f>
        <v/>
      </c>
      <c r="P405" s="26" t="str">
        <f ca="1">IF($D405="","",IF(OFFSET('(2)出場選手'!$B$2,$A405,P$1+3*$B405)="","",OFFSET('(2)出場選手'!$B$2,$A405,P$1+3*$B405)))</f>
        <v/>
      </c>
      <c r="Q405" s="43" t="str">
        <f ca="1">IF(D405="","",VLOOKUP(N405,OFFSET(Competition_Events,0,1),11,FALSE)*IF($S405="リレー",IF(COUNTIF($T$3:$T405,$T405)&gt;1,0,1),1))</f>
        <v/>
      </c>
      <c r="R405" s="26" t="str">
        <f t="shared" ca="1" si="20"/>
        <v/>
      </c>
      <c r="S405" s="26" t="str">
        <f t="shared" ca="1" si="21"/>
        <v/>
      </c>
      <c r="T405" s="26" t="str">
        <f t="shared" ca="1" si="22"/>
        <v/>
      </c>
      <c r="U405" s="26" t="str">
        <f t="shared" ca="1" si="29"/>
        <v/>
      </c>
      <c r="W405" s="17" t="str">
        <f ca="1">IF($D405="","",OFFSET('(2)出場選手'!$B$2,$A405,W$1))</f>
        <v/>
      </c>
      <c r="X405" s="17" t="str">
        <f ca="1">IF($D405="","",OFFSET('(2)出場選手'!$B$2,$A405,X$1))</f>
        <v/>
      </c>
      <c r="Y405" s="17" t="str">
        <f ca="1">IF($D405="","",OFFSET('(2)出場選手'!$B$2,$A405,Y$1))</f>
        <v/>
      </c>
      <c r="Z405" s="17" t="str">
        <f ca="1">IF($D405="","",OFFSET('(2)出場選手'!$B$2,$A405,Z$1))</f>
        <v/>
      </c>
    </row>
    <row r="406" spans="1:26" x14ac:dyDescent="0.15">
      <c r="A406" s="17">
        <f>TRUNC((ROWS($D$3:D406)-2)/Max_Entry_Count)+1</f>
        <v>135</v>
      </c>
      <c r="B406" s="17" t="str">
        <f ca="1">IF($A406&gt;=ROWS(Entries)-2,"",IF(OFFSET('(2)出場選手'!$B$2,$A406,B$1+3*(MOD(ROWS($D$3:D406)-2,Max_Entry_Count)))="","",MOD(ROWS($D$3:D406)-2,Max_Entry_Count)))</f>
        <v/>
      </c>
      <c r="D406" s="26" t="str">
        <f ca="1">IF(OR($A406&gt;=ROWS(Entries)-2,$B406=""),"",'(1)鑑'!$E$6&amp;"-"&amp;OFFSET('(2)出場選手'!$B$2,$A406,D$1))</f>
        <v/>
      </c>
      <c r="E406" s="26" t="str">
        <f ca="1">IF($D406="","",OFFSET('(2)出場選手'!$B$2,$A406,E$1))</f>
        <v/>
      </c>
      <c r="F406" s="26" t="str">
        <f ca="1">IF($D406="","",IF(OFFSET('(2)出場選手'!$B$2,$A406,F$1)="","",OFFSET('(2)出場選手'!$B$2,$A406,F$1)))</f>
        <v/>
      </c>
      <c r="G406" s="26" t="str">
        <f t="shared" ca="1" si="18"/>
        <v/>
      </c>
      <c r="H406" s="26" t="str">
        <f t="shared" ca="1" si="30"/>
        <v/>
      </c>
      <c r="I406" s="26" t="str">
        <f ca="1">IF($D406="","",IF(OFFSET('(2)出場選手'!$B$2,$A406,I$1)="","",OFFSET('(2)出場選手'!$B$2,$A406,I$1)))</f>
        <v/>
      </c>
      <c r="J406" s="26" t="str">
        <f ca="1">IF($D406="","",IF(OFFSET('(2)出場選手'!$B$2,$A406,J$1)="",'(1)鑑'!$E$6,OFFSET('(2)出場選手'!$B$2,$A406,J$1)))</f>
        <v/>
      </c>
      <c r="K406" s="26" t="str">
        <f ca="1">IF($D406="","",TRIM(ASC(IF(OFFSET('(2)出場選手'!$B$2,$A406,K$1)="",'(1)鑑'!$E$7,OFFSET('(2)出場選手'!$B$2,$A406,K$1)))))</f>
        <v/>
      </c>
      <c r="L406" s="26" t="str">
        <f ca="1">IF($D406="","",SUBSTITUTE(SUBSTITUTE(SUBSTITUTE(IF(OFFSET('(2)出場選手'!$B$2,$A406,L$1)="",'(1)鑑'!$E$8,OFFSET('(2)出場選手'!$B$2,$A406,L$1)),"県",""),"府",""),"東京都","東京"))</f>
        <v/>
      </c>
      <c r="M406" s="57" t="str">
        <f ca="1">IF($D406="","",IF(OFFSET('(2)出場選手'!$B$2,$A406,M$1)="","",OFFSET('(2)出場選手'!$B$2,$A406,M$1)))</f>
        <v/>
      </c>
      <c r="N406" s="26" t="str">
        <f ca="1">IF($D406="","",OFFSET('(2)出場選手'!$B$2,$A406,N$1+3*$B406))</f>
        <v/>
      </c>
      <c r="O406" s="26" t="str">
        <f ca="1">IF($D406="","",IF(OFFSET('(2)出場選手'!$B$2,$A406,O$1+3*$B406)="","",OFFSET('(2)出場選手'!$B$2,$A406,O$1+3*$B406)))</f>
        <v/>
      </c>
      <c r="P406" s="26" t="str">
        <f ca="1">IF($D406="","",IF(OFFSET('(2)出場選手'!$B$2,$A406,P$1+3*$B406)="","",OFFSET('(2)出場選手'!$B$2,$A406,P$1+3*$B406)))</f>
        <v/>
      </c>
      <c r="Q406" s="43" t="str">
        <f ca="1">IF(D406="","",VLOOKUP(N406,OFFSET(Competition_Events,0,1),11,FALSE)*IF($S406="リレー",IF(COUNTIF($T$3:$T406,$T406)&gt;1,0,1),1))</f>
        <v/>
      </c>
      <c r="R406" s="26" t="str">
        <f t="shared" ca="1" si="20"/>
        <v/>
      </c>
      <c r="S406" s="26" t="str">
        <f t="shared" ca="1" si="21"/>
        <v/>
      </c>
      <c r="T406" s="26" t="str">
        <f t="shared" ca="1" si="22"/>
        <v/>
      </c>
      <c r="U406" s="26" t="str">
        <f t="shared" ca="1" si="29"/>
        <v/>
      </c>
      <c r="W406" s="17" t="str">
        <f ca="1">IF($D406="","",OFFSET('(2)出場選手'!$B$2,$A406,W$1))</f>
        <v/>
      </c>
      <c r="X406" s="17" t="str">
        <f ca="1">IF($D406="","",OFFSET('(2)出場選手'!$B$2,$A406,X$1))</f>
        <v/>
      </c>
      <c r="Y406" s="17" t="str">
        <f ca="1">IF($D406="","",OFFSET('(2)出場選手'!$B$2,$A406,Y$1))</f>
        <v/>
      </c>
      <c r="Z406" s="17" t="str">
        <f ca="1">IF($D406="","",OFFSET('(2)出場選手'!$B$2,$A406,Z$1))</f>
        <v/>
      </c>
    </row>
    <row r="407" spans="1:26" x14ac:dyDescent="0.15">
      <c r="A407" s="17">
        <f>TRUNC((ROWS($D$3:D407)-2)/Max_Entry_Count)+1</f>
        <v>135</v>
      </c>
      <c r="B407" s="17" t="str">
        <f ca="1">IF($A407&gt;=ROWS(Entries)-2,"",IF(OFFSET('(2)出場選手'!$B$2,$A407,B$1+3*(MOD(ROWS($D$3:D407)-2,Max_Entry_Count)))="","",MOD(ROWS($D$3:D407)-2,Max_Entry_Count)))</f>
        <v/>
      </c>
      <c r="D407" s="26" t="str">
        <f ca="1">IF(OR($A407&gt;=ROWS(Entries)-2,$B407=""),"",'(1)鑑'!$E$6&amp;"-"&amp;OFFSET('(2)出場選手'!$B$2,$A407,D$1))</f>
        <v/>
      </c>
      <c r="E407" s="26" t="str">
        <f ca="1">IF($D407="","",OFFSET('(2)出場選手'!$B$2,$A407,E$1))</f>
        <v/>
      </c>
      <c r="F407" s="26" t="str">
        <f ca="1">IF($D407="","",IF(OFFSET('(2)出場選手'!$B$2,$A407,F$1)="","",OFFSET('(2)出場選手'!$B$2,$A407,F$1)))</f>
        <v/>
      </c>
      <c r="G407" s="26" t="str">
        <f t="shared" ca="1" si="18"/>
        <v/>
      </c>
      <c r="H407" s="26" t="str">
        <f t="shared" ca="1" si="30"/>
        <v/>
      </c>
      <c r="I407" s="26" t="str">
        <f ca="1">IF($D407="","",IF(OFFSET('(2)出場選手'!$B$2,$A407,I$1)="","",OFFSET('(2)出場選手'!$B$2,$A407,I$1)))</f>
        <v/>
      </c>
      <c r="J407" s="26" t="str">
        <f ca="1">IF($D407="","",IF(OFFSET('(2)出場選手'!$B$2,$A407,J$1)="",'(1)鑑'!$E$6,OFFSET('(2)出場選手'!$B$2,$A407,J$1)))</f>
        <v/>
      </c>
      <c r="K407" s="26" t="str">
        <f ca="1">IF($D407="","",TRIM(ASC(IF(OFFSET('(2)出場選手'!$B$2,$A407,K$1)="",'(1)鑑'!$E$7,OFFSET('(2)出場選手'!$B$2,$A407,K$1)))))</f>
        <v/>
      </c>
      <c r="L407" s="26" t="str">
        <f ca="1">IF($D407="","",SUBSTITUTE(SUBSTITUTE(SUBSTITUTE(IF(OFFSET('(2)出場選手'!$B$2,$A407,L$1)="",'(1)鑑'!$E$8,OFFSET('(2)出場選手'!$B$2,$A407,L$1)),"県",""),"府",""),"東京都","東京"))</f>
        <v/>
      </c>
      <c r="M407" s="57" t="str">
        <f ca="1">IF($D407="","",IF(OFFSET('(2)出場選手'!$B$2,$A407,M$1)="","",OFFSET('(2)出場選手'!$B$2,$A407,M$1)))</f>
        <v/>
      </c>
      <c r="N407" s="26" t="str">
        <f ca="1">IF($D407="","",OFFSET('(2)出場選手'!$B$2,$A407,N$1+3*$B407))</f>
        <v/>
      </c>
      <c r="O407" s="26" t="str">
        <f ca="1">IF($D407="","",IF(OFFSET('(2)出場選手'!$B$2,$A407,O$1+3*$B407)="","",OFFSET('(2)出場選手'!$B$2,$A407,O$1+3*$B407)))</f>
        <v/>
      </c>
      <c r="P407" s="26" t="str">
        <f ca="1">IF($D407="","",IF(OFFSET('(2)出場選手'!$B$2,$A407,P$1+3*$B407)="","",OFFSET('(2)出場選手'!$B$2,$A407,P$1+3*$B407)))</f>
        <v/>
      </c>
      <c r="Q407" s="43" t="str">
        <f ca="1">IF(D407="","",VLOOKUP(N407,OFFSET(Competition_Events,0,1),11,FALSE)*IF($S407="リレー",IF(COUNTIF($T$3:$T407,$T407)&gt;1,0,1),1))</f>
        <v/>
      </c>
      <c r="R407" s="26" t="str">
        <f t="shared" ca="1" si="20"/>
        <v/>
      </c>
      <c r="S407" s="26" t="str">
        <f t="shared" ca="1" si="21"/>
        <v/>
      </c>
      <c r="T407" s="26" t="str">
        <f t="shared" ca="1" si="22"/>
        <v/>
      </c>
      <c r="U407" s="26" t="str">
        <f t="shared" ca="1" si="29"/>
        <v/>
      </c>
      <c r="W407" s="17" t="str">
        <f ca="1">IF($D407="","",OFFSET('(2)出場選手'!$B$2,$A407,W$1))</f>
        <v/>
      </c>
      <c r="X407" s="17" t="str">
        <f ca="1">IF($D407="","",OFFSET('(2)出場選手'!$B$2,$A407,X$1))</f>
        <v/>
      </c>
      <c r="Y407" s="17" t="str">
        <f ca="1">IF($D407="","",OFFSET('(2)出場選手'!$B$2,$A407,Y$1))</f>
        <v/>
      </c>
      <c r="Z407" s="17" t="str">
        <f ca="1">IF($D407="","",OFFSET('(2)出場選手'!$B$2,$A407,Z$1))</f>
        <v/>
      </c>
    </row>
    <row r="408" spans="1:26" x14ac:dyDescent="0.15">
      <c r="A408" s="17">
        <f>TRUNC((ROWS($D$3:D408)-2)/Max_Entry_Count)+1</f>
        <v>135</v>
      </c>
      <c r="B408" s="17" t="str">
        <f ca="1">IF($A408&gt;=ROWS(Entries)-2,"",IF(OFFSET('(2)出場選手'!$B$2,$A408,B$1+3*(MOD(ROWS($D$3:D408)-2,Max_Entry_Count)))="","",MOD(ROWS($D$3:D408)-2,Max_Entry_Count)))</f>
        <v/>
      </c>
      <c r="D408" s="26" t="str">
        <f ca="1">IF(OR($A408&gt;=ROWS(Entries)-2,$B408=""),"",'(1)鑑'!$E$6&amp;"-"&amp;OFFSET('(2)出場選手'!$B$2,$A408,D$1))</f>
        <v/>
      </c>
      <c r="E408" s="26" t="str">
        <f ca="1">IF($D408="","",OFFSET('(2)出場選手'!$B$2,$A408,E$1))</f>
        <v/>
      </c>
      <c r="F408" s="26" t="str">
        <f ca="1">IF($D408="","",IF(OFFSET('(2)出場選手'!$B$2,$A408,F$1)="","",OFFSET('(2)出場選手'!$B$2,$A408,F$1)))</f>
        <v/>
      </c>
      <c r="G408" s="26" t="str">
        <f t="shared" ca="1" si="18"/>
        <v/>
      </c>
      <c r="H408" s="26" t="str">
        <f t="shared" ca="1" si="30"/>
        <v/>
      </c>
      <c r="I408" s="26" t="str">
        <f ca="1">IF($D408="","",IF(OFFSET('(2)出場選手'!$B$2,$A408,I$1)="","",OFFSET('(2)出場選手'!$B$2,$A408,I$1)))</f>
        <v/>
      </c>
      <c r="J408" s="26" t="str">
        <f ca="1">IF($D408="","",IF(OFFSET('(2)出場選手'!$B$2,$A408,J$1)="",'(1)鑑'!$E$6,OFFSET('(2)出場選手'!$B$2,$A408,J$1)))</f>
        <v/>
      </c>
      <c r="K408" s="26" t="str">
        <f ca="1">IF($D408="","",TRIM(ASC(IF(OFFSET('(2)出場選手'!$B$2,$A408,K$1)="",'(1)鑑'!$E$7,OFFSET('(2)出場選手'!$B$2,$A408,K$1)))))</f>
        <v/>
      </c>
      <c r="L408" s="26" t="str">
        <f ca="1">IF($D408="","",SUBSTITUTE(SUBSTITUTE(SUBSTITUTE(IF(OFFSET('(2)出場選手'!$B$2,$A408,L$1)="",'(1)鑑'!$E$8,OFFSET('(2)出場選手'!$B$2,$A408,L$1)),"県",""),"府",""),"東京都","東京"))</f>
        <v/>
      </c>
      <c r="M408" s="57" t="str">
        <f ca="1">IF($D408="","",IF(OFFSET('(2)出場選手'!$B$2,$A408,M$1)="","",OFFSET('(2)出場選手'!$B$2,$A408,M$1)))</f>
        <v/>
      </c>
      <c r="N408" s="26" t="str">
        <f ca="1">IF($D408="","",OFFSET('(2)出場選手'!$B$2,$A408,N$1+3*$B408))</f>
        <v/>
      </c>
      <c r="O408" s="26" t="str">
        <f ca="1">IF($D408="","",IF(OFFSET('(2)出場選手'!$B$2,$A408,O$1+3*$B408)="","",OFFSET('(2)出場選手'!$B$2,$A408,O$1+3*$B408)))</f>
        <v/>
      </c>
      <c r="P408" s="26" t="str">
        <f ca="1">IF($D408="","",IF(OFFSET('(2)出場選手'!$B$2,$A408,P$1+3*$B408)="","",OFFSET('(2)出場選手'!$B$2,$A408,P$1+3*$B408)))</f>
        <v/>
      </c>
      <c r="Q408" s="43" t="str">
        <f ca="1">IF(D408="","",VLOOKUP(N408,OFFSET(Competition_Events,0,1),11,FALSE)*IF($S408="リレー",IF(COUNTIF($T$3:$T408,$T408)&gt;1,0,1),1))</f>
        <v/>
      </c>
      <c r="R408" s="26" t="str">
        <f t="shared" ca="1" si="20"/>
        <v/>
      </c>
      <c r="S408" s="26" t="str">
        <f t="shared" ca="1" si="21"/>
        <v/>
      </c>
      <c r="T408" s="26" t="str">
        <f t="shared" ca="1" si="22"/>
        <v/>
      </c>
      <c r="U408" s="26" t="str">
        <f t="shared" ca="1" si="29"/>
        <v/>
      </c>
      <c r="W408" s="17" t="str">
        <f ca="1">IF($D408="","",OFFSET('(2)出場選手'!$B$2,$A408,W$1))</f>
        <v/>
      </c>
      <c r="X408" s="17" t="str">
        <f ca="1">IF($D408="","",OFFSET('(2)出場選手'!$B$2,$A408,X$1))</f>
        <v/>
      </c>
      <c r="Y408" s="17" t="str">
        <f ca="1">IF($D408="","",OFFSET('(2)出場選手'!$B$2,$A408,Y$1))</f>
        <v/>
      </c>
      <c r="Z408" s="17" t="str">
        <f ca="1">IF($D408="","",OFFSET('(2)出場選手'!$B$2,$A408,Z$1))</f>
        <v/>
      </c>
    </row>
    <row r="409" spans="1:26" x14ac:dyDescent="0.15">
      <c r="A409" s="17">
        <f>TRUNC((ROWS($D$3:D409)-2)/Max_Entry_Count)+1</f>
        <v>136</v>
      </c>
      <c r="B409" s="17" t="str">
        <f ca="1">IF($A409&gt;=ROWS(Entries)-2,"",IF(OFFSET('(2)出場選手'!$B$2,$A409,B$1+3*(MOD(ROWS($D$3:D409)-2,Max_Entry_Count)))="","",MOD(ROWS($D$3:D409)-2,Max_Entry_Count)))</f>
        <v/>
      </c>
      <c r="D409" s="26" t="str">
        <f ca="1">IF(OR($A409&gt;=ROWS(Entries)-2,$B409=""),"",'(1)鑑'!$E$6&amp;"-"&amp;OFFSET('(2)出場選手'!$B$2,$A409,D$1))</f>
        <v/>
      </c>
      <c r="E409" s="26" t="str">
        <f ca="1">IF($D409="","",OFFSET('(2)出場選手'!$B$2,$A409,E$1))</f>
        <v/>
      </c>
      <c r="F409" s="26" t="str">
        <f ca="1">IF($D409="","",IF(OFFSET('(2)出場選手'!$B$2,$A409,F$1)="","",OFFSET('(2)出場選手'!$B$2,$A409,F$1)))</f>
        <v/>
      </c>
      <c r="G409" s="26" t="str">
        <f t="shared" ca="1" si="18"/>
        <v/>
      </c>
      <c r="H409" s="26" t="str">
        <f t="shared" ca="1" si="30"/>
        <v/>
      </c>
      <c r="I409" s="26" t="str">
        <f ca="1">IF($D409="","",IF(OFFSET('(2)出場選手'!$B$2,$A409,I$1)="","",OFFSET('(2)出場選手'!$B$2,$A409,I$1)))</f>
        <v/>
      </c>
      <c r="J409" s="26" t="str">
        <f ca="1">IF($D409="","",IF(OFFSET('(2)出場選手'!$B$2,$A409,J$1)="",'(1)鑑'!$E$6,OFFSET('(2)出場選手'!$B$2,$A409,J$1)))</f>
        <v/>
      </c>
      <c r="K409" s="26" t="str">
        <f ca="1">IF($D409="","",TRIM(ASC(IF(OFFSET('(2)出場選手'!$B$2,$A409,K$1)="",'(1)鑑'!$E$7,OFFSET('(2)出場選手'!$B$2,$A409,K$1)))))</f>
        <v/>
      </c>
      <c r="L409" s="26" t="str">
        <f ca="1">IF($D409="","",SUBSTITUTE(SUBSTITUTE(SUBSTITUTE(IF(OFFSET('(2)出場選手'!$B$2,$A409,L$1)="",'(1)鑑'!$E$8,OFFSET('(2)出場選手'!$B$2,$A409,L$1)),"県",""),"府",""),"東京都","東京"))</f>
        <v/>
      </c>
      <c r="M409" s="57" t="str">
        <f ca="1">IF($D409="","",IF(OFFSET('(2)出場選手'!$B$2,$A409,M$1)="","",OFFSET('(2)出場選手'!$B$2,$A409,M$1)))</f>
        <v/>
      </c>
      <c r="N409" s="26" t="str">
        <f ca="1">IF($D409="","",OFFSET('(2)出場選手'!$B$2,$A409,N$1+3*$B409))</f>
        <v/>
      </c>
      <c r="O409" s="26" t="str">
        <f ca="1">IF($D409="","",IF(OFFSET('(2)出場選手'!$B$2,$A409,O$1+3*$B409)="","",OFFSET('(2)出場選手'!$B$2,$A409,O$1+3*$B409)))</f>
        <v/>
      </c>
      <c r="P409" s="26" t="str">
        <f ca="1">IF($D409="","",IF(OFFSET('(2)出場選手'!$B$2,$A409,P$1+3*$B409)="","",OFFSET('(2)出場選手'!$B$2,$A409,P$1+3*$B409)))</f>
        <v/>
      </c>
      <c r="Q409" s="43" t="str">
        <f ca="1">IF(D409="","",VLOOKUP(N409,OFFSET(Competition_Events,0,1),11,FALSE)*IF($S409="リレー",IF(COUNTIF($T$3:$T409,$T409)&gt;1,0,1),1))</f>
        <v/>
      </c>
      <c r="R409" s="26" t="str">
        <f t="shared" ca="1" si="20"/>
        <v/>
      </c>
      <c r="S409" s="26" t="str">
        <f t="shared" ca="1" si="21"/>
        <v/>
      </c>
      <c r="T409" s="26" t="str">
        <f t="shared" ca="1" si="22"/>
        <v/>
      </c>
      <c r="U409" s="26" t="str">
        <f t="shared" ca="1" si="29"/>
        <v/>
      </c>
      <c r="W409" s="17" t="str">
        <f ca="1">IF($D409="","",OFFSET('(2)出場選手'!$B$2,$A409,W$1))</f>
        <v/>
      </c>
      <c r="X409" s="17" t="str">
        <f ca="1">IF($D409="","",OFFSET('(2)出場選手'!$B$2,$A409,X$1))</f>
        <v/>
      </c>
      <c r="Y409" s="17" t="str">
        <f ca="1">IF($D409="","",OFFSET('(2)出場選手'!$B$2,$A409,Y$1))</f>
        <v/>
      </c>
      <c r="Z409" s="17" t="str">
        <f ca="1">IF($D409="","",OFFSET('(2)出場選手'!$B$2,$A409,Z$1))</f>
        <v/>
      </c>
    </row>
    <row r="410" spans="1:26" x14ac:dyDescent="0.15">
      <c r="A410" s="17">
        <f>TRUNC((ROWS($D$3:D410)-2)/Max_Entry_Count)+1</f>
        <v>136</v>
      </c>
      <c r="B410" s="17" t="str">
        <f ca="1">IF($A410&gt;=ROWS(Entries)-2,"",IF(OFFSET('(2)出場選手'!$B$2,$A410,B$1+3*(MOD(ROWS($D$3:D410)-2,Max_Entry_Count)))="","",MOD(ROWS($D$3:D410)-2,Max_Entry_Count)))</f>
        <v/>
      </c>
      <c r="D410" s="26" t="str">
        <f ca="1">IF(OR($A410&gt;=ROWS(Entries)-2,$B410=""),"",'(1)鑑'!$E$6&amp;"-"&amp;OFFSET('(2)出場選手'!$B$2,$A410,D$1))</f>
        <v/>
      </c>
      <c r="E410" s="26" t="str">
        <f ca="1">IF($D410="","",OFFSET('(2)出場選手'!$B$2,$A410,E$1))</f>
        <v/>
      </c>
      <c r="F410" s="26" t="str">
        <f ca="1">IF($D410="","",IF(OFFSET('(2)出場選手'!$B$2,$A410,F$1)="","",OFFSET('(2)出場選手'!$B$2,$A410,F$1)))</f>
        <v/>
      </c>
      <c r="G410" s="26" t="str">
        <f t="shared" ca="1" si="18"/>
        <v/>
      </c>
      <c r="H410" s="26" t="str">
        <f t="shared" ca="1" si="30"/>
        <v/>
      </c>
      <c r="I410" s="26" t="str">
        <f ca="1">IF($D410="","",IF(OFFSET('(2)出場選手'!$B$2,$A410,I$1)="","",OFFSET('(2)出場選手'!$B$2,$A410,I$1)))</f>
        <v/>
      </c>
      <c r="J410" s="26" t="str">
        <f ca="1">IF($D410="","",IF(OFFSET('(2)出場選手'!$B$2,$A410,J$1)="",'(1)鑑'!$E$6,OFFSET('(2)出場選手'!$B$2,$A410,J$1)))</f>
        <v/>
      </c>
      <c r="K410" s="26" t="str">
        <f ca="1">IF($D410="","",TRIM(ASC(IF(OFFSET('(2)出場選手'!$B$2,$A410,K$1)="",'(1)鑑'!$E$7,OFFSET('(2)出場選手'!$B$2,$A410,K$1)))))</f>
        <v/>
      </c>
      <c r="L410" s="26" t="str">
        <f ca="1">IF($D410="","",SUBSTITUTE(SUBSTITUTE(SUBSTITUTE(IF(OFFSET('(2)出場選手'!$B$2,$A410,L$1)="",'(1)鑑'!$E$8,OFFSET('(2)出場選手'!$B$2,$A410,L$1)),"県",""),"府",""),"東京都","東京"))</f>
        <v/>
      </c>
      <c r="M410" s="57" t="str">
        <f ca="1">IF($D410="","",IF(OFFSET('(2)出場選手'!$B$2,$A410,M$1)="","",OFFSET('(2)出場選手'!$B$2,$A410,M$1)))</f>
        <v/>
      </c>
      <c r="N410" s="26" t="str">
        <f ca="1">IF($D410="","",OFFSET('(2)出場選手'!$B$2,$A410,N$1+3*$B410))</f>
        <v/>
      </c>
      <c r="O410" s="26" t="str">
        <f ca="1">IF($D410="","",IF(OFFSET('(2)出場選手'!$B$2,$A410,O$1+3*$B410)="","",OFFSET('(2)出場選手'!$B$2,$A410,O$1+3*$B410)))</f>
        <v/>
      </c>
      <c r="P410" s="26" t="str">
        <f ca="1">IF($D410="","",IF(OFFSET('(2)出場選手'!$B$2,$A410,P$1+3*$B410)="","",OFFSET('(2)出場選手'!$B$2,$A410,P$1+3*$B410)))</f>
        <v/>
      </c>
      <c r="Q410" s="43" t="str">
        <f ca="1">IF(D410="","",VLOOKUP(N410,OFFSET(Competition_Events,0,1),11,FALSE)*IF($S410="リレー",IF(COUNTIF($T$3:$T410,$T410)&gt;1,0,1),1))</f>
        <v/>
      </c>
      <c r="R410" s="26" t="str">
        <f t="shared" ca="1" si="20"/>
        <v/>
      </c>
      <c r="S410" s="26" t="str">
        <f t="shared" ca="1" si="21"/>
        <v/>
      </c>
      <c r="T410" s="26" t="str">
        <f t="shared" ca="1" si="22"/>
        <v/>
      </c>
      <c r="U410" s="26" t="str">
        <f t="shared" ca="1" si="29"/>
        <v/>
      </c>
      <c r="W410" s="17" t="str">
        <f ca="1">IF($D410="","",OFFSET('(2)出場選手'!$B$2,$A410,W$1))</f>
        <v/>
      </c>
      <c r="X410" s="17" t="str">
        <f ca="1">IF($D410="","",OFFSET('(2)出場選手'!$B$2,$A410,X$1))</f>
        <v/>
      </c>
      <c r="Y410" s="17" t="str">
        <f ca="1">IF($D410="","",OFFSET('(2)出場選手'!$B$2,$A410,Y$1))</f>
        <v/>
      </c>
      <c r="Z410" s="17" t="str">
        <f ca="1">IF($D410="","",OFFSET('(2)出場選手'!$B$2,$A410,Z$1))</f>
        <v/>
      </c>
    </row>
    <row r="411" spans="1:26" x14ac:dyDescent="0.15">
      <c r="A411" s="17">
        <f>TRUNC((ROWS($D$3:D411)-2)/Max_Entry_Count)+1</f>
        <v>136</v>
      </c>
      <c r="B411" s="17" t="str">
        <f ca="1">IF($A411&gt;=ROWS(Entries)-2,"",IF(OFFSET('(2)出場選手'!$B$2,$A411,B$1+3*(MOD(ROWS($D$3:D411)-2,Max_Entry_Count)))="","",MOD(ROWS($D$3:D411)-2,Max_Entry_Count)))</f>
        <v/>
      </c>
      <c r="D411" s="26" t="str">
        <f ca="1">IF(OR($A411&gt;=ROWS(Entries)-2,$B411=""),"",'(1)鑑'!$E$6&amp;"-"&amp;OFFSET('(2)出場選手'!$B$2,$A411,D$1))</f>
        <v/>
      </c>
      <c r="E411" s="26" t="str">
        <f ca="1">IF($D411="","",OFFSET('(2)出場選手'!$B$2,$A411,E$1))</f>
        <v/>
      </c>
      <c r="F411" s="26" t="str">
        <f ca="1">IF($D411="","",IF(OFFSET('(2)出場選手'!$B$2,$A411,F$1)="","",OFFSET('(2)出場選手'!$B$2,$A411,F$1)))</f>
        <v/>
      </c>
      <c r="G411" s="26" t="str">
        <f t="shared" ca="1" si="18"/>
        <v/>
      </c>
      <c r="H411" s="26" t="str">
        <f t="shared" ca="1" si="30"/>
        <v/>
      </c>
      <c r="I411" s="26" t="str">
        <f ca="1">IF($D411="","",IF(OFFSET('(2)出場選手'!$B$2,$A411,I$1)="","",OFFSET('(2)出場選手'!$B$2,$A411,I$1)))</f>
        <v/>
      </c>
      <c r="J411" s="26" t="str">
        <f ca="1">IF($D411="","",IF(OFFSET('(2)出場選手'!$B$2,$A411,J$1)="",'(1)鑑'!$E$6,OFFSET('(2)出場選手'!$B$2,$A411,J$1)))</f>
        <v/>
      </c>
      <c r="K411" s="26" t="str">
        <f ca="1">IF($D411="","",TRIM(ASC(IF(OFFSET('(2)出場選手'!$B$2,$A411,K$1)="",'(1)鑑'!$E$7,OFFSET('(2)出場選手'!$B$2,$A411,K$1)))))</f>
        <v/>
      </c>
      <c r="L411" s="26" t="str">
        <f ca="1">IF($D411="","",SUBSTITUTE(SUBSTITUTE(SUBSTITUTE(IF(OFFSET('(2)出場選手'!$B$2,$A411,L$1)="",'(1)鑑'!$E$8,OFFSET('(2)出場選手'!$B$2,$A411,L$1)),"県",""),"府",""),"東京都","東京"))</f>
        <v/>
      </c>
      <c r="M411" s="57" t="str">
        <f ca="1">IF($D411="","",IF(OFFSET('(2)出場選手'!$B$2,$A411,M$1)="","",OFFSET('(2)出場選手'!$B$2,$A411,M$1)))</f>
        <v/>
      </c>
      <c r="N411" s="26" t="str">
        <f ca="1">IF($D411="","",OFFSET('(2)出場選手'!$B$2,$A411,N$1+3*$B411))</f>
        <v/>
      </c>
      <c r="O411" s="26" t="str">
        <f ca="1">IF($D411="","",IF(OFFSET('(2)出場選手'!$B$2,$A411,O$1+3*$B411)="","",OFFSET('(2)出場選手'!$B$2,$A411,O$1+3*$B411)))</f>
        <v/>
      </c>
      <c r="P411" s="26" t="str">
        <f ca="1">IF($D411="","",IF(OFFSET('(2)出場選手'!$B$2,$A411,P$1+3*$B411)="","",OFFSET('(2)出場選手'!$B$2,$A411,P$1+3*$B411)))</f>
        <v/>
      </c>
      <c r="Q411" s="43" t="str">
        <f ca="1">IF(D411="","",VLOOKUP(N411,OFFSET(Competition_Events,0,1),11,FALSE)*IF($S411="リレー",IF(COUNTIF($T$3:$T411,$T411)&gt;1,0,1),1))</f>
        <v/>
      </c>
      <c r="R411" s="26" t="str">
        <f t="shared" ca="1" si="20"/>
        <v/>
      </c>
      <c r="S411" s="26" t="str">
        <f t="shared" ca="1" si="21"/>
        <v/>
      </c>
      <c r="T411" s="26" t="str">
        <f t="shared" ca="1" si="22"/>
        <v/>
      </c>
      <c r="U411" s="26" t="str">
        <f t="shared" ca="1" si="29"/>
        <v/>
      </c>
      <c r="W411" s="17" t="str">
        <f ca="1">IF($D411="","",OFFSET('(2)出場選手'!$B$2,$A411,W$1))</f>
        <v/>
      </c>
      <c r="X411" s="17" t="str">
        <f ca="1">IF($D411="","",OFFSET('(2)出場選手'!$B$2,$A411,X$1))</f>
        <v/>
      </c>
      <c r="Y411" s="17" t="str">
        <f ca="1">IF($D411="","",OFFSET('(2)出場選手'!$B$2,$A411,Y$1))</f>
        <v/>
      </c>
      <c r="Z411" s="17" t="str">
        <f ca="1">IF($D411="","",OFFSET('(2)出場選手'!$B$2,$A411,Z$1))</f>
        <v/>
      </c>
    </row>
    <row r="412" spans="1:26" x14ac:dyDescent="0.15">
      <c r="A412" s="17">
        <f>TRUNC((ROWS($D$3:D412)-2)/Max_Entry_Count)+1</f>
        <v>137</v>
      </c>
      <c r="B412" s="17" t="str">
        <f ca="1">IF($A412&gt;=ROWS(Entries)-2,"",IF(OFFSET('(2)出場選手'!$B$2,$A412,B$1+3*(MOD(ROWS($D$3:D412)-2,Max_Entry_Count)))="","",MOD(ROWS($D$3:D412)-2,Max_Entry_Count)))</f>
        <v/>
      </c>
      <c r="D412" s="26" t="str">
        <f ca="1">IF(OR($A412&gt;=ROWS(Entries)-2,$B412=""),"",'(1)鑑'!$E$6&amp;"-"&amp;OFFSET('(2)出場選手'!$B$2,$A412,D$1))</f>
        <v/>
      </c>
      <c r="E412" s="26" t="str">
        <f ca="1">IF($D412="","",OFFSET('(2)出場選手'!$B$2,$A412,E$1))</f>
        <v/>
      </c>
      <c r="F412" s="26" t="str">
        <f ca="1">IF($D412="","",IF(OFFSET('(2)出場選手'!$B$2,$A412,F$1)="","",OFFSET('(2)出場選手'!$B$2,$A412,F$1)))</f>
        <v/>
      </c>
      <c r="G412" s="26" t="str">
        <f t="shared" ca="1" si="18"/>
        <v/>
      </c>
      <c r="H412" s="26" t="str">
        <f t="shared" ca="1" si="30"/>
        <v/>
      </c>
      <c r="I412" s="26" t="str">
        <f ca="1">IF($D412="","",IF(OFFSET('(2)出場選手'!$B$2,$A412,I$1)="","",OFFSET('(2)出場選手'!$B$2,$A412,I$1)))</f>
        <v/>
      </c>
      <c r="J412" s="26" t="str">
        <f ca="1">IF($D412="","",IF(OFFSET('(2)出場選手'!$B$2,$A412,J$1)="",'(1)鑑'!$E$6,OFFSET('(2)出場選手'!$B$2,$A412,J$1)))</f>
        <v/>
      </c>
      <c r="K412" s="26" t="str">
        <f ca="1">IF($D412="","",TRIM(ASC(IF(OFFSET('(2)出場選手'!$B$2,$A412,K$1)="",'(1)鑑'!$E$7,OFFSET('(2)出場選手'!$B$2,$A412,K$1)))))</f>
        <v/>
      </c>
      <c r="L412" s="26" t="str">
        <f ca="1">IF($D412="","",SUBSTITUTE(SUBSTITUTE(SUBSTITUTE(IF(OFFSET('(2)出場選手'!$B$2,$A412,L$1)="",'(1)鑑'!$E$8,OFFSET('(2)出場選手'!$B$2,$A412,L$1)),"県",""),"府",""),"東京都","東京"))</f>
        <v/>
      </c>
      <c r="M412" s="57" t="str">
        <f ca="1">IF($D412="","",IF(OFFSET('(2)出場選手'!$B$2,$A412,M$1)="","",OFFSET('(2)出場選手'!$B$2,$A412,M$1)))</f>
        <v/>
      </c>
      <c r="N412" s="26" t="str">
        <f ca="1">IF($D412="","",OFFSET('(2)出場選手'!$B$2,$A412,N$1+3*$B412))</f>
        <v/>
      </c>
      <c r="O412" s="26" t="str">
        <f ca="1">IF($D412="","",IF(OFFSET('(2)出場選手'!$B$2,$A412,O$1+3*$B412)="","",OFFSET('(2)出場選手'!$B$2,$A412,O$1+3*$B412)))</f>
        <v/>
      </c>
      <c r="P412" s="26" t="str">
        <f ca="1">IF($D412="","",IF(OFFSET('(2)出場選手'!$B$2,$A412,P$1+3*$B412)="","",OFFSET('(2)出場選手'!$B$2,$A412,P$1+3*$B412)))</f>
        <v/>
      </c>
      <c r="Q412" s="43" t="str">
        <f ca="1">IF(D412="","",VLOOKUP(N412,OFFSET(Competition_Events,0,1),11,FALSE)*IF($S412="リレー",IF(COUNTIF($T$3:$T412,$T412)&gt;1,0,1),1))</f>
        <v/>
      </c>
      <c r="R412" s="26" t="str">
        <f t="shared" ca="1" si="20"/>
        <v/>
      </c>
      <c r="S412" s="26" t="str">
        <f t="shared" ca="1" si="21"/>
        <v/>
      </c>
      <c r="T412" s="26" t="str">
        <f t="shared" ca="1" si="22"/>
        <v/>
      </c>
      <c r="U412" s="26" t="str">
        <f t="shared" ca="1" si="29"/>
        <v/>
      </c>
      <c r="W412" s="17" t="str">
        <f ca="1">IF($D412="","",OFFSET('(2)出場選手'!$B$2,$A412,W$1))</f>
        <v/>
      </c>
      <c r="X412" s="17" t="str">
        <f ca="1">IF($D412="","",OFFSET('(2)出場選手'!$B$2,$A412,X$1))</f>
        <v/>
      </c>
      <c r="Y412" s="17" t="str">
        <f ca="1">IF($D412="","",OFFSET('(2)出場選手'!$B$2,$A412,Y$1))</f>
        <v/>
      </c>
      <c r="Z412" s="17" t="str">
        <f ca="1">IF($D412="","",OFFSET('(2)出場選手'!$B$2,$A412,Z$1))</f>
        <v/>
      </c>
    </row>
    <row r="413" spans="1:26" x14ac:dyDescent="0.15">
      <c r="A413" s="17">
        <f>TRUNC((ROWS($D$3:D413)-2)/Max_Entry_Count)+1</f>
        <v>137</v>
      </c>
      <c r="B413" s="17" t="str">
        <f ca="1">IF($A413&gt;=ROWS(Entries)-2,"",IF(OFFSET('(2)出場選手'!$B$2,$A413,B$1+3*(MOD(ROWS($D$3:D413)-2,Max_Entry_Count)))="","",MOD(ROWS($D$3:D413)-2,Max_Entry_Count)))</f>
        <v/>
      </c>
      <c r="D413" s="26" t="str">
        <f ca="1">IF(OR($A413&gt;=ROWS(Entries)-2,$B413=""),"",'(1)鑑'!$E$6&amp;"-"&amp;OFFSET('(2)出場選手'!$B$2,$A413,D$1))</f>
        <v/>
      </c>
      <c r="E413" s="26" t="str">
        <f ca="1">IF($D413="","",OFFSET('(2)出場選手'!$B$2,$A413,E$1))</f>
        <v/>
      </c>
      <c r="F413" s="26" t="str">
        <f ca="1">IF($D413="","",IF(OFFSET('(2)出場選手'!$B$2,$A413,F$1)="","",OFFSET('(2)出場選手'!$B$2,$A413,F$1)))</f>
        <v/>
      </c>
      <c r="G413" s="26" t="str">
        <f t="shared" ca="1" si="18"/>
        <v/>
      </c>
      <c r="H413" s="26" t="str">
        <f t="shared" ca="1" si="30"/>
        <v/>
      </c>
      <c r="I413" s="26" t="str">
        <f ca="1">IF($D413="","",IF(OFFSET('(2)出場選手'!$B$2,$A413,I$1)="","",OFFSET('(2)出場選手'!$B$2,$A413,I$1)))</f>
        <v/>
      </c>
      <c r="J413" s="26" t="str">
        <f ca="1">IF($D413="","",IF(OFFSET('(2)出場選手'!$B$2,$A413,J$1)="",'(1)鑑'!$E$6,OFFSET('(2)出場選手'!$B$2,$A413,J$1)))</f>
        <v/>
      </c>
      <c r="K413" s="26" t="str">
        <f ca="1">IF($D413="","",TRIM(ASC(IF(OFFSET('(2)出場選手'!$B$2,$A413,K$1)="",'(1)鑑'!$E$7,OFFSET('(2)出場選手'!$B$2,$A413,K$1)))))</f>
        <v/>
      </c>
      <c r="L413" s="26" t="str">
        <f ca="1">IF($D413="","",SUBSTITUTE(SUBSTITUTE(SUBSTITUTE(IF(OFFSET('(2)出場選手'!$B$2,$A413,L$1)="",'(1)鑑'!$E$8,OFFSET('(2)出場選手'!$B$2,$A413,L$1)),"県",""),"府",""),"東京都","東京"))</f>
        <v/>
      </c>
      <c r="M413" s="57" t="str">
        <f ca="1">IF($D413="","",IF(OFFSET('(2)出場選手'!$B$2,$A413,M$1)="","",OFFSET('(2)出場選手'!$B$2,$A413,M$1)))</f>
        <v/>
      </c>
      <c r="N413" s="26" t="str">
        <f ca="1">IF($D413="","",OFFSET('(2)出場選手'!$B$2,$A413,N$1+3*$B413))</f>
        <v/>
      </c>
      <c r="O413" s="26" t="str">
        <f ca="1">IF($D413="","",IF(OFFSET('(2)出場選手'!$B$2,$A413,O$1+3*$B413)="","",OFFSET('(2)出場選手'!$B$2,$A413,O$1+3*$B413)))</f>
        <v/>
      </c>
      <c r="P413" s="26" t="str">
        <f ca="1">IF($D413="","",IF(OFFSET('(2)出場選手'!$B$2,$A413,P$1+3*$B413)="","",OFFSET('(2)出場選手'!$B$2,$A413,P$1+3*$B413)))</f>
        <v/>
      </c>
      <c r="Q413" s="43" t="str">
        <f ca="1">IF(D413="","",VLOOKUP(N413,OFFSET(Competition_Events,0,1),11,FALSE)*IF($S413="リレー",IF(COUNTIF($T$3:$T413,$T413)&gt;1,0,1),1))</f>
        <v/>
      </c>
      <c r="R413" s="26" t="str">
        <f t="shared" ca="1" si="20"/>
        <v/>
      </c>
      <c r="S413" s="26" t="str">
        <f t="shared" ca="1" si="21"/>
        <v/>
      </c>
      <c r="T413" s="26" t="str">
        <f t="shared" ca="1" si="22"/>
        <v/>
      </c>
      <c r="U413" s="26" t="str">
        <f t="shared" ca="1" si="29"/>
        <v/>
      </c>
      <c r="W413" s="17" t="str">
        <f ca="1">IF($D413="","",OFFSET('(2)出場選手'!$B$2,$A413,W$1))</f>
        <v/>
      </c>
      <c r="X413" s="17" t="str">
        <f ca="1">IF($D413="","",OFFSET('(2)出場選手'!$B$2,$A413,X$1))</f>
        <v/>
      </c>
      <c r="Y413" s="17" t="str">
        <f ca="1">IF($D413="","",OFFSET('(2)出場選手'!$B$2,$A413,Y$1))</f>
        <v/>
      </c>
      <c r="Z413" s="17" t="str">
        <f ca="1">IF($D413="","",OFFSET('(2)出場選手'!$B$2,$A413,Z$1))</f>
        <v/>
      </c>
    </row>
    <row r="414" spans="1:26" x14ac:dyDescent="0.15">
      <c r="A414" s="17">
        <f>TRUNC((ROWS($D$3:D414)-2)/Max_Entry_Count)+1</f>
        <v>137</v>
      </c>
      <c r="B414" s="17" t="str">
        <f ca="1">IF($A414&gt;=ROWS(Entries)-2,"",IF(OFFSET('(2)出場選手'!$B$2,$A414,B$1+3*(MOD(ROWS($D$3:D414)-2,Max_Entry_Count)))="","",MOD(ROWS($D$3:D414)-2,Max_Entry_Count)))</f>
        <v/>
      </c>
      <c r="D414" s="26" t="str">
        <f ca="1">IF(OR($A414&gt;=ROWS(Entries)-2,$B414=""),"",'(1)鑑'!$E$6&amp;"-"&amp;OFFSET('(2)出場選手'!$B$2,$A414,D$1))</f>
        <v/>
      </c>
      <c r="E414" s="26" t="str">
        <f ca="1">IF($D414="","",OFFSET('(2)出場選手'!$B$2,$A414,E$1))</f>
        <v/>
      </c>
      <c r="F414" s="26" t="str">
        <f ca="1">IF($D414="","",IF(OFFSET('(2)出場選手'!$B$2,$A414,F$1)="","",OFFSET('(2)出場選手'!$B$2,$A414,F$1)))</f>
        <v/>
      </c>
      <c r="G414" s="26" t="str">
        <f t="shared" ca="1" si="18"/>
        <v/>
      </c>
      <c r="H414" s="26" t="str">
        <f t="shared" ca="1" si="30"/>
        <v/>
      </c>
      <c r="I414" s="26" t="str">
        <f ca="1">IF($D414="","",IF(OFFSET('(2)出場選手'!$B$2,$A414,I$1)="","",OFFSET('(2)出場選手'!$B$2,$A414,I$1)))</f>
        <v/>
      </c>
      <c r="J414" s="26" t="str">
        <f ca="1">IF($D414="","",IF(OFFSET('(2)出場選手'!$B$2,$A414,J$1)="",'(1)鑑'!$E$6,OFFSET('(2)出場選手'!$B$2,$A414,J$1)))</f>
        <v/>
      </c>
      <c r="K414" s="26" t="str">
        <f ca="1">IF($D414="","",TRIM(ASC(IF(OFFSET('(2)出場選手'!$B$2,$A414,K$1)="",'(1)鑑'!$E$7,OFFSET('(2)出場選手'!$B$2,$A414,K$1)))))</f>
        <v/>
      </c>
      <c r="L414" s="26" t="str">
        <f ca="1">IF($D414="","",SUBSTITUTE(SUBSTITUTE(SUBSTITUTE(IF(OFFSET('(2)出場選手'!$B$2,$A414,L$1)="",'(1)鑑'!$E$8,OFFSET('(2)出場選手'!$B$2,$A414,L$1)),"県",""),"府",""),"東京都","東京"))</f>
        <v/>
      </c>
      <c r="M414" s="57" t="str">
        <f ca="1">IF($D414="","",IF(OFFSET('(2)出場選手'!$B$2,$A414,M$1)="","",OFFSET('(2)出場選手'!$B$2,$A414,M$1)))</f>
        <v/>
      </c>
      <c r="N414" s="26" t="str">
        <f ca="1">IF($D414="","",OFFSET('(2)出場選手'!$B$2,$A414,N$1+3*$B414))</f>
        <v/>
      </c>
      <c r="O414" s="26" t="str">
        <f ca="1">IF($D414="","",IF(OFFSET('(2)出場選手'!$B$2,$A414,O$1+3*$B414)="","",OFFSET('(2)出場選手'!$B$2,$A414,O$1+3*$B414)))</f>
        <v/>
      </c>
      <c r="P414" s="26" t="str">
        <f ca="1">IF($D414="","",IF(OFFSET('(2)出場選手'!$B$2,$A414,P$1+3*$B414)="","",OFFSET('(2)出場選手'!$B$2,$A414,P$1+3*$B414)))</f>
        <v/>
      </c>
      <c r="Q414" s="43" t="str">
        <f ca="1">IF(D414="","",VLOOKUP(N414,OFFSET(Competition_Events,0,1),11,FALSE)*IF($S414="リレー",IF(COUNTIF($T$3:$T414,$T414)&gt;1,0,1),1))</f>
        <v/>
      </c>
      <c r="R414" s="26" t="str">
        <f t="shared" ca="1" si="20"/>
        <v/>
      </c>
      <c r="S414" s="26" t="str">
        <f t="shared" ca="1" si="21"/>
        <v/>
      </c>
      <c r="T414" s="26" t="str">
        <f t="shared" ca="1" si="22"/>
        <v/>
      </c>
      <c r="U414" s="26" t="str">
        <f t="shared" ca="1" si="29"/>
        <v/>
      </c>
      <c r="W414" s="17" t="str">
        <f ca="1">IF($D414="","",OFFSET('(2)出場選手'!$B$2,$A414,W$1))</f>
        <v/>
      </c>
      <c r="X414" s="17" t="str">
        <f ca="1">IF($D414="","",OFFSET('(2)出場選手'!$B$2,$A414,X$1))</f>
        <v/>
      </c>
      <c r="Y414" s="17" t="str">
        <f ca="1">IF($D414="","",OFFSET('(2)出場選手'!$B$2,$A414,Y$1))</f>
        <v/>
      </c>
      <c r="Z414" s="17" t="str">
        <f ca="1">IF($D414="","",OFFSET('(2)出場選手'!$B$2,$A414,Z$1))</f>
        <v/>
      </c>
    </row>
    <row r="415" spans="1:26" x14ac:dyDescent="0.15">
      <c r="A415" s="17">
        <f>TRUNC((ROWS($D$3:D415)-2)/Max_Entry_Count)+1</f>
        <v>138</v>
      </c>
      <c r="B415" s="17" t="str">
        <f ca="1">IF($A415&gt;=ROWS(Entries)-2,"",IF(OFFSET('(2)出場選手'!$B$2,$A415,B$1+3*(MOD(ROWS($D$3:D415)-2,Max_Entry_Count)))="","",MOD(ROWS($D$3:D415)-2,Max_Entry_Count)))</f>
        <v/>
      </c>
      <c r="D415" s="26" t="str">
        <f ca="1">IF(OR($A415&gt;=ROWS(Entries)-2,$B415=""),"",'(1)鑑'!$E$6&amp;"-"&amp;OFFSET('(2)出場選手'!$B$2,$A415,D$1))</f>
        <v/>
      </c>
      <c r="E415" s="26" t="str">
        <f ca="1">IF($D415="","",OFFSET('(2)出場選手'!$B$2,$A415,E$1))</f>
        <v/>
      </c>
      <c r="F415" s="26" t="str">
        <f ca="1">IF($D415="","",IF(OFFSET('(2)出場選手'!$B$2,$A415,F$1)="","",OFFSET('(2)出場選手'!$B$2,$A415,F$1)))</f>
        <v/>
      </c>
      <c r="G415" s="26" t="str">
        <f t="shared" ca="1" si="18"/>
        <v/>
      </c>
      <c r="H415" s="26" t="str">
        <f t="shared" ca="1" si="30"/>
        <v/>
      </c>
      <c r="I415" s="26" t="str">
        <f ca="1">IF($D415="","",IF(OFFSET('(2)出場選手'!$B$2,$A415,I$1)="","",OFFSET('(2)出場選手'!$B$2,$A415,I$1)))</f>
        <v/>
      </c>
      <c r="J415" s="26" t="str">
        <f ca="1">IF($D415="","",IF(OFFSET('(2)出場選手'!$B$2,$A415,J$1)="",'(1)鑑'!$E$6,OFFSET('(2)出場選手'!$B$2,$A415,J$1)))</f>
        <v/>
      </c>
      <c r="K415" s="26" t="str">
        <f ca="1">IF($D415="","",TRIM(ASC(IF(OFFSET('(2)出場選手'!$B$2,$A415,K$1)="",'(1)鑑'!$E$7,OFFSET('(2)出場選手'!$B$2,$A415,K$1)))))</f>
        <v/>
      </c>
      <c r="L415" s="26" t="str">
        <f ca="1">IF($D415="","",SUBSTITUTE(SUBSTITUTE(SUBSTITUTE(IF(OFFSET('(2)出場選手'!$B$2,$A415,L$1)="",'(1)鑑'!$E$8,OFFSET('(2)出場選手'!$B$2,$A415,L$1)),"県",""),"府",""),"東京都","東京"))</f>
        <v/>
      </c>
      <c r="M415" s="57" t="str">
        <f ca="1">IF($D415="","",IF(OFFSET('(2)出場選手'!$B$2,$A415,M$1)="","",OFFSET('(2)出場選手'!$B$2,$A415,M$1)))</f>
        <v/>
      </c>
      <c r="N415" s="26" t="str">
        <f ca="1">IF($D415="","",OFFSET('(2)出場選手'!$B$2,$A415,N$1+3*$B415))</f>
        <v/>
      </c>
      <c r="O415" s="26" t="str">
        <f ca="1">IF($D415="","",IF(OFFSET('(2)出場選手'!$B$2,$A415,O$1+3*$B415)="","",OFFSET('(2)出場選手'!$B$2,$A415,O$1+3*$B415)))</f>
        <v/>
      </c>
      <c r="P415" s="26" t="str">
        <f ca="1">IF($D415="","",IF(OFFSET('(2)出場選手'!$B$2,$A415,P$1+3*$B415)="","",OFFSET('(2)出場選手'!$B$2,$A415,P$1+3*$B415)))</f>
        <v/>
      </c>
      <c r="Q415" s="43" t="str">
        <f ca="1">IF(D415="","",VLOOKUP(N415,OFFSET(Competition_Events,0,1),11,FALSE)*IF($S415="リレー",IF(COUNTIF($T$3:$T415,$T415)&gt;1,0,1),1))</f>
        <v/>
      </c>
      <c r="R415" s="26" t="str">
        <f t="shared" ca="1" si="20"/>
        <v/>
      </c>
      <c r="S415" s="26" t="str">
        <f t="shared" ca="1" si="21"/>
        <v/>
      </c>
      <c r="T415" s="26" t="str">
        <f t="shared" ca="1" si="22"/>
        <v/>
      </c>
      <c r="U415" s="26" t="str">
        <f t="shared" ca="1" si="29"/>
        <v/>
      </c>
      <c r="W415" s="17" t="str">
        <f ca="1">IF($D415="","",OFFSET('(2)出場選手'!$B$2,$A415,W$1))</f>
        <v/>
      </c>
      <c r="X415" s="17" t="str">
        <f ca="1">IF($D415="","",OFFSET('(2)出場選手'!$B$2,$A415,X$1))</f>
        <v/>
      </c>
      <c r="Y415" s="17" t="str">
        <f ca="1">IF($D415="","",OFFSET('(2)出場選手'!$B$2,$A415,Y$1))</f>
        <v/>
      </c>
      <c r="Z415" s="17" t="str">
        <f ca="1">IF($D415="","",OFFSET('(2)出場選手'!$B$2,$A415,Z$1))</f>
        <v/>
      </c>
    </row>
    <row r="416" spans="1:26" x14ac:dyDescent="0.15">
      <c r="A416" s="17">
        <f>TRUNC((ROWS($D$3:D416)-2)/Max_Entry_Count)+1</f>
        <v>138</v>
      </c>
      <c r="B416" s="17" t="str">
        <f ca="1">IF($A416&gt;=ROWS(Entries)-2,"",IF(OFFSET('(2)出場選手'!$B$2,$A416,B$1+3*(MOD(ROWS($D$3:D416)-2,Max_Entry_Count)))="","",MOD(ROWS($D$3:D416)-2,Max_Entry_Count)))</f>
        <v/>
      </c>
      <c r="D416" s="26" t="str">
        <f ca="1">IF(OR($A416&gt;=ROWS(Entries)-2,$B416=""),"",'(1)鑑'!$E$6&amp;"-"&amp;OFFSET('(2)出場選手'!$B$2,$A416,D$1))</f>
        <v/>
      </c>
      <c r="E416" s="26" t="str">
        <f ca="1">IF($D416="","",OFFSET('(2)出場選手'!$B$2,$A416,E$1))</f>
        <v/>
      </c>
      <c r="F416" s="26" t="str">
        <f ca="1">IF($D416="","",IF(OFFSET('(2)出場選手'!$B$2,$A416,F$1)="","",OFFSET('(2)出場選手'!$B$2,$A416,F$1)))</f>
        <v/>
      </c>
      <c r="G416" s="26" t="str">
        <f t="shared" ca="1" si="18"/>
        <v/>
      </c>
      <c r="H416" s="26" t="str">
        <f t="shared" ca="1" si="30"/>
        <v/>
      </c>
      <c r="I416" s="26" t="str">
        <f ca="1">IF($D416="","",IF(OFFSET('(2)出場選手'!$B$2,$A416,I$1)="","",OFFSET('(2)出場選手'!$B$2,$A416,I$1)))</f>
        <v/>
      </c>
      <c r="J416" s="26" t="str">
        <f ca="1">IF($D416="","",IF(OFFSET('(2)出場選手'!$B$2,$A416,J$1)="",'(1)鑑'!$E$6,OFFSET('(2)出場選手'!$B$2,$A416,J$1)))</f>
        <v/>
      </c>
      <c r="K416" s="26" t="str">
        <f ca="1">IF($D416="","",TRIM(ASC(IF(OFFSET('(2)出場選手'!$B$2,$A416,K$1)="",'(1)鑑'!$E$7,OFFSET('(2)出場選手'!$B$2,$A416,K$1)))))</f>
        <v/>
      </c>
      <c r="L416" s="26" t="str">
        <f ca="1">IF($D416="","",SUBSTITUTE(SUBSTITUTE(SUBSTITUTE(IF(OFFSET('(2)出場選手'!$B$2,$A416,L$1)="",'(1)鑑'!$E$8,OFFSET('(2)出場選手'!$B$2,$A416,L$1)),"県",""),"府",""),"東京都","東京"))</f>
        <v/>
      </c>
      <c r="M416" s="57" t="str">
        <f ca="1">IF($D416="","",IF(OFFSET('(2)出場選手'!$B$2,$A416,M$1)="","",OFFSET('(2)出場選手'!$B$2,$A416,M$1)))</f>
        <v/>
      </c>
      <c r="N416" s="26" t="str">
        <f ca="1">IF($D416="","",OFFSET('(2)出場選手'!$B$2,$A416,N$1+3*$B416))</f>
        <v/>
      </c>
      <c r="O416" s="26" t="str">
        <f ca="1">IF($D416="","",IF(OFFSET('(2)出場選手'!$B$2,$A416,O$1+3*$B416)="","",OFFSET('(2)出場選手'!$B$2,$A416,O$1+3*$B416)))</f>
        <v/>
      </c>
      <c r="P416" s="26" t="str">
        <f ca="1">IF($D416="","",IF(OFFSET('(2)出場選手'!$B$2,$A416,P$1+3*$B416)="","",OFFSET('(2)出場選手'!$B$2,$A416,P$1+3*$B416)))</f>
        <v/>
      </c>
      <c r="Q416" s="43" t="str">
        <f ca="1">IF(D416="","",VLOOKUP(N416,OFFSET(Competition_Events,0,1),11,FALSE)*IF($S416="リレー",IF(COUNTIF($T$3:$T416,$T416)&gt;1,0,1),1))</f>
        <v/>
      </c>
      <c r="R416" s="26" t="str">
        <f t="shared" ca="1" si="20"/>
        <v/>
      </c>
      <c r="S416" s="26" t="str">
        <f t="shared" ca="1" si="21"/>
        <v/>
      </c>
      <c r="T416" s="26" t="str">
        <f t="shared" ca="1" si="22"/>
        <v/>
      </c>
      <c r="U416" s="26" t="str">
        <f t="shared" ca="1" si="29"/>
        <v/>
      </c>
      <c r="W416" s="17" t="str">
        <f ca="1">IF($D416="","",OFFSET('(2)出場選手'!$B$2,$A416,W$1))</f>
        <v/>
      </c>
      <c r="X416" s="17" t="str">
        <f ca="1">IF($D416="","",OFFSET('(2)出場選手'!$B$2,$A416,X$1))</f>
        <v/>
      </c>
      <c r="Y416" s="17" t="str">
        <f ca="1">IF($D416="","",OFFSET('(2)出場選手'!$B$2,$A416,Y$1))</f>
        <v/>
      </c>
      <c r="Z416" s="17" t="str">
        <f ca="1">IF($D416="","",OFFSET('(2)出場選手'!$B$2,$A416,Z$1))</f>
        <v/>
      </c>
    </row>
    <row r="417" spans="1:26" x14ac:dyDescent="0.15">
      <c r="A417" s="17">
        <f>TRUNC((ROWS($D$3:D417)-2)/Max_Entry_Count)+1</f>
        <v>138</v>
      </c>
      <c r="B417" s="17" t="str">
        <f ca="1">IF($A417&gt;=ROWS(Entries)-2,"",IF(OFFSET('(2)出場選手'!$B$2,$A417,B$1+3*(MOD(ROWS($D$3:D417)-2,Max_Entry_Count)))="","",MOD(ROWS($D$3:D417)-2,Max_Entry_Count)))</f>
        <v/>
      </c>
      <c r="D417" s="26" t="str">
        <f ca="1">IF(OR($A417&gt;=ROWS(Entries)-2,$B417=""),"",'(1)鑑'!$E$6&amp;"-"&amp;OFFSET('(2)出場選手'!$B$2,$A417,D$1))</f>
        <v/>
      </c>
      <c r="E417" s="26" t="str">
        <f ca="1">IF($D417="","",OFFSET('(2)出場選手'!$B$2,$A417,E$1))</f>
        <v/>
      </c>
      <c r="F417" s="26" t="str">
        <f ca="1">IF($D417="","",IF(OFFSET('(2)出場選手'!$B$2,$A417,F$1)="","",OFFSET('(2)出場選手'!$B$2,$A417,F$1)))</f>
        <v/>
      </c>
      <c r="G417" s="26" t="str">
        <f t="shared" ca="1" si="18"/>
        <v/>
      </c>
      <c r="H417" s="26" t="str">
        <f t="shared" ca="1" si="30"/>
        <v/>
      </c>
      <c r="I417" s="26" t="str">
        <f ca="1">IF($D417="","",IF(OFFSET('(2)出場選手'!$B$2,$A417,I$1)="","",OFFSET('(2)出場選手'!$B$2,$A417,I$1)))</f>
        <v/>
      </c>
      <c r="J417" s="26" t="str">
        <f ca="1">IF($D417="","",IF(OFFSET('(2)出場選手'!$B$2,$A417,J$1)="",'(1)鑑'!$E$6,OFFSET('(2)出場選手'!$B$2,$A417,J$1)))</f>
        <v/>
      </c>
      <c r="K417" s="26" t="str">
        <f ca="1">IF($D417="","",TRIM(ASC(IF(OFFSET('(2)出場選手'!$B$2,$A417,K$1)="",'(1)鑑'!$E$7,OFFSET('(2)出場選手'!$B$2,$A417,K$1)))))</f>
        <v/>
      </c>
      <c r="L417" s="26" t="str">
        <f ca="1">IF($D417="","",SUBSTITUTE(SUBSTITUTE(SUBSTITUTE(IF(OFFSET('(2)出場選手'!$B$2,$A417,L$1)="",'(1)鑑'!$E$8,OFFSET('(2)出場選手'!$B$2,$A417,L$1)),"県",""),"府",""),"東京都","東京"))</f>
        <v/>
      </c>
      <c r="M417" s="57" t="str">
        <f ca="1">IF($D417="","",IF(OFFSET('(2)出場選手'!$B$2,$A417,M$1)="","",OFFSET('(2)出場選手'!$B$2,$A417,M$1)))</f>
        <v/>
      </c>
      <c r="N417" s="26" t="str">
        <f ca="1">IF($D417="","",OFFSET('(2)出場選手'!$B$2,$A417,N$1+3*$B417))</f>
        <v/>
      </c>
      <c r="O417" s="26" t="str">
        <f ca="1">IF($D417="","",IF(OFFSET('(2)出場選手'!$B$2,$A417,O$1+3*$B417)="","",OFFSET('(2)出場選手'!$B$2,$A417,O$1+3*$B417)))</f>
        <v/>
      </c>
      <c r="P417" s="26" t="str">
        <f ca="1">IF($D417="","",IF(OFFSET('(2)出場選手'!$B$2,$A417,P$1+3*$B417)="","",OFFSET('(2)出場選手'!$B$2,$A417,P$1+3*$B417)))</f>
        <v/>
      </c>
      <c r="Q417" s="43" t="str">
        <f ca="1">IF(D417="","",VLOOKUP(N417,OFFSET(Competition_Events,0,1),11,FALSE)*IF($S417="リレー",IF(COUNTIF($T$3:$T417,$T417)&gt;1,0,1),1))</f>
        <v/>
      </c>
      <c r="R417" s="26" t="str">
        <f t="shared" ca="1" si="20"/>
        <v/>
      </c>
      <c r="S417" s="26" t="str">
        <f t="shared" ca="1" si="21"/>
        <v/>
      </c>
      <c r="T417" s="26" t="str">
        <f t="shared" ca="1" si="22"/>
        <v/>
      </c>
      <c r="U417" s="26" t="str">
        <f t="shared" ca="1" si="29"/>
        <v/>
      </c>
      <c r="W417" s="17" t="str">
        <f ca="1">IF($D417="","",OFFSET('(2)出場選手'!$B$2,$A417,W$1))</f>
        <v/>
      </c>
      <c r="X417" s="17" t="str">
        <f ca="1">IF($D417="","",OFFSET('(2)出場選手'!$B$2,$A417,X$1))</f>
        <v/>
      </c>
      <c r="Y417" s="17" t="str">
        <f ca="1">IF($D417="","",OFFSET('(2)出場選手'!$B$2,$A417,Y$1))</f>
        <v/>
      </c>
      <c r="Z417" s="17" t="str">
        <f ca="1">IF($D417="","",OFFSET('(2)出場選手'!$B$2,$A417,Z$1))</f>
        <v/>
      </c>
    </row>
    <row r="418" spans="1:26" x14ac:dyDescent="0.15">
      <c r="A418" s="17">
        <f>TRUNC((ROWS($D$3:D418)-2)/Max_Entry_Count)+1</f>
        <v>139</v>
      </c>
      <c r="B418" s="17" t="str">
        <f ca="1">IF($A418&gt;=ROWS(Entries)-2,"",IF(OFFSET('(2)出場選手'!$B$2,$A418,B$1+3*(MOD(ROWS($D$3:D418)-2,Max_Entry_Count)))="","",MOD(ROWS($D$3:D418)-2,Max_Entry_Count)))</f>
        <v/>
      </c>
      <c r="D418" s="26" t="str">
        <f ca="1">IF(OR($A418&gt;=ROWS(Entries)-2,$B418=""),"",'(1)鑑'!$E$6&amp;"-"&amp;OFFSET('(2)出場選手'!$B$2,$A418,D$1))</f>
        <v/>
      </c>
      <c r="E418" s="26" t="str">
        <f ca="1">IF($D418="","",OFFSET('(2)出場選手'!$B$2,$A418,E$1))</f>
        <v/>
      </c>
      <c r="F418" s="26" t="str">
        <f ca="1">IF($D418="","",IF(OFFSET('(2)出場選手'!$B$2,$A418,F$1)="","",OFFSET('(2)出場選手'!$B$2,$A418,F$1)))</f>
        <v/>
      </c>
      <c r="G418" s="26" t="str">
        <f t="shared" ca="1" si="18"/>
        <v/>
      </c>
      <c r="H418" s="26" t="str">
        <f t="shared" ca="1" si="30"/>
        <v/>
      </c>
      <c r="I418" s="26" t="str">
        <f ca="1">IF($D418="","",IF(OFFSET('(2)出場選手'!$B$2,$A418,I$1)="","",OFFSET('(2)出場選手'!$B$2,$A418,I$1)))</f>
        <v/>
      </c>
      <c r="J418" s="26" t="str">
        <f ca="1">IF($D418="","",IF(OFFSET('(2)出場選手'!$B$2,$A418,J$1)="",'(1)鑑'!$E$6,OFFSET('(2)出場選手'!$B$2,$A418,J$1)))</f>
        <v/>
      </c>
      <c r="K418" s="26" t="str">
        <f ca="1">IF($D418="","",TRIM(ASC(IF(OFFSET('(2)出場選手'!$B$2,$A418,K$1)="",'(1)鑑'!$E$7,OFFSET('(2)出場選手'!$B$2,$A418,K$1)))))</f>
        <v/>
      </c>
      <c r="L418" s="26" t="str">
        <f ca="1">IF($D418="","",SUBSTITUTE(SUBSTITUTE(SUBSTITUTE(IF(OFFSET('(2)出場選手'!$B$2,$A418,L$1)="",'(1)鑑'!$E$8,OFFSET('(2)出場選手'!$B$2,$A418,L$1)),"県",""),"府",""),"東京都","東京"))</f>
        <v/>
      </c>
      <c r="M418" s="57" t="str">
        <f ca="1">IF($D418="","",IF(OFFSET('(2)出場選手'!$B$2,$A418,M$1)="","",OFFSET('(2)出場選手'!$B$2,$A418,M$1)))</f>
        <v/>
      </c>
      <c r="N418" s="26" t="str">
        <f ca="1">IF($D418="","",OFFSET('(2)出場選手'!$B$2,$A418,N$1+3*$B418))</f>
        <v/>
      </c>
      <c r="O418" s="26" t="str">
        <f ca="1">IF($D418="","",IF(OFFSET('(2)出場選手'!$B$2,$A418,O$1+3*$B418)="","",OFFSET('(2)出場選手'!$B$2,$A418,O$1+3*$B418)))</f>
        <v/>
      </c>
      <c r="P418" s="26" t="str">
        <f ca="1">IF($D418="","",IF(OFFSET('(2)出場選手'!$B$2,$A418,P$1+3*$B418)="","",OFFSET('(2)出場選手'!$B$2,$A418,P$1+3*$B418)))</f>
        <v/>
      </c>
      <c r="Q418" s="43" t="str">
        <f ca="1">IF(D418="","",VLOOKUP(N418,OFFSET(Competition_Events,0,1),11,FALSE)*IF($S418="リレー",IF(COUNTIF($T$3:$T418,$T418)&gt;1,0,1),1))</f>
        <v/>
      </c>
      <c r="R418" s="26" t="str">
        <f t="shared" ca="1" si="20"/>
        <v/>
      </c>
      <c r="S418" s="26" t="str">
        <f t="shared" ca="1" si="21"/>
        <v/>
      </c>
      <c r="T418" s="26" t="str">
        <f t="shared" ca="1" si="22"/>
        <v/>
      </c>
      <c r="U418" s="26" t="str">
        <f t="shared" ca="1" si="29"/>
        <v/>
      </c>
      <c r="W418" s="17" t="str">
        <f ca="1">IF($D418="","",OFFSET('(2)出場選手'!$B$2,$A418,W$1))</f>
        <v/>
      </c>
      <c r="X418" s="17" t="str">
        <f ca="1">IF($D418="","",OFFSET('(2)出場選手'!$B$2,$A418,X$1))</f>
        <v/>
      </c>
      <c r="Y418" s="17" t="str">
        <f ca="1">IF($D418="","",OFFSET('(2)出場選手'!$B$2,$A418,Y$1))</f>
        <v/>
      </c>
      <c r="Z418" s="17" t="str">
        <f ca="1">IF($D418="","",OFFSET('(2)出場選手'!$B$2,$A418,Z$1))</f>
        <v/>
      </c>
    </row>
    <row r="419" spans="1:26" x14ac:dyDescent="0.15">
      <c r="A419" s="17">
        <f>TRUNC((ROWS($D$3:D419)-2)/Max_Entry_Count)+1</f>
        <v>139</v>
      </c>
      <c r="B419" s="17" t="str">
        <f ca="1">IF($A419&gt;=ROWS(Entries)-2,"",IF(OFFSET('(2)出場選手'!$B$2,$A419,B$1+3*(MOD(ROWS($D$3:D419)-2,Max_Entry_Count)))="","",MOD(ROWS($D$3:D419)-2,Max_Entry_Count)))</f>
        <v/>
      </c>
      <c r="D419" s="26" t="str">
        <f ca="1">IF(OR($A419&gt;=ROWS(Entries)-2,$B419=""),"",'(1)鑑'!$E$6&amp;"-"&amp;OFFSET('(2)出場選手'!$B$2,$A419,D$1))</f>
        <v/>
      </c>
      <c r="E419" s="26" t="str">
        <f ca="1">IF($D419="","",OFFSET('(2)出場選手'!$B$2,$A419,E$1))</f>
        <v/>
      </c>
      <c r="F419" s="26" t="str">
        <f ca="1">IF($D419="","",IF(OFFSET('(2)出場選手'!$B$2,$A419,F$1)="","",OFFSET('(2)出場選手'!$B$2,$A419,F$1)))</f>
        <v/>
      </c>
      <c r="G419" s="26" t="str">
        <f t="shared" ca="1" si="18"/>
        <v/>
      </c>
      <c r="H419" s="26" t="str">
        <f t="shared" ca="1" si="30"/>
        <v/>
      </c>
      <c r="I419" s="26" t="str">
        <f ca="1">IF($D419="","",IF(OFFSET('(2)出場選手'!$B$2,$A419,I$1)="","",OFFSET('(2)出場選手'!$B$2,$A419,I$1)))</f>
        <v/>
      </c>
      <c r="J419" s="26" t="str">
        <f ca="1">IF($D419="","",IF(OFFSET('(2)出場選手'!$B$2,$A419,J$1)="",'(1)鑑'!$E$6,OFFSET('(2)出場選手'!$B$2,$A419,J$1)))</f>
        <v/>
      </c>
      <c r="K419" s="26" t="str">
        <f ca="1">IF($D419="","",TRIM(ASC(IF(OFFSET('(2)出場選手'!$B$2,$A419,K$1)="",'(1)鑑'!$E$7,OFFSET('(2)出場選手'!$B$2,$A419,K$1)))))</f>
        <v/>
      </c>
      <c r="L419" s="26" t="str">
        <f ca="1">IF($D419="","",SUBSTITUTE(SUBSTITUTE(SUBSTITUTE(IF(OFFSET('(2)出場選手'!$B$2,$A419,L$1)="",'(1)鑑'!$E$8,OFFSET('(2)出場選手'!$B$2,$A419,L$1)),"県",""),"府",""),"東京都","東京"))</f>
        <v/>
      </c>
      <c r="M419" s="57" t="str">
        <f ca="1">IF($D419="","",IF(OFFSET('(2)出場選手'!$B$2,$A419,M$1)="","",OFFSET('(2)出場選手'!$B$2,$A419,M$1)))</f>
        <v/>
      </c>
      <c r="N419" s="26" t="str">
        <f ca="1">IF($D419="","",OFFSET('(2)出場選手'!$B$2,$A419,N$1+3*$B419))</f>
        <v/>
      </c>
      <c r="O419" s="26" t="str">
        <f ca="1">IF($D419="","",IF(OFFSET('(2)出場選手'!$B$2,$A419,O$1+3*$B419)="","",OFFSET('(2)出場選手'!$B$2,$A419,O$1+3*$B419)))</f>
        <v/>
      </c>
      <c r="P419" s="26" t="str">
        <f ca="1">IF($D419="","",IF(OFFSET('(2)出場選手'!$B$2,$A419,P$1+3*$B419)="","",OFFSET('(2)出場選手'!$B$2,$A419,P$1+3*$B419)))</f>
        <v/>
      </c>
      <c r="Q419" s="43" t="str">
        <f ca="1">IF(D419="","",VLOOKUP(N419,OFFSET(Competition_Events,0,1),11,FALSE)*IF($S419="リレー",IF(COUNTIF($T$3:$T419,$T419)&gt;1,0,1),1))</f>
        <v/>
      </c>
      <c r="R419" s="26" t="str">
        <f t="shared" ca="1" si="20"/>
        <v/>
      </c>
      <c r="S419" s="26" t="str">
        <f t="shared" ca="1" si="21"/>
        <v/>
      </c>
      <c r="T419" s="26" t="str">
        <f t="shared" ca="1" si="22"/>
        <v/>
      </c>
      <c r="U419" s="26" t="str">
        <f t="shared" ca="1" si="29"/>
        <v/>
      </c>
      <c r="W419" s="17" t="str">
        <f ca="1">IF($D419="","",OFFSET('(2)出場選手'!$B$2,$A419,W$1))</f>
        <v/>
      </c>
      <c r="X419" s="17" t="str">
        <f ca="1">IF($D419="","",OFFSET('(2)出場選手'!$B$2,$A419,X$1))</f>
        <v/>
      </c>
      <c r="Y419" s="17" t="str">
        <f ca="1">IF($D419="","",OFFSET('(2)出場選手'!$B$2,$A419,Y$1))</f>
        <v/>
      </c>
      <c r="Z419" s="17" t="str">
        <f ca="1">IF($D419="","",OFFSET('(2)出場選手'!$B$2,$A419,Z$1))</f>
        <v/>
      </c>
    </row>
    <row r="420" spans="1:26" x14ac:dyDescent="0.15">
      <c r="A420" s="17">
        <f>TRUNC((ROWS($D$3:D420)-2)/Max_Entry_Count)+1</f>
        <v>139</v>
      </c>
      <c r="B420" s="17" t="str">
        <f ca="1">IF($A420&gt;=ROWS(Entries)-2,"",IF(OFFSET('(2)出場選手'!$B$2,$A420,B$1+3*(MOD(ROWS($D$3:D420)-2,Max_Entry_Count)))="","",MOD(ROWS($D$3:D420)-2,Max_Entry_Count)))</f>
        <v/>
      </c>
      <c r="D420" s="26" t="str">
        <f ca="1">IF(OR($A420&gt;=ROWS(Entries)-2,$B420=""),"",'(1)鑑'!$E$6&amp;"-"&amp;OFFSET('(2)出場選手'!$B$2,$A420,D$1))</f>
        <v/>
      </c>
      <c r="E420" s="26" t="str">
        <f ca="1">IF($D420="","",OFFSET('(2)出場選手'!$B$2,$A420,E$1))</f>
        <v/>
      </c>
      <c r="F420" s="26" t="str">
        <f ca="1">IF($D420="","",IF(OFFSET('(2)出場選手'!$B$2,$A420,F$1)="","",OFFSET('(2)出場選手'!$B$2,$A420,F$1)))</f>
        <v/>
      </c>
      <c r="G420" s="26" t="str">
        <f t="shared" ca="1" si="18"/>
        <v/>
      </c>
      <c r="H420" s="26" t="str">
        <f t="shared" ca="1" si="30"/>
        <v/>
      </c>
      <c r="I420" s="26" t="str">
        <f ca="1">IF($D420="","",IF(OFFSET('(2)出場選手'!$B$2,$A420,I$1)="","",OFFSET('(2)出場選手'!$B$2,$A420,I$1)))</f>
        <v/>
      </c>
      <c r="J420" s="26" t="str">
        <f ca="1">IF($D420="","",IF(OFFSET('(2)出場選手'!$B$2,$A420,J$1)="",'(1)鑑'!$E$6,OFFSET('(2)出場選手'!$B$2,$A420,J$1)))</f>
        <v/>
      </c>
      <c r="K420" s="26" t="str">
        <f ca="1">IF($D420="","",TRIM(ASC(IF(OFFSET('(2)出場選手'!$B$2,$A420,K$1)="",'(1)鑑'!$E$7,OFFSET('(2)出場選手'!$B$2,$A420,K$1)))))</f>
        <v/>
      </c>
      <c r="L420" s="26" t="str">
        <f ca="1">IF($D420="","",SUBSTITUTE(SUBSTITUTE(SUBSTITUTE(IF(OFFSET('(2)出場選手'!$B$2,$A420,L$1)="",'(1)鑑'!$E$8,OFFSET('(2)出場選手'!$B$2,$A420,L$1)),"県",""),"府",""),"東京都","東京"))</f>
        <v/>
      </c>
      <c r="M420" s="57" t="str">
        <f ca="1">IF($D420="","",IF(OFFSET('(2)出場選手'!$B$2,$A420,M$1)="","",OFFSET('(2)出場選手'!$B$2,$A420,M$1)))</f>
        <v/>
      </c>
      <c r="N420" s="26" t="str">
        <f ca="1">IF($D420="","",OFFSET('(2)出場選手'!$B$2,$A420,N$1+3*$B420))</f>
        <v/>
      </c>
      <c r="O420" s="26" t="str">
        <f ca="1">IF($D420="","",IF(OFFSET('(2)出場選手'!$B$2,$A420,O$1+3*$B420)="","",OFFSET('(2)出場選手'!$B$2,$A420,O$1+3*$B420)))</f>
        <v/>
      </c>
      <c r="P420" s="26" t="str">
        <f ca="1">IF($D420="","",IF(OFFSET('(2)出場選手'!$B$2,$A420,P$1+3*$B420)="","",OFFSET('(2)出場選手'!$B$2,$A420,P$1+3*$B420)))</f>
        <v/>
      </c>
      <c r="Q420" s="43" t="str">
        <f ca="1">IF(D420="","",VLOOKUP(N420,OFFSET(Competition_Events,0,1),11,FALSE)*IF($S420="リレー",IF(COUNTIF($T$3:$T420,$T420)&gt;1,0,1),1))</f>
        <v/>
      </c>
      <c r="R420" s="26" t="str">
        <f t="shared" ca="1" si="20"/>
        <v/>
      </c>
      <c r="S420" s="26" t="str">
        <f t="shared" ca="1" si="21"/>
        <v/>
      </c>
      <c r="T420" s="26" t="str">
        <f t="shared" ca="1" si="22"/>
        <v/>
      </c>
      <c r="U420" s="26" t="str">
        <f t="shared" ca="1" si="29"/>
        <v/>
      </c>
      <c r="W420" s="17" t="str">
        <f ca="1">IF($D420="","",OFFSET('(2)出場選手'!$B$2,$A420,W$1))</f>
        <v/>
      </c>
      <c r="X420" s="17" t="str">
        <f ca="1">IF($D420="","",OFFSET('(2)出場選手'!$B$2,$A420,X$1))</f>
        <v/>
      </c>
      <c r="Y420" s="17" t="str">
        <f ca="1">IF($D420="","",OFFSET('(2)出場選手'!$B$2,$A420,Y$1))</f>
        <v/>
      </c>
      <c r="Z420" s="17" t="str">
        <f ca="1">IF($D420="","",OFFSET('(2)出場選手'!$B$2,$A420,Z$1))</f>
        <v/>
      </c>
    </row>
    <row r="421" spans="1:26" x14ac:dyDescent="0.15">
      <c r="A421" s="17">
        <f>TRUNC((ROWS($D$3:D421)-2)/Max_Entry_Count)+1</f>
        <v>140</v>
      </c>
      <c r="B421" s="17" t="str">
        <f ca="1">IF($A421&gt;=ROWS(Entries)-2,"",IF(OFFSET('(2)出場選手'!$B$2,$A421,B$1+3*(MOD(ROWS($D$3:D421)-2,Max_Entry_Count)))="","",MOD(ROWS($D$3:D421)-2,Max_Entry_Count)))</f>
        <v/>
      </c>
      <c r="D421" s="26" t="str">
        <f ca="1">IF(OR($A421&gt;=ROWS(Entries)-2,$B421=""),"",'(1)鑑'!$E$6&amp;"-"&amp;OFFSET('(2)出場選手'!$B$2,$A421,D$1))</f>
        <v/>
      </c>
      <c r="E421" s="26" t="str">
        <f ca="1">IF($D421="","",OFFSET('(2)出場選手'!$B$2,$A421,E$1))</f>
        <v/>
      </c>
      <c r="F421" s="26" t="str">
        <f ca="1">IF($D421="","",IF(OFFSET('(2)出場選手'!$B$2,$A421,F$1)="","",OFFSET('(2)出場選手'!$B$2,$A421,F$1)))</f>
        <v/>
      </c>
      <c r="G421" s="26" t="str">
        <f t="shared" ca="1" si="18"/>
        <v/>
      </c>
      <c r="H421" s="26" t="str">
        <f t="shared" ca="1" si="30"/>
        <v/>
      </c>
      <c r="I421" s="26" t="str">
        <f ca="1">IF($D421="","",IF(OFFSET('(2)出場選手'!$B$2,$A421,I$1)="","",OFFSET('(2)出場選手'!$B$2,$A421,I$1)))</f>
        <v/>
      </c>
      <c r="J421" s="26" t="str">
        <f ca="1">IF($D421="","",IF(OFFSET('(2)出場選手'!$B$2,$A421,J$1)="",'(1)鑑'!$E$6,OFFSET('(2)出場選手'!$B$2,$A421,J$1)))</f>
        <v/>
      </c>
      <c r="K421" s="26" t="str">
        <f ca="1">IF($D421="","",TRIM(ASC(IF(OFFSET('(2)出場選手'!$B$2,$A421,K$1)="",'(1)鑑'!$E$7,OFFSET('(2)出場選手'!$B$2,$A421,K$1)))))</f>
        <v/>
      </c>
      <c r="L421" s="26" t="str">
        <f ca="1">IF($D421="","",SUBSTITUTE(SUBSTITUTE(SUBSTITUTE(IF(OFFSET('(2)出場選手'!$B$2,$A421,L$1)="",'(1)鑑'!$E$8,OFFSET('(2)出場選手'!$B$2,$A421,L$1)),"県",""),"府",""),"東京都","東京"))</f>
        <v/>
      </c>
      <c r="M421" s="57" t="str">
        <f ca="1">IF($D421="","",IF(OFFSET('(2)出場選手'!$B$2,$A421,M$1)="","",OFFSET('(2)出場選手'!$B$2,$A421,M$1)))</f>
        <v/>
      </c>
      <c r="N421" s="26" t="str">
        <f ca="1">IF($D421="","",OFFSET('(2)出場選手'!$B$2,$A421,N$1+3*$B421))</f>
        <v/>
      </c>
      <c r="O421" s="26" t="str">
        <f ca="1">IF($D421="","",IF(OFFSET('(2)出場選手'!$B$2,$A421,O$1+3*$B421)="","",OFFSET('(2)出場選手'!$B$2,$A421,O$1+3*$B421)))</f>
        <v/>
      </c>
      <c r="P421" s="26" t="str">
        <f ca="1">IF($D421="","",IF(OFFSET('(2)出場選手'!$B$2,$A421,P$1+3*$B421)="","",OFFSET('(2)出場選手'!$B$2,$A421,P$1+3*$B421)))</f>
        <v/>
      </c>
      <c r="Q421" s="43" t="str">
        <f ca="1">IF(D421="","",VLOOKUP(N421,OFFSET(Competition_Events,0,1),11,FALSE)*IF($S421="リレー",IF(COUNTIF($T$3:$T421,$T421)&gt;1,0,1),1))</f>
        <v/>
      </c>
      <c r="R421" s="26" t="str">
        <f t="shared" ca="1" si="20"/>
        <v/>
      </c>
      <c r="S421" s="26" t="str">
        <f t="shared" ca="1" si="21"/>
        <v/>
      </c>
      <c r="T421" s="26" t="str">
        <f t="shared" ca="1" si="22"/>
        <v/>
      </c>
      <c r="U421" s="26" t="str">
        <f t="shared" ca="1" si="29"/>
        <v/>
      </c>
      <c r="W421" s="17" t="str">
        <f ca="1">IF($D421="","",OFFSET('(2)出場選手'!$B$2,$A421,W$1))</f>
        <v/>
      </c>
      <c r="X421" s="17" t="str">
        <f ca="1">IF($D421="","",OFFSET('(2)出場選手'!$B$2,$A421,X$1))</f>
        <v/>
      </c>
      <c r="Y421" s="17" t="str">
        <f ca="1">IF($D421="","",OFFSET('(2)出場選手'!$B$2,$A421,Y$1))</f>
        <v/>
      </c>
      <c r="Z421" s="17" t="str">
        <f ca="1">IF($D421="","",OFFSET('(2)出場選手'!$B$2,$A421,Z$1))</f>
        <v/>
      </c>
    </row>
    <row r="422" spans="1:26" x14ac:dyDescent="0.15">
      <c r="A422" s="17">
        <f>TRUNC((ROWS($D$3:D422)-2)/Max_Entry_Count)+1</f>
        <v>140</v>
      </c>
      <c r="B422" s="17" t="str">
        <f ca="1">IF($A422&gt;=ROWS(Entries)-2,"",IF(OFFSET('(2)出場選手'!$B$2,$A422,B$1+3*(MOD(ROWS($D$3:D422)-2,Max_Entry_Count)))="","",MOD(ROWS($D$3:D422)-2,Max_Entry_Count)))</f>
        <v/>
      </c>
      <c r="D422" s="26" t="str">
        <f ca="1">IF(OR($A422&gt;=ROWS(Entries)-2,$B422=""),"",'(1)鑑'!$E$6&amp;"-"&amp;OFFSET('(2)出場選手'!$B$2,$A422,D$1))</f>
        <v/>
      </c>
      <c r="E422" s="26" t="str">
        <f ca="1">IF($D422="","",OFFSET('(2)出場選手'!$B$2,$A422,E$1))</f>
        <v/>
      </c>
      <c r="F422" s="26" t="str">
        <f ca="1">IF($D422="","",IF(OFFSET('(2)出場選手'!$B$2,$A422,F$1)="","",OFFSET('(2)出場選手'!$B$2,$A422,F$1)))</f>
        <v/>
      </c>
      <c r="G422" s="26" t="str">
        <f t="shared" ca="1" si="18"/>
        <v/>
      </c>
      <c r="H422" s="26" t="str">
        <f t="shared" ca="1" si="30"/>
        <v/>
      </c>
      <c r="I422" s="26" t="str">
        <f ca="1">IF($D422="","",IF(OFFSET('(2)出場選手'!$B$2,$A422,I$1)="","",OFFSET('(2)出場選手'!$B$2,$A422,I$1)))</f>
        <v/>
      </c>
      <c r="J422" s="26" t="str">
        <f ca="1">IF($D422="","",IF(OFFSET('(2)出場選手'!$B$2,$A422,J$1)="",'(1)鑑'!$E$6,OFFSET('(2)出場選手'!$B$2,$A422,J$1)))</f>
        <v/>
      </c>
      <c r="K422" s="26" t="str">
        <f ca="1">IF($D422="","",TRIM(ASC(IF(OFFSET('(2)出場選手'!$B$2,$A422,K$1)="",'(1)鑑'!$E$7,OFFSET('(2)出場選手'!$B$2,$A422,K$1)))))</f>
        <v/>
      </c>
      <c r="L422" s="26" t="str">
        <f ca="1">IF($D422="","",SUBSTITUTE(SUBSTITUTE(SUBSTITUTE(IF(OFFSET('(2)出場選手'!$B$2,$A422,L$1)="",'(1)鑑'!$E$8,OFFSET('(2)出場選手'!$B$2,$A422,L$1)),"県",""),"府",""),"東京都","東京"))</f>
        <v/>
      </c>
      <c r="M422" s="57" t="str">
        <f ca="1">IF($D422="","",IF(OFFSET('(2)出場選手'!$B$2,$A422,M$1)="","",OFFSET('(2)出場選手'!$B$2,$A422,M$1)))</f>
        <v/>
      </c>
      <c r="N422" s="26" t="str">
        <f ca="1">IF($D422="","",OFFSET('(2)出場選手'!$B$2,$A422,N$1+3*$B422))</f>
        <v/>
      </c>
      <c r="O422" s="26" t="str">
        <f ca="1">IF($D422="","",IF(OFFSET('(2)出場選手'!$B$2,$A422,O$1+3*$B422)="","",OFFSET('(2)出場選手'!$B$2,$A422,O$1+3*$B422)))</f>
        <v/>
      </c>
      <c r="P422" s="26" t="str">
        <f ca="1">IF($D422="","",IF(OFFSET('(2)出場選手'!$B$2,$A422,P$1+3*$B422)="","",OFFSET('(2)出場選手'!$B$2,$A422,P$1+3*$B422)))</f>
        <v/>
      </c>
      <c r="Q422" s="43" t="str">
        <f ca="1">IF(D422="","",VLOOKUP(N422,OFFSET(Competition_Events,0,1),11,FALSE)*IF($S422="リレー",IF(COUNTIF($T$3:$T422,$T422)&gt;1,0,1),1))</f>
        <v/>
      </c>
      <c r="R422" s="26" t="str">
        <f t="shared" ca="1" si="20"/>
        <v/>
      </c>
      <c r="S422" s="26" t="str">
        <f t="shared" ca="1" si="21"/>
        <v/>
      </c>
      <c r="T422" s="26" t="str">
        <f t="shared" ca="1" si="22"/>
        <v/>
      </c>
      <c r="U422" s="26" t="str">
        <f t="shared" ca="1" si="29"/>
        <v/>
      </c>
      <c r="W422" s="17" t="str">
        <f ca="1">IF($D422="","",OFFSET('(2)出場選手'!$B$2,$A422,W$1))</f>
        <v/>
      </c>
      <c r="X422" s="17" t="str">
        <f ca="1">IF($D422="","",OFFSET('(2)出場選手'!$B$2,$A422,X$1))</f>
        <v/>
      </c>
      <c r="Y422" s="17" t="str">
        <f ca="1">IF($D422="","",OFFSET('(2)出場選手'!$B$2,$A422,Y$1))</f>
        <v/>
      </c>
      <c r="Z422" s="17" t="str">
        <f ca="1">IF($D422="","",OFFSET('(2)出場選手'!$B$2,$A422,Z$1))</f>
        <v/>
      </c>
    </row>
    <row r="423" spans="1:26" x14ac:dyDescent="0.15">
      <c r="A423" s="17">
        <f>TRUNC((ROWS($D$3:D423)-2)/Max_Entry_Count)+1</f>
        <v>140</v>
      </c>
      <c r="B423" s="17" t="str">
        <f ca="1">IF($A423&gt;=ROWS(Entries)-2,"",IF(OFFSET('(2)出場選手'!$B$2,$A423,B$1+3*(MOD(ROWS($D$3:D423)-2,Max_Entry_Count)))="","",MOD(ROWS($D$3:D423)-2,Max_Entry_Count)))</f>
        <v/>
      </c>
      <c r="D423" s="26" t="str">
        <f ca="1">IF(OR($A423&gt;=ROWS(Entries)-2,$B423=""),"",'(1)鑑'!$E$6&amp;"-"&amp;OFFSET('(2)出場選手'!$B$2,$A423,D$1))</f>
        <v/>
      </c>
      <c r="E423" s="26" t="str">
        <f ca="1">IF($D423="","",OFFSET('(2)出場選手'!$B$2,$A423,E$1))</f>
        <v/>
      </c>
      <c r="F423" s="26" t="str">
        <f ca="1">IF($D423="","",IF(OFFSET('(2)出場選手'!$B$2,$A423,F$1)="","",OFFSET('(2)出場選手'!$B$2,$A423,F$1)))</f>
        <v/>
      </c>
      <c r="G423" s="26" t="str">
        <f t="shared" ca="1" si="18"/>
        <v/>
      </c>
      <c r="H423" s="26" t="str">
        <f t="shared" ca="1" si="30"/>
        <v/>
      </c>
      <c r="I423" s="26" t="str">
        <f ca="1">IF($D423="","",IF(OFFSET('(2)出場選手'!$B$2,$A423,I$1)="","",OFFSET('(2)出場選手'!$B$2,$A423,I$1)))</f>
        <v/>
      </c>
      <c r="J423" s="26" t="str">
        <f ca="1">IF($D423="","",IF(OFFSET('(2)出場選手'!$B$2,$A423,J$1)="",'(1)鑑'!$E$6,OFFSET('(2)出場選手'!$B$2,$A423,J$1)))</f>
        <v/>
      </c>
      <c r="K423" s="26" t="str">
        <f ca="1">IF($D423="","",TRIM(ASC(IF(OFFSET('(2)出場選手'!$B$2,$A423,K$1)="",'(1)鑑'!$E$7,OFFSET('(2)出場選手'!$B$2,$A423,K$1)))))</f>
        <v/>
      </c>
      <c r="L423" s="26" t="str">
        <f ca="1">IF($D423="","",SUBSTITUTE(SUBSTITUTE(SUBSTITUTE(IF(OFFSET('(2)出場選手'!$B$2,$A423,L$1)="",'(1)鑑'!$E$8,OFFSET('(2)出場選手'!$B$2,$A423,L$1)),"県",""),"府",""),"東京都","東京"))</f>
        <v/>
      </c>
      <c r="M423" s="57" t="str">
        <f ca="1">IF($D423="","",IF(OFFSET('(2)出場選手'!$B$2,$A423,M$1)="","",OFFSET('(2)出場選手'!$B$2,$A423,M$1)))</f>
        <v/>
      </c>
      <c r="N423" s="26" t="str">
        <f ca="1">IF($D423="","",OFFSET('(2)出場選手'!$B$2,$A423,N$1+3*$B423))</f>
        <v/>
      </c>
      <c r="O423" s="26" t="str">
        <f ca="1">IF($D423="","",IF(OFFSET('(2)出場選手'!$B$2,$A423,O$1+3*$B423)="","",OFFSET('(2)出場選手'!$B$2,$A423,O$1+3*$B423)))</f>
        <v/>
      </c>
      <c r="P423" s="26" t="str">
        <f ca="1">IF($D423="","",IF(OFFSET('(2)出場選手'!$B$2,$A423,P$1+3*$B423)="","",OFFSET('(2)出場選手'!$B$2,$A423,P$1+3*$B423)))</f>
        <v/>
      </c>
      <c r="Q423" s="43" t="str">
        <f ca="1">IF(D423="","",VLOOKUP(N423,OFFSET(Competition_Events,0,1),11,FALSE)*IF($S423="リレー",IF(COUNTIF($T$3:$T423,$T423)&gt;1,0,1),1))</f>
        <v/>
      </c>
      <c r="R423" s="26" t="str">
        <f t="shared" ca="1" si="20"/>
        <v/>
      </c>
      <c r="S423" s="26" t="str">
        <f t="shared" ca="1" si="21"/>
        <v/>
      </c>
      <c r="T423" s="26" t="str">
        <f t="shared" ca="1" si="22"/>
        <v/>
      </c>
      <c r="U423" s="26" t="str">
        <f t="shared" ca="1" si="29"/>
        <v/>
      </c>
      <c r="W423" s="17" t="str">
        <f ca="1">IF($D423="","",OFFSET('(2)出場選手'!$B$2,$A423,W$1))</f>
        <v/>
      </c>
      <c r="X423" s="17" t="str">
        <f ca="1">IF($D423="","",OFFSET('(2)出場選手'!$B$2,$A423,X$1))</f>
        <v/>
      </c>
      <c r="Y423" s="17" t="str">
        <f ca="1">IF($D423="","",OFFSET('(2)出場選手'!$B$2,$A423,Y$1))</f>
        <v/>
      </c>
      <c r="Z423" s="17" t="str">
        <f ca="1">IF($D423="","",OFFSET('(2)出場選手'!$B$2,$A423,Z$1))</f>
        <v/>
      </c>
    </row>
    <row r="424" spans="1:26" x14ac:dyDescent="0.15">
      <c r="A424" s="17">
        <f>TRUNC((ROWS($D$3:D424)-2)/Max_Entry_Count)+1</f>
        <v>141</v>
      </c>
      <c r="B424" s="17" t="str">
        <f ca="1">IF($A424&gt;=ROWS(Entries)-2,"",IF(OFFSET('(2)出場選手'!$B$2,$A424,B$1+3*(MOD(ROWS($D$3:D424)-2,Max_Entry_Count)))="","",MOD(ROWS($D$3:D424)-2,Max_Entry_Count)))</f>
        <v/>
      </c>
      <c r="D424" s="26" t="str">
        <f ca="1">IF(OR($A424&gt;=ROWS(Entries)-2,$B424=""),"",'(1)鑑'!$E$6&amp;"-"&amp;OFFSET('(2)出場選手'!$B$2,$A424,D$1))</f>
        <v/>
      </c>
      <c r="E424" s="26" t="str">
        <f ca="1">IF($D424="","",OFFSET('(2)出場選手'!$B$2,$A424,E$1))</f>
        <v/>
      </c>
      <c r="F424" s="26" t="str">
        <f ca="1">IF($D424="","",IF(OFFSET('(2)出場選手'!$B$2,$A424,F$1)="","",OFFSET('(2)出場選手'!$B$2,$A424,F$1)))</f>
        <v/>
      </c>
      <c r="G424" s="26" t="str">
        <f t="shared" ca="1" si="18"/>
        <v/>
      </c>
      <c r="H424" s="26" t="str">
        <f t="shared" ca="1" si="30"/>
        <v/>
      </c>
      <c r="I424" s="26" t="str">
        <f ca="1">IF($D424="","",IF(OFFSET('(2)出場選手'!$B$2,$A424,I$1)="","",OFFSET('(2)出場選手'!$B$2,$A424,I$1)))</f>
        <v/>
      </c>
      <c r="J424" s="26" t="str">
        <f ca="1">IF($D424="","",IF(OFFSET('(2)出場選手'!$B$2,$A424,J$1)="",'(1)鑑'!$E$6,OFFSET('(2)出場選手'!$B$2,$A424,J$1)))</f>
        <v/>
      </c>
      <c r="K424" s="26" t="str">
        <f ca="1">IF($D424="","",TRIM(ASC(IF(OFFSET('(2)出場選手'!$B$2,$A424,K$1)="",'(1)鑑'!$E$7,OFFSET('(2)出場選手'!$B$2,$A424,K$1)))))</f>
        <v/>
      </c>
      <c r="L424" s="26" t="str">
        <f ca="1">IF($D424="","",SUBSTITUTE(SUBSTITUTE(SUBSTITUTE(IF(OFFSET('(2)出場選手'!$B$2,$A424,L$1)="",'(1)鑑'!$E$8,OFFSET('(2)出場選手'!$B$2,$A424,L$1)),"県",""),"府",""),"東京都","東京"))</f>
        <v/>
      </c>
      <c r="M424" s="57" t="str">
        <f ca="1">IF($D424="","",IF(OFFSET('(2)出場選手'!$B$2,$A424,M$1)="","",OFFSET('(2)出場選手'!$B$2,$A424,M$1)))</f>
        <v/>
      </c>
      <c r="N424" s="26" t="str">
        <f ca="1">IF($D424="","",OFFSET('(2)出場選手'!$B$2,$A424,N$1+3*$B424))</f>
        <v/>
      </c>
      <c r="O424" s="26" t="str">
        <f ca="1">IF($D424="","",IF(OFFSET('(2)出場選手'!$B$2,$A424,O$1+3*$B424)="","",OFFSET('(2)出場選手'!$B$2,$A424,O$1+3*$B424)))</f>
        <v/>
      </c>
      <c r="P424" s="26" t="str">
        <f ca="1">IF($D424="","",IF(OFFSET('(2)出場選手'!$B$2,$A424,P$1+3*$B424)="","",OFFSET('(2)出場選手'!$B$2,$A424,P$1+3*$B424)))</f>
        <v/>
      </c>
      <c r="Q424" s="43" t="str">
        <f ca="1">IF(D424="","",VLOOKUP(N424,OFFSET(Competition_Events,0,1),11,FALSE)*IF($S424="リレー",IF(COUNTIF($T$3:$T424,$T424)&gt;1,0,1),1))</f>
        <v/>
      </c>
      <c r="R424" s="26" t="str">
        <f t="shared" ca="1" si="20"/>
        <v/>
      </c>
      <c r="S424" s="26" t="str">
        <f t="shared" ca="1" si="21"/>
        <v/>
      </c>
      <c r="T424" s="26" t="str">
        <f t="shared" ca="1" si="22"/>
        <v/>
      </c>
      <c r="U424" s="26" t="str">
        <f t="shared" ca="1" si="29"/>
        <v/>
      </c>
      <c r="W424" s="17" t="str">
        <f ca="1">IF($D424="","",OFFSET('(2)出場選手'!$B$2,$A424,W$1))</f>
        <v/>
      </c>
      <c r="X424" s="17" t="str">
        <f ca="1">IF($D424="","",OFFSET('(2)出場選手'!$B$2,$A424,X$1))</f>
        <v/>
      </c>
      <c r="Y424" s="17" t="str">
        <f ca="1">IF($D424="","",OFFSET('(2)出場選手'!$B$2,$A424,Y$1))</f>
        <v/>
      </c>
      <c r="Z424" s="17" t="str">
        <f ca="1">IF($D424="","",OFFSET('(2)出場選手'!$B$2,$A424,Z$1))</f>
        <v/>
      </c>
    </row>
    <row r="425" spans="1:26" x14ac:dyDescent="0.15">
      <c r="A425" s="17">
        <f>TRUNC((ROWS($D$3:D425)-2)/Max_Entry_Count)+1</f>
        <v>141</v>
      </c>
      <c r="B425" s="17" t="str">
        <f ca="1">IF($A425&gt;=ROWS(Entries)-2,"",IF(OFFSET('(2)出場選手'!$B$2,$A425,B$1+3*(MOD(ROWS($D$3:D425)-2,Max_Entry_Count)))="","",MOD(ROWS($D$3:D425)-2,Max_Entry_Count)))</f>
        <v/>
      </c>
      <c r="D425" s="26" t="str">
        <f ca="1">IF(OR($A425&gt;=ROWS(Entries)-2,$B425=""),"",'(1)鑑'!$E$6&amp;"-"&amp;OFFSET('(2)出場選手'!$B$2,$A425,D$1))</f>
        <v/>
      </c>
      <c r="E425" s="26" t="str">
        <f ca="1">IF($D425="","",OFFSET('(2)出場選手'!$B$2,$A425,E$1))</f>
        <v/>
      </c>
      <c r="F425" s="26" t="str">
        <f ca="1">IF($D425="","",IF(OFFSET('(2)出場選手'!$B$2,$A425,F$1)="","",OFFSET('(2)出場選手'!$B$2,$A425,F$1)))</f>
        <v/>
      </c>
      <c r="G425" s="26" t="str">
        <f t="shared" ca="1" si="18"/>
        <v/>
      </c>
      <c r="H425" s="26" t="str">
        <f t="shared" ca="1" si="30"/>
        <v/>
      </c>
      <c r="I425" s="26" t="str">
        <f ca="1">IF($D425="","",IF(OFFSET('(2)出場選手'!$B$2,$A425,I$1)="","",OFFSET('(2)出場選手'!$B$2,$A425,I$1)))</f>
        <v/>
      </c>
      <c r="J425" s="26" t="str">
        <f ca="1">IF($D425="","",IF(OFFSET('(2)出場選手'!$B$2,$A425,J$1)="",'(1)鑑'!$E$6,OFFSET('(2)出場選手'!$B$2,$A425,J$1)))</f>
        <v/>
      </c>
      <c r="K425" s="26" t="str">
        <f ca="1">IF($D425="","",TRIM(ASC(IF(OFFSET('(2)出場選手'!$B$2,$A425,K$1)="",'(1)鑑'!$E$7,OFFSET('(2)出場選手'!$B$2,$A425,K$1)))))</f>
        <v/>
      </c>
      <c r="L425" s="26" t="str">
        <f ca="1">IF($D425="","",SUBSTITUTE(SUBSTITUTE(SUBSTITUTE(IF(OFFSET('(2)出場選手'!$B$2,$A425,L$1)="",'(1)鑑'!$E$8,OFFSET('(2)出場選手'!$B$2,$A425,L$1)),"県",""),"府",""),"東京都","東京"))</f>
        <v/>
      </c>
      <c r="M425" s="57" t="str">
        <f ca="1">IF($D425="","",IF(OFFSET('(2)出場選手'!$B$2,$A425,M$1)="","",OFFSET('(2)出場選手'!$B$2,$A425,M$1)))</f>
        <v/>
      </c>
      <c r="N425" s="26" t="str">
        <f ca="1">IF($D425="","",OFFSET('(2)出場選手'!$B$2,$A425,N$1+3*$B425))</f>
        <v/>
      </c>
      <c r="O425" s="26" t="str">
        <f ca="1">IF($D425="","",IF(OFFSET('(2)出場選手'!$B$2,$A425,O$1+3*$B425)="","",OFFSET('(2)出場選手'!$B$2,$A425,O$1+3*$B425)))</f>
        <v/>
      </c>
      <c r="P425" s="26" t="str">
        <f ca="1">IF($D425="","",IF(OFFSET('(2)出場選手'!$B$2,$A425,P$1+3*$B425)="","",OFFSET('(2)出場選手'!$B$2,$A425,P$1+3*$B425)))</f>
        <v/>
      </c>
      <c r="Q425" s="43" t="str">
        <f ca="1">IF(D425="","",VLOOKUP(N425,OFFSET(Competition_Events,0,1),11,FALSE)*IF($S425="リレー",IF(COUNTIF($T$3:$T425,$T425)&gt;1,0,1),1))</f>
        <v/>
      </c>
      <c r="R425" s="26" t="str">
        <f t="shared" ca="1" si="20"/>
        <v/>
      </c>
      <c r="S425" s="26" t="str">
        <f t="shared" ca="1" si="21"/>
        <v/>
      </c>
      <c r="T425" s="26" t="str">
        <f t="shared" ca="1" si="22"/>
        <v/>
      </c>
      <c r="U425" s="26" t="str">
        <f t="shared" ca="1" si="29"/>
        <v/>
      </c>
      <c r="W425" s="17" t="str">
        <f ca="1">IF($D425="","",OFFSET('(2)出場選手'!$B$2,$A425,W$1))</f>
        <v/>
      </c>
      <c r="X425" s="17" t="str">
        <f ca="1">IF($D425="","",OFFSET('(2)出場選手'!$B$2,$A425,X$1))</f>
        <v/>
      </c>
      <c r="Y425" s="17" t="str">
        <f ca="1">IF($D425="","",OFFSET('(2)出場選手'!$B$2,$A425,Y$1))</f>
        <v/>
      </c>
      <c r="Z425" s="17" t="str">
        <f ca="1">IF($D425="","",OFFSET('(2)出場選手'!$B$2,$A425,Z$1))</f>
        <v/>
      </c>
    </row>
    <row r="426" spans="1:26" x14ac:dyDescent="0.15">
      <c r="A426" s="17">
        <f>TRUNC((ROWS($D$3:D426)-2)/Max_Entry_Count)+1</f>
        <v>141</v>
      </c>
      <c r="B426" s="17" t="str">
        <f ca="1">IF($A426&gt;=ROWS(Entries)-2,"",IF(OFFSET('(2)出場選手'!$B$2,$A426,B$1+3*(MOD(ROWS($D$3:D426)-2,Max_Entry_Count)))="","",MOD(ROWS($D$3:D426)-2,Max_Entry_Count)))</f>
        <v/>
      </c>
      <c r="D426" s="26" t="str">
        <f ca="1">IF(OR($A426&gt;=ROWS(Entries)-2,$B426=""),"",'(1)鑑'!$E$6&amp;"-"&amp;OFFSET('(2)出場選手'!$B$2,$A426,D$1))</f>
        <v/>
      </c>
      <c r="E426" s="26" t="str">
        <f ca="1">IF($D426="","",OFFSET('(2)出場選手'!$B$2,$A426,E$1))</f>
        <v/>
      </c>
      <c r="F426" s="26" t="str">
        <f ca="1">IF($D426="","",IF(OFFSET('(2)出場選手'!$B$2,$A426,F$1)="","",OFFSET('(2)出場選手'!$B$2,$A426,F$1)))</f>
        <v/>
      </c>
      <c r="G426" s="26" t="str">
        <f t="shared" ca="1" si="18"/>
        <v/>
      </c>
      <c r="H426" s="26" t="str">
        <f t="shared" ca="1" si="30"/>
        <v/>
      </c>
      <c r="I426" s="26" t="str">
        <f ca="1">IF($D426="","",IF(OFFSET('(2)出場選手'!$B$2,$A426,I$1)="","",OFFSET('(2)出場選手'!$B$2,$A426,I$1)))</f>
        <v/>
      </c>
      <c r="J426" s="26" t="str">
        <f ca="1">IF($D426="","",IF(OFFSET('(2)出場選手'!$B$2,$A426,J$1)="",'(1)鑑'!$E$6,OFFSET('(2)出場選手'!$B$2,$A426,J$1)))</f>
        <v/>
      </c>
      <c r="K426" s="26" t="str">
        <f ca="1">IF($D426="","",TRIM(ASC(IF(OFFSET('(2)出場選手'!$B$2,$A426,K$1)="",'(1)鑑'!$E$7,OFFSET('(2)出場選手'!$B$2,$A426,K$1)))))</f>
        <v/>
      </c>
      <c r="L426" s="26" t="str">
        <f ca="1">IF($D426="","",SUBSTITUTE(SUBSTITUTE(SUBSTITUTE(IF(OFFSET('(2)出場選手'!$B$2,$A426,L$1)="",'(1)鑑'!$E$8,OFFSET('(2)出場選手'!$B$2,$A426,L$1)),"県",""),"府",""),"東京都","東京"))</f>
        <v/>
      </c>
      <c r="M426" s="57" t="str">
        <f ca="1">IF($D426="","",IF(OFFSET('(2)出場選手'!$B$2,$A426,M$1)="","",OFFSET('(2)出場選手'!$B$2,$A426,M$1)))</f>
        <v/>
      </c>
      <c r="N426" s="26" t="str">
        <f ca="1">IF($D426="","",OFFSET('(2)出場選手'!$B$2,$A426,N$1+3*$B426))</f>
        <v/>
      </c>
      <c r="O426" s="26" t="str">
        <f ca="1">IF($D426="","",IF(OFFSET('(2)出場選手'!$B$2,$A426,O$1+3*$B426)="","",OFFSET('(2)出場選手'!$B$2,$A426,O$1+3*$B426)))</f>
        <v/>
      </c>
      <c r="P426" s="26" t="str">
        <f ca="1">IF($D426="","",IF(OFFSET('(2)出場選手'!$B$2,$A426,P$1+3*$B426)="","",OFFSET('(2)出場選手'!$B$2,$A426,P$1+3*$B426)))</f>
        <v/>
      </c>
      <c r="Q426" s="43" t="str">
        <f ca="1">IF(D426="","",VLOOKUP(N426,OFFSET(Competition_Events,0,1),11,FALSE)*IF($S426="リレー",IF(COUNTIF($T$3:$T426,$T426)&gt;1,0,1),1))</f>
        <v/>
      </c>
      <c r="R426" s="26" t="str">
        <f t="shared" ca="1" si="20"/>
        <v/>
      </c>
      <c r="S426" s="26" t="str">
        <f t="shared" ca="1" si="21"/>
        <v/>
      </c>
      <c r="T426" s="26" t="str">
        <f t="shared" ca="1" si="22"/>
        <v/>
      </c>
      <c r="U426" s="26" t="str">
        <f t="shared" ca="1" si="29"/>
        <v/>
      </c>
      <c r="W426" s="17" t="str">
        <f ca="1">IF($D426="","",OFFSET('(2)出場選手'!$B$2,$A426,W$1))</f>
        <v/>
      </c>
      <c r="X426" s="17" t="str">
        <f ca="1">IF($D426="","",OFFSET('(2)出場選手'!$B$2,$A426,X$1))</f>
        <v/>
      </c>
      <c r="Y426" s="17" t="str">
        <f ca="1">IF($D426="","",OFFSET('(2)出場選手'!$B$2,$A426,Y$1))</f>
        <v/>
      </c>
      <c r="Z426" s="17" t="str">
        <f ca="1">IF($D426="","",OFFSET('(2)出場選手'!$B$2,$A426,Z$1))</f>
        <v/>
      </c>
    </row>
    <row r="427" spans="1:26" x14ac:dyDescent="0.15">
      <c r="A427" s="17">
        <f>TRUNC((ROWS($D$3:D427)-2)/Max_Entry_Count)+1</f>
        <v>142</v>
      </c>
      <c r="B427" s="17" t="str">
        <f ca="1">IF($A427&gt;=ROWS(Entries)-2,"",IF(OFFSET('(2)出場選手'!$B$2,$A427,B$1+3*(MOD(ROWS($D$3:D427)-2,Max_Entry_Count)))="","",MOD(ROWS($D$3:D427)-2,Max_Entry_Count)))</f>
        <v/>
      </c>
      <c r="D427" s="26" t="str">
        <f ca="1">IF(OR($A427&gt;=ROWS(Entries)-2,$B427=""),"",'(1)鑑'!$E$6&amp;"-"&amp;OFFSET('(2)出場選手'!$B$2,$A427,D$1))</f>
        <v/>
      </c>
      <c r="E427" s="26" t="str">
        <f ca="1">IF($D427="","",OFFSET('(2)出場選手'!$B$2,$A427,E$1))</f>
        <v/>
      </c>
      <c r="F427" s="26" t="str">
        <f ca="1">IF($D427="","",IF(OFFSET('(2)出場選手'!$B$2,$A427,F$1)="","",OFFSET('(2)出場選手'!$B$2,$A427,F$1)))</f>
        <v/>
      </c>
      <c r="G427" s="26" t="str">
        <f t="shared" ca="1" si="18"/>
        <v/>
      </c>
      <c r="H427" s="26" t="str">
        <f t="shared" ca="1" si="30"/>
        <v/>
      </c>
      <c r="I427" s="26" t="str">
        <f ca="1">IF($D427="","",IF(OFFSET('(2)出場選手'!$B$2,$A427,I$1)="","",OFFSET('(2)出場選手'!$B$2,$A427,I$1)))</f>
        <v/>
      </c>
      <c r="J427" s="26" t="str">
        <f ca="1">IF($D427="","",IF(OFFSET('(2)出場選手'!$B$2,$A427,J$1)="",'(1)鑑'!$E$6,OFFSET('(2)出場選手'!$B$2,$A427,J$1)))</f>
        <v/>
      </c>
      <c r="K427" s="26" t="str">
        <f ca="1">IF($D427="","",TRIM(ASC(IF(OFFSET('(2)出場選手'!$B$2,$A427,K$1)="",'(1)鑑'!$E$7,OFFSET('(2)出場選手'!$B$2,$A427,K$1)))))</f>
        <v/>
      </c>
      <c r="L427" s="26" t="str">
        <f ca="1">IF($D427="","",SUBSTITUTE(SUBSTITUTE(SUBSTITUTE(IF(OFFSET('(2)出場選手'!$B$2,$A427,L$1)="",'(1)鑑'!$E$8,OFFSET('(2)出場選手'!$B$2,$A427,L$1)),"県",""),"府",""),"東京都","東京"))</f>
        <v/>
      </c>
      <c r="M427" s="57" t="str">
        <f ca="1">IF($D427="","",IF(OFFSET('(2)出場選手'!$B$2,$A427,M$1)="","",OFFSET('(2)出場選手'!$B$2,$A427,M$1)))</f>
        <v/>
      </c>
      <c r="N427" s="26" t="str">
        <f ca="1">IF($D427="","",OFFSET('(2)出場選手'!$B$2,$A427,N$1+3*$B427))</f>
        <v/>
      </c>
      <c r="O427" s="26" t="str">
        <f ca="1">IF($D427="","",IF(OFFSET('(2)出場選手'!$B$2,$A427,O$1+3*$B427)="","",OFFSET('(2)出場選手'!$B$2,$A427,O$1+3*$B427)))</f>
        <v/>
      </c>
      <c r="P427" s="26" t="str">
        <f ca="1">IF($D427="","",IF(OFFSET('(2)出場選手'!$B$2,$A427,P$1+3*$B427)="","",OFFSET('(2)出場選手'!$B$2,$A427,P$1+3*$B427)))</f>
        <v/>
      </c>
      <c r="Q427" s="43" t="str">
        <f ca="1">IF(D427="","",VLOOKUP(N427,OFFSET(Competition_Events,0,1),11,FALSE)*IF($S427="リレー",IF(COUNTIF($T$3:$T427,$T427)&gt;1,0,1),1))</f>
        <v/>
      </c>
      <c r="R427" s="26" t="str">
        <f t="shared" ca="1" si="20"/>
        <v/>
      </c>
      <c r="S427" s="26" t="str">
        <f t="shared" ca="1" si="21"/>
        <v/>
      </c>
      <c r="T427" s="26" t="str">
        <f t="shared" ca="1" si="22"/>
        <v/>
      </c>
      <c r="U427" s="26" t="str">
        <f t="shared" ca="1" si="29"/>
        <v/>
      </c>
      <c r="W427" s="17" t="str">
        <f ca="1">IF($D427="","",OFFSET('(2)出場選手'!$B$2,$A427,W$1))</f>
        <v/>
      </c>
      <c r="X427" s="17" t="str">
        <f ca="1">IF($D427="","",OFFSET('(2)出場選手'!$B$2,$A427,X$1))</f>
        <v/>
      </c>
      <c r="Y427" s="17" t="str">
        <f ca="1">IF($D427="","",OFFSET('(2)出場選手'!$B$2,$A427,Y$1))</f>
        <v/>
      </c>
      <c r="Z427" s="17" t="str">
        <f ca="1">IF($D427="","",OFFSET('(2)出場選手'!$B$2,$A427,Z$1))</f>
        <v/>
      </c>
    </row>
    <row r="428" spans="1:26" x14ac:dyDescent="0.15">
      <c r="A428" s="17">
        <f>TRUNC((ROWS($D$3:D428)-2)/Max_Entry_Count)+1</f>
        <v>142</v>
      </c>
      <c r="B428" s="17" t="str">
        <f ca="1">IF($A428&gt;=ROWS(Entries)-2,"",IF(OFFSET('(2)出場選手'!$B$2,$A428,B$1+3*(MOD(ROWS($D$3:D428)-2,Max_Entry_Count)))="","",MOD(ROWS($D$3:D428)-2,Max_Entry_Count)))</f>
        <v/>
      </c>
      <c r="D428" s="26" t="str">
        <f ca="1">IF(OR($A428&gt;=ROWS(Entries)-2,$B428=""),"",'(1)鑑'!$E$6&amp;"-"&amp;OFFSET('(2)出場選手'!$B$2,$A428,D$1))</f>
        <v/>
      </c>
      <c r="E428" s="26" t="str">
        <f ca="1">IF($D428="","",OFFSET('(2)出場選手'!$B$2,$A428,E$1))</f>
        <v/>
      </c>
      <c r="F428" s="26" t="str">
        <f ca="1">IF($D428="","",IF(OFFSET('(2)出場選手'!$B$2,$A428,F$1)="","",OFFSET('(2)出場選手'!$B$2,$A428,F$1)))</f>
        <v/>
      </c>
      <c r="G428" s="26" t="str">
        <f t="shared" ca="1" si="18"/>
        <v/>
      </c>
      <c r="H428" s="26" t="str">
        <f t="shared" ca="1" si="30"/>
        <v/>
      </c>
      <c r="I428" s="26" t="str">
        <f ca="1">IF($D428="","",IF(OFFSET('(2)出場選手'!$B$2,$A428,I$1)="","",OFFSET('(2)出場選手'!$B$2,$A428,I$1)))</f>
        <v/>
      </c>
      <c r="J428" s="26" t="str">
        <f ca="1">IF($D428="","",IF(OFFSET('(2)出場選手'!$B$2,$A428,J$1)="",'(1)鑑'!$E$6,OFFSET('(2)出場選手'!$B$2,$A428,J$1)))</f>
        <v/>
      </c>
      <c r="K428" s="26" t="str">
        <f ca="1">IF($D428="","",TRIM(ASC(IF(OFFSET('(2)出場選手'!$B$2,$A428,K$1)="",'(1)鑑'!$E$7,OFFSET('(2)出場選手'!$B$2,$A428,K$1)))))</f>
        <v/>
      </c>
      <c r="L428" s="26" t="str">
        <f ca="1">IF($D428="","",SUBSTITUTE(SUBSTITUTE(SUBSTITUTE(IF(OFFSET('(2)出場選手'!$B$2,$A428,L$1)="",'(1)鑑'!$E$8,OFFSET('(2)出場選手'!$B$2,$A428,L$1)),"県",""),"府",""),"東京都","東京"))</f>
        <v/>
      </c>
      <c r="M428" s="57" t="str">
        <f ca="1">IF($D428="","",IF(OFFSET('(2)出場選手'!$B$2,$A428,M$1)="","",OFFSET('(2)出場選手'!$B$2,$A428,M$1)))</f>
        <v/>
      </c>
      <c r="N428" s="26" t="str">
        <f ca="1">IF($D428="","",OFFSET('(2)出場選手'!$B$2,$A428,N$1+3*$B428))</f>
        <v/>
      </c>
      <c r="O428" s="26" t="str">
        <f ca="1">IF($D428="","",IF(OFFSET('(2)出場選手'!$B$2,$A428,O$1+3*$B428)="","",OFFSET('(2)出場選手'!$B$2,$A428,O$1+3*$B428)))</f>
        <v/>
      </c>
      <c r="P428" s="26" t="str">
        <f ca="1">IF($D428="","",IF(OFFSET('(2)出場選手'!$B$2,$A428,P$1+3*$B428)="","",OFFSET('(2)出場選手'!$B$2,$A428,P$1+3*$B428)))</f>
        <v/>
      </c>
      <c r="Q428" s="43" t="str">
        <f ca="1">IF(D428="","",VLOOKUP(N428,OFFSET(Competition_Events,0,1),11,FALSE)*IF($S428="リレー",IF(COUNTIF($T$3:$T428,$T428)&gt;1,0,1),1))</f>
        <v/>
      </c>
      <c r="R428" s="26" t="str">
        <f t="shared" ca="1" si="20"/>
        <v/>
      </c>
      <c r="S428" s="26" t="str">
        <f t="shared" ca="1" si="21"/>
        <v/>
      </c>
      <c r="T428" s="26" t="str">
        <f t="shared" ca="1" si="22"/>
        <v/>
      </c>
      <c r="U428" s="26" t="str">
        <f t="shared" ca="1" si="29"/>
        <v/>
      </c>
      <c r="W428" s="17" t="str">
        <f ca="1">IF($D428="","",OFFSET('(2)出場選手'!$B$2,$A428,W$1))</f>
        <v/>
      </c>
      <c r="X428" s="17" t="str">
        <f ca="1">IF($D428="","",OFFSET('(2)出場選手'!$B$2,$A428,X$1))</f>
        <v/>
      </c>
      <c r="Y428" s="17" t="str">
        <f ca="1">IF($D428="","",OFFSET('(2)出場選手'!$B$2,$A428,Y$1))</f>
        <v/>
      </c>
      <c r="Z428" s="17" t="str">
        <f ca="1">IF($D428="","",OFFSET('(2)出場選手'!$B$2,$A428,Z$1))</f>
        <v/>
      </c>
    </row>
    <row r="429" spans="1:26" x14ac:dyDescent="0.15">
      <c r="A429" s="17">
        <f>TRUNC((ROWS($D$3:D429)-2)/Max_Entry_Count)+1</f>
        <v>142</v>
      </c>
      <c r="B429" s="17" t="str">
        <f ca="1">IF($A429&gt;=ROWS(Entries)-2,"",IF(OFFSET('(2)出場選手'!$B$2,$A429,B$1+3*(MOD(ROWS($D$3:D429)-2,Max_Entry_Count)))="","",MOD(ROWS($D$3:D429)-2,Max_Entry_Count)))</f>
        <v/>
      </c>
      <c r="D429" s="26" t="str">
        <f ca="1">IF(OR($A429&gt;=ROWS(Entries)-2,$B429=""),"",'(1)鑑'!$E$6&amp;"-"&amp;OFFSET('(2)出場選手'!$B$2,$A429,D$1))</f>
        <v/>
      </c>
      <c r="E429" s="26" t="str">
        <f ca="1">IF($D429="","",OFFSET('(2)出場選手'!$B$2,$A429,E$1))</f>
        <v/>
      </c>
      <c r="F429" s="26" t="str">
        <f ca="1">IF($D429="","",IF(OFFSET('(2)出場選手'!$B$2,$A429,F$1)="","",OFFSET('(2)出場選手'!$B$2,$A429,F$1)))</f>
        <v/>
      </c>
      <c r="G429" s="26" t="str">
        <f t="shared" ca="1" si="18"/>
        <v/>
      </c>
      <c r="H429" s="26" t="str">
        <f t="shared" ca="1" si="30"/>
        <v/>
      </c>
      <c r="I429" s="26" t="str">
        <f ca="1">IF($D429="","",IF(OFFSET('(2)出場選手'!$B$2,$A429,I$1)="","",OFFSET('(2)出場選手'!$B$2,$A429,I$1)))</f>
        <v/>
      </c>
      <c r="J429" s="26" t="str">
        <f ca="1">IF($D429="","",IF(OFFSET('(2)出場選手'!$B$2,$A429,J$1)="",'(1)鑑'!$E$6,OFFSET('(2)出場選手'!$B$2,$A429,J$1)))</f>
        <v/>
      </c>
      <c r="K429" s="26" t="str">
        <f ca="1">IF($D429="","",TRIM(ASC(IF(OFFSET('(2)出場選手'!$B$2,$A429,K$1)="",'(1)鑑'!$E$7,OFFSET('(2)出場選手'!$B$2,$A429,K$1)))))</f>
        <v/>
      </c>
      <c r="L429" s="26" t="str">
        <f ca="1">IF($D429="","",SUBSTITUTE(SUBSTITUTE(SUBSTITUTE(IF(OFFSET('(2)出場選手'!$B$2,$A429,L$1)="",'(1)鑑'!$E$8,OFFSET('(2)出場選手'!$B$2,$A429,L$1)),"県",""),"府",""),"東京都","東京"))</f>
        <v/>
      </c>
      <c r="M429" s="57" t="str">
        <f ca="1">IF($D429="","",IF(OFFSET('(2)出場選手'!$B$2,$A429,M$1)="","",OFFSET('(2)出場選手'!$B$2,$A429,M$1)))</f>
        <v/>
      </c>
      <c r="N429" s="26" t="str">
        <f ca="1">IF($D429="","",OFFSET('(2)出場選手'!$B$2,$A429,N$1+3*$B429))</f>
        <v/>
      </c>
      <c r="O429" s="26" t="str">
        <f ca="1">IF($D429="","",IF(OFFSET('(2)出場選手'!$B$2,$A429,O$1+3*$B429)="","",OFFSET('(2)出場選手'!$B$2,$A429,O$1+3*$B429)))</f>
        <v/>
      </c>
      <c r="P429" s="26" t="str">
        <f ca="1">IF($D429="","",IF(OFFSET('(2)出場選手'!$B$2,$A429,P$1+3*$B429)="","",OFFSET('(2)出場選手'!$B$2,$A429,P$1+3*$B429)))</f>
        <v/>
      </c>
      <c r="Q429" s="43" t="str">
        <f ca="1">IF(D429="","",VLOOKUP(N429,OFFSET(Competition_Events,0,1),11,FALSE)*IF($S429="リレー",IF(COUNTIF($T$3:$T429,$T429)&gt;1,0,1),1))</f>
        <v/>
      </c>
      <c r="R429" s="26" t="str">
        <f t="shared" ca="1" si="20"/>
        <v/>
      </c>
      <c r="S429" s="26" t="str">
        <f t="shared" ca="1" si="21"/>
        <v/>
      </c>
      <c r="T429" s="26" t="str">
        <f t="shared" ca="1" si="22"/>
        <v/>
      </c>
      <c r="U429" s="26" t="str">
        <f t="shared" ca="1" si="29"/>
        <v/>
      </c>
      <c r="W429" s="17" t="str">
        <f ca="1">IF($D429="","",OFFSET('(2)出場選手'!$B$2,$A429,W$1))</f>
        <v/>
      </c>
      <c r="X429" s="17" t="str">
        <f ca="1">IF($D429="","",OFFSET('(2)出場選手'!$B$2,$A429,X$1))</f>
        <v/>
      </c>
      <c r="Y429" s="17" t="str">
        <f ca="1">IF($D429="","",OFFSET('(2)出場選手'!$B$2,$A429,Y$1))</f>
        <v/>
      </c>
      <c r="Z429" s="17" t="str">
        <f ca="1">IF($D429="","",OFFSET('(2)出場選手'!$B$2,$A429,Z$1))</f>
        <v/>
      </c>
    </row>
    <row r="430" spans="1:26" x14ac:dyDescent="0.15">
      <c r="A430" s="17">
        <f>TRUNC((ROWS($D$3:D430)-2)/Max_Entry_Count)+1</f>
        <v>143</v>
      </c>
      <c r="B430" s="17" t="str">
        <f ca="1">IF($A430&gt;=ROWS(Entries)-2,"",IF(OFFSET('(2)出場選手'!$B$2,$A430,B$1+3*(MOD(ROWS($D$3:D430)-2,Max_Entry_Count)))="","",MOD(ROWS($D$3:D430)-2,Max_Entry_Count)))</f>
        <v/>
      </c>
      <c r="D430" s="26" t="str">
        <f ca="1">IF(OR($A430&gt;=ROWS(Entries)-2,$B430=""),"",'(1)鑑'!$E$6&amp;"-"&amp;OFFSET('(2)出場選手'!$B$2,$A430,D$1))</f>
        <v/>
      </c>
      <c r="E430" s="26" t="str">
        <f ca="1">IF($D430="","",OFFSET('(2)出場選手'!$B$2,$A430,E$1))</f>
        <v/>
      </c>
      <c r="F430" s="26" t="str">
        <f ca="1">IF($D430="","",IF(OFFSET('(2)出場選手'!$B$2,$A430,F$1)="","",OFFSET('(2)出場選手'!$B$2,$A430,F$1)))</f>
        <v/>
      </c>
      <c r="G430" s="26" t="str">
        <f t="shared" ca="1" si="18"/>
        <v/>
      </c>
      <c r="H430" s="26" t="str">
        <f t="shared" ca="1" si="30"/>
        <v/>
      </c>
      <c r="I430" s="26" t="str">
        <f ca="1">IF($D430="","",IF(OFFSET('(2)出場選手'!$B$2,$A430,I$1)="","",OFFSET('(2)出場選手'!$B$2,$A430,I$1)))</f>
        <v/>
      </c>
      <c r="J430" s="26" t="str">
        <f ca="1">IF($D430="","",IF(OFFSET('(2)出場選手'!$B$2,$A430,J$1)="",'(1)鑑'!$E$6,OFFSET('(2)出場選手'!$B$2,$A430,J$1)))</f>
        <v/>
      </c>
      <c r="K430" s="26" t="str">
        <f ca="1">IF($D430="","",TRIM(ASC(IF(OFFSET('(2)出場選手'!$B$2,$A430,K$1)="",'(1)鑑'!$E$7,OFFSET('(2)出場選手'!$B$2,$A430,K$1)))))</f>
        <v/>
      </c>
      <c r="L430" s="26" t="str">
        <f ca="1">IF($D430="","",SUBSTITUTE(SUBSTITUTE(SUBSTITUTE(IF(OFFSET('(2)出場選手'!$B$2,$A430,L$1)="",'(1)鑑'!$E$8,OFFSET('(2)出場選手'!$B$2,$A430,L$1)),"県",""),"府",""),"東京都","東京"))</f>
        <v/>
      </c>
      <c r="M430" s="57" t="str">
        <f ca="1">IF($D430="","",IF(OFFSET('(2)出場選手'!$B$2,$A430,M$1)="","",OFFSET('(2)出場選手'!$B$2,$A430,M$1)))</f>
        <v/>
      </c>
      <c r="N430" s="26" t="str">
        <f ca="1">IF($D430="","",OFFSET('(2)出場選手'!$B$2,$A430,N$1+3*$B430))</f>
        <v/>
      </c>
      <c r="O430" s="26" t="str">
        <f ca="1">IF($D430="","",IF(OFFSET('(2)出場選手'!$B$2,$A430,O$1+3*$B430)="","",OFFSET('(2)出場選手'!$B$2,$A430,O$1+3*$B430)))</f>
        <v/>
      </c>
      <c r="P430" s="26" t="str">
        <f ca="1">IF($D430="","",IF(OFFSET('(2)出場選手'!$B$2,$A430,P$1+3*$B430)="","",OFFSET('(2)出場選手'!$B$2,$A430,P$1+3*$B430)))</f>
        <v/>
      </c>
      <c r="Q430" s="43" t="str">
        <f ca="1">IF(D430="","",VLOOKUP(N430,OFFSET(Competition_Events,0,1),11,FALSE)*IF($S430="リレー",IF(COUNTIF($T$3:$T430,$T430)&gt;1,0,1),1))</f>
        <v/>
      </c>
      <c r="R430" s="26" t="str">
        <f t="shared" ca="1" si="20"/>
        <v/>
      </c>
      <c r="S430" s="26" t="str">
        <f t="shared" ca="1" si="21"/>
        <v/>
      </c>
      <c r="T430" s="26" t="str">
        <f t="shared" ca="1" si="22"/>
        <v/>
      </c>
      <c r="U430" s="26" t="str">
        <f t="shared" ca="1" si="29"/>
        <v/>
      </c>
      <c r="W430" s="17" t="str">
        <f ca="1">IF($D430="","",OFFSET('(2)出場選手'!$B$2,$A430,W$1))</f>
        <v/>
      </c>
      <c r="X430" s="17" t="str">
        <f ca="1">IF($D430="","",OFFSET('(2)出場選手'!$B$2,$A430,X$1))</f>
        <v/>
      </c>
      <c r="Y430" s="17" t="str">
        <f ca="1">IF($D430="","",OFFSET('(2)出場選手'!$B$2,$A430,Y$1))</f>
        <v/>
      </c>
      <c r="Z430" s="17" t="str">
        <f ca="1">IF($D430="","",OFFSET('(2)出場選手'!$B$2,$A430,Z$1))</f>
        <v/>
      </c>
    </row>
    <row r="431" spans="1:26" x14ac:dyDescent="0.15">
      <c r="A431" s="17">
        <f>TRUNC((ROWS($D$3:D431)-2)/Max_Entry_Count)+1</f>
        <v>143</v>
      </c>
      <c r="B431" s="17" t="str">
        <f ca="1">IF($A431&gt;=ROWS(Entries)-2,"",IF(OFFSET('(2)出場選手'!$B$2,$A431,B$1+3*(MOD(ROWS($D$3:D431)-2,Max_Entry_Count)))="","",MOD(ROWS($D$3:D431)-2,Max_Entry_Count)))</f>
        <v/>
      </c>
      <c r="D431" s="26" t="str">
        <f ca="1">IF(OR($A431&gt;=ROWS(Entries)-2,$B431=""),"",'(1)鑑'!$E$6&amp;"-"&amp;OFFSET('(2)出場選手'!$B$2,$A431,D$1))</f>
        <v/>
      </c>
      <c r="E431" s="26" t="str">
        <f ca="1">IF($D431="","",OFFSET('(2)出場選手'!$B$2,$A431,E$1))</f>
        <v/>
      </c>
      <c r="F431" s="26" t="str">
        <f ca="1">IF($D431="","",IF(OFFSET('(2)出場選手'!$B$2,$A431,F$1)="","",OFFSET('(2)出場選手'!$B$2,$A431,F$1)))</f>
        <v/>
      </c>
      <c r="G431" s="26" t="str">
        <f t="shared" ca="1" si="18"/>
        <v/>
      </c>
      <c r="H431" s="26" t="str">
        <f t="shared" ca="1" si="30"/>
        <v/>
      </c>
      <c r="I431" s="26" t="str">
        <f ca="1">IF($D431="","",IF(OFFSET('(2)出場選手'!$B$2,$A431,I$1)="","",OFFSET('(2)出場選手'!$B$2,$A431,I$1)))</f>
        <v/>
      </c>
      <c r="J431" s="26" t="str">
        <f ca="1">IF($D431="","",IF(OFFSET('(2)出場選手'!$B$2,$A431,J$1)="",'(1)鑑'!$E$6,OFFSET('(2)出場選手'!$B$2,$A431,J$1)))</f>
        <v/>
      </c>
      <c r="K431" s="26" t="str">
        <f ca="1">IF($D431="","",TRIM(ASC(IF(OFFSET('(2)出場選手'!$B$2,$A431,K$1)="",'(1)鑑'!$E$7,OFFSET('(2)出場選手'!$B$2,$A431,K$1)))))</f>
        <v/>
      </c>
      <c r="L431" s="26" t="str">
        <f ca="1">IF($D431="","",SUBSTITUTE(SUBSTITUTE(SUBSTITUTE(IF(OFFSET('(2)出場選手'!$B$2,$A431,L$1)="",'(1)鑑'!$E$8,OFFSET('(2)出場選手'!$B$2,$A431,L$1)),"県",""),"府",""),"東京都","東京"))</f>
        <v/>
      </c>
      <c r="M431" s="57" t="str">
        <f ca="1">IF($D431="","",IF(OFFSET('(2)出場選手'!$B$2,$A431,M$1)="","",OFFSET('(2)出場選手'!$B$2,$A431,M$1)))</f>
        <v/>
      </c>
      <c r="N431" s="26" t="str">
        <f ca="1">IF($D431="","",OFFSET('(2)出場選手'!$B$2,$A431,N$1+3*$B431))</f>
        <v/>
      </c>
      <c r="O431" s="26" t="str">
        <f ca="1">IF($D431="","",IF(OFFSET('(2)出場選手'!$B$2,$A431,O$1+3*$B431)="","",OFFSET('(2)出場選手'!$B$2,$A431,O$1+3*$B431)))</f>
        <v/>
      </c>
      <c r="P431" s="26" t="str">
        <f ca="1">IF($D431="","",IF(OFFSET('(2)出場選手'!$B$2,$A431,P$1+3*$B431)="","",OFFSET('(2)出場選手'!$B$2,$A431,P$1+3*$B431)))</f>
        <v/>
      </c>
      <c r="Q431" s="43" t="str">
        <f ca="1">IF(D431="","",VLOOKUP(N431,OFFSET(Competition_Events,0,1),11,FALSE)*IF($S431="リレー",IF(COUNTIF($T$3:$T431,$T431)&gt;1,0,1),1))</f>
        <v/>
      </c>
      <c r="R431" s="26" t="str">
        <f t="shared" ca="1" si="20"/>
        <v/>
      </c>
      <c r="S431" s="26" t="str">
        <f t="shared" ca="1" si="21"/>
        <v/>
      </c>
      <c r="T431" s="26" t="str">
        <f t="shared" ca="1" si="22"/>
        <v/>
      </c>
      <c r="U431" s="26" t="str">
        <f t="shared" ca="1" si="29"/>
        <v/>
      </c>
      <c r="W431" s="17" t="str">
        <f ca="1">IF($D431="","",OFFSET('(2)出場選手'!$B$2,$A431,W$1))</f>
        <v/>
      </c>
      <c r="X431" s="17" t="str">
        <f ca="1">IF($D431="","",OFFSET('(2)出場選手'!$B$2,$A431,X$1))</f>
        <v/>
      </c>
      <c r="Y431" s="17" t="str">
        <f ca="1">IF($D431="","",OFFSET('(2)出場選手'!$B$2,$A431,Y$1))</f>
        <v/>
      </c>
      <c r="Z431" s="17" t="str">
        <f ca="1">IF($D431="","",OFFSET('(2)出場選手'!$B$2,$A431,Z$1))</f>
        <v/>
      </c>
    </row>
    <row r="432" spans="1:26" x14ac:dyDescent="0.15">
      <c r="A432" s="17">
        <f>TRUNC((ROWS($D$3:D432)-2)/Max_Entry_Count)+1</f>
        <v>143</v>
      </c>
      <c r="B432" s="17" t="str">
        <f ca="1">IF($A432&gt;=ROWS(Entries)-2,"",IF(OFFSET('(2)出場選手'!$B$2,$A432,B$1+3*(MOD(ROWS($D$3:D432)-2,Max_Entry_Count)))="","",MOD(ROWS($D$3:D432)-2,Max_Entry_Count)))</f>
        <v/>
      </c>
      <c r="D432" s="26" t="str">
        <f ca="1">IF(OR($A432&gt;=ROWS(Entries)-2,$B432=""),"",'(1)鑑'!$E$6&amp;"-"&amp;OFFSET('(2)出場選手'!$B$2,$A432,D$1))</f>
        <v/>
      </c>
      <c r="E432" s="26" t="str">
        <f ca="1">IF($D432="","",OFFSET('(2)出場選手'!$B$2,$A432,E$1))</f>
        <v/>
      </c>
      <c r="F432" s="26" t="str">
        <f ca="1">IF($D432="","",IF(OFFSET('(2)出場選手'!$B$2,$A432,F$1)="","",OFFSET('(2)出場選手'!$B$2,$A432,F$1)))</f>
        <v/>
      </c>
      <c r="G432" s="26" t="str">
        <f t="shared" ca="1" si="18"/>
        <v/>
      </c>
      <c r="H432" s="26" t="str">
        <f t="shared" ca="1" si="30"/>
        <v/>
      </c>
      <c r="I432" s="26" t="str">
        <f ca="1">IF($D432="","",IF(OFFSET('(2)出場選手'!$B$2,$A432,I$1)="","",OFFSET('(2)出場選手'!$B$2,$A432,I$1)))</f>
        <v/>
      </c>
      <c r="J432" s="26" t="str">
        <f ca="1">IF($D432="","",IF(OFFSET('(2)出場選手'!$B$2,$A432,J$1)="",'(1)鑑'!$E$6,OFFSET('(2)出場選手'!$B$2,$A432,J$1)))</f>
        <v/>
      </c>
      <c r="K432" s="26" t="str">
        <f ca="1">IF($D432="","",TRIM(ASC(IF(OFFSET('(2)出場選手'!$B$2,$A432,K$1)="",'(1)鑑'!$E$7,OFFSET('(2)出場選手'!$B$2,$A432,K$1)))))</f>
        <v/>
      </c>
      <c r="L432" s="26" t="str">
        <f ca="1">IF($D432="","",SUBSTITUTE(SUBSTITUTE(SUBSTITUTE(IF(OFFSET('(2)出場選手'!$B$2,$A432,L$1)="",'(1)鑑'!$E$8,OFFSET('(2)出場選手'!$B$2,$A432,L$1)),"県",""),"府",""),"東京都","東京"))</f>
        <v/>
      </c>
      <c r="M432" s="57" t="str">
        <f ca="1">IF($D432="","",IF(OFFSET('(2)出場選手'!$B$2,$A432,M$1)="","",OFFSET('(2)出場選手'!$B$2,$A432,M$1)))</f>
        <v/>
      </c>
      <c r="N432" s="26" t="str">
        <f ca="1">IF($D432="","",OFFSET('(2)出場選手'!$B$2,$A432,N$1+3*$B432))</f>
        <v/>
      </c>
      <c r="O432" s="26" t="str">
        <f ca="1">IF($D432="","",IF(OFFSET('(2)出場選手'!$B$2,$A432,O$1+3*$B432)="","",OFFSET('(2)出場選手'!$B$2,$A432,O$1+3*$B432)))</f>
        <v/>
      </c>
      <c r="P432" s="26" t="str">
        <f ca="1">IF($D432="","",IF(OFFSET('(2)出場選手'!$B$2,$A432,P$1+3*$B432)="","",OFFSET('(2)出場選手'!$B$2,$A432,P$1+3*$B432)))</f>
        <v/>
      </c>
      <c r="Q432" s="43" t="str">
        <f ca="1">IF(D432="","",VLOOKUP(N432,OFFSET(Competition_Events,0,1),11,FALSE)*IF($S432="リレー",IF(COUNTIF($T$3:$T432,$T432)&gt;1,0,1),1))</f>
        <v/>
      </c>
      <c r="R432" s="26" t="str">
        <f t="shared" ca="1" si="20"/>
        <v/>
      </c>
      <c r="S432" s="26" t="str">
        <f t="shared" ca="1" si="21"/>
        <v/>
      </c>
      <c r="T432" s="26" t="str">
        <f t="shared" ca="1" si="22"/>
        <v/>
      </c>
      <c r="U432" s="26" t="str">
        <f t="shared" ca="1" si="29"/>
        <v/>
      </c>
      <c r="W432" s="17" t="str">
        <f ca="1">IF($D432="","",OFFSET('(2)出場選手'!$B$2,$A432,W$1))</f>
        <v/>
      </c>
      <c r="X432" s="17" t="str">
        <f ca="1">IF($D432="","",OFFSET('(2)出場選手'!$B$2,$A432,X$1))</f>
        <v/>
      </c>
      <c r="Y432" s="17" t="str">
        <f ca="1">IF($D432="","",OFFSET('(2)出場選手'!$B$2,$A432,Y$1))</f>
        <v/>
      </c>
      <c r="Z432" s="17" t="str">
        <f ca="1">IF($D432="","",OFFSET('(2)出場選手'!$B$2,$A432,Z$1))</f>
        <v/>
      </c>
    </row>
    <row r="433" spans="1:26" x14ac:dyDescent="0.15">
      <c r="A433" s="17">
        <f>TRUNC((ROWS($D$3:D433)-2)/Max_Entry_Count)+1</f>
        <v>144</v>
      </c>
      <c r="B433" s="17" t="str">
        <f ca="1">IF($A433&gt;=ROWS(Entries)-2,"",IF(OFFSET('(2)出場選手'!$B$2,$A433,B$1+3*(MOD(ROWS($D$3:D433)-2,Max_Entry_Count)))="","",MOD(ROWS($D$3:D433)-2,Max_Entry_Count)))</f>
        <v/>
      </c>
      <c r="D433" s="26" t="str">
        <f ca="1">IF(OR($A433&gt;=ROWS(Entries)-2,$B433=""),"",'(1)鑑'!$E$6&amp;"-"&amp;OFFSET('(2)出場選手'!$B$2,$A433,D$1))</f>
        <v/>
      </c>
      <c r="E433" s="26" t="str">
        <f ca="1">IF($D433="","",OFFSET('(2)出場選手'!$B$2,$A433,E$1))</f>
        <v/>
      </c>
      <c r="F433" s="26" t="str">
        <f ca="1">IF($D433="","",IF(OFFSET('(2)出場選手'!$B$2,$A433,F$1)="","",OFFSET('(2)出場選手'!$B$2,$A433,F$1)))</f>
        <v/>
      </c>
      <c r="G433" s="26" t="str">
        <f t="shared" ca="1" si="18"/>
        <v/>
      </c>
      <c r="H433" s="26" t="str">
        <f t="shared" ca="1" si="30"/>
        <v/>
      </c>
      <c r="I433" s="26" t="str">
        <f ca="1">IF($D433="","",IF(OFFSET('(2)出場選手'!$B$2,$A433,I$1)="","",OFFSET('(2)出場選手'!$B$2,$A433,I$1)))</f>
        <v/>
      </c>
      <c r="J433" s="26" t="str">
        <f ca="1">IF($D433="","",IF(OFFSET('(2)出場選手'!$B$2,$A433,J$1)="",'(1)鑑'!$E$6,OFFSET('(2)出場選手'!$B$2,$A433,J$1)))</f>
        <v/>
      </c>
      <c r="K433" s="26" t="str">
        <f ca="1">IF($D433="","",TRIM(ASC(IF(OFFSET('(2)出場選手'!$B$2,$A433,K$1)="",'(1)鑑'!$E$7,OFFSET('(2)出場選手'!$B$2,$A433,K$1)))))</f>
        <v/>
      </c>
      <c r="L433" s="26" t="str">
        <f ca="1">IF($D433="","",SUBSTITUTE(SUBSTITUTE(SUBSTITUTE(IF(OFFSET('(2)出場選手'!$B$2,$A433,L$1)="",'(1)鑑'!$E$8,OFFSET('(2)出場選手'!$B$2,$A433,L$1)),"県",""),"府",""),"東京都","東京"))</f>
        <v/>
      </c>
      <c r="M433" s="57" t="str">
        <f ca="1">IF($D433="","",IF(OFFSET('(2)出場選手'!$B$2,$A433,M$1)="","",OFFSET('(2)出場選手'!$B$2,$A433,M$1)))</f>
        <v/>
      </c>
      <c r="N433" s="26" t="str">
        <f ca="1">IF($D433="","",OFFSET('(2)出場選手'!$B$2,$A433,N$1+3*$B433))</f>
        <v/>
      </c>
      <c r="O433" s="26" t="str">
        <f ca="1">IF($D433="","",IF(OFFSET('(2)出場選手'!$B$2,$A433,O$1+3*$B433)="","",OFFSET('(2)出場選手'!$B$2,$A433,O$1+3*$B433)))</f>
        <v/>
      </c>
      <c r="P433" s="26" t="str">
        <f ca="1">IF($D433="","",IF(OFFSET('(2)出場選手'!$B$2,$A433,P$1+3*$B433)="","",OFFSET('(2)出場選手'!$B$2,$A433,P$1+3*$B433)))</f>
        <v/>
      </c>
      <c r="Q433" s="43" t="str">
        <f ca="1">IF(D433="","",VLOOKUP(N433,OFFSET(Competition_Events,0,1),11,FALSE)*IF($S433="リレー",IF(COUNTIF($T$3:$T433,$T433)&gt;1,0,1),1))</f>
        <v/>
      </c>
      <c r="R433" s="26" t="str">
        <f t="shared" ca="1" si="20"/>
        <v/>
      </c>
      <c r="S433" s="26" t="str">
        <f t="shared" ca="1" si="21"/>
        <v/>
      </c>
      <c r="T433" s="26" t="str">
        <f t="shared" ca="1" si="22"/>
        <v/>
      </c>
      <c r="U433" s="26" t="str">
        <f t="shared" ca="1" si="29"/>
        <v/>
      </c>
      <c r="W433" s="17" t="str">
        <f ca="1">IF($D433="","",OFFSET('(2)出場選手'!$B$2,$A433,W$1))</f>
        <v/>
      </c>
      <c r="X433" s="17" t="str">
        <f ca="1">IF($D433="","",OFFSET('(2)出場選手'!$B$2,$A433,X$1))</f>
        <v/>
      </c>
      <c r="Y433" s="17" t="str">
        <f ca="1">IF($D433="","",OFFSET('(2)出場選手'!$B$2,$A433,Y$1))</f>
        <v/>
      </c>
      <c r="Z433" s="17" t="str">
        <f ca="1">IF($D433="","",OFFSET('(2)出場選手'!$B$2,$A433,Z$1))</f>
        <v/>
      </c>
    </row>
    <row r="434" spans="1:26" x14ac:dyDescent="0.15">
      <c r="A434" s="17">
        <f>TRUNC((ROWS($D$3:D434)-2)/Max_Entry_Count)+1</f>
        <v>144</v>
      </c>
      <c r="B434" s="17" t="str">
        <f ca="1">IF($A434&gt;=ROWS(Entries)-2,"",IF(OFFSET('(2)出場選手'!$B$2,$A434,B$1+3*(MOD(ROWS($D$3:D434)-2,Max_Entry_Count)))="","",MOD(ROWS($D$3:D434)-2,Max_Entry_Count)))</f>
        <v/>
      </c>
      <c r="D434" s="26" t="str">
        <f ca="1">IF(OR($A434&gt;=ROWS(Entries)-2,$B434=""),"",'(1)鑑'!$E$6&amp;"-"&amp;OFFSET('(2)出場選手'!$B$2,$A434,D$1))</f>
        <v/>
      </c>
      <c r="E434" s="26" t="str">
        <f ca="1">IF($D434="","",OFFSET('(2)出場選手'!$B$2,$A434,E$1))</f>
        <v/>
      </c>
      <c r="F434" s="26" t="str">
        <f ca="1">IF($D434="","",IF(OFFSET('(2)出場選手'!$B$2,$A434,F$1)="","",OFFSET('(2)出場選手'!$B$2,$A434,F$1)))</f>
        <v/>
      </c>
      <c r="G434" s="26" t="str">
        <f t="shared" ca="1" si="18"/>
        <v/>
      </c>
      <c r="H434" s="26" t="str">
        <f t="shared" ca="1" si="30"/>
        <v/>
      </c>
      <c r="I434" s="26" t="str">
        <f ca="1">IF($D434="","",IF(OFFSET('(2)出場選手'!$B$2,$A434,I$1)="","",OFFSET('(2)出場選手'!$B$2,$A434,I$1)))</f>
        <v/>
      </c>
      <c r="J434" s="26" t="str">
        <f ca="1">IF($D434="","",IF(OFFSET('(2)出場選手'!$B$2,$A434,J$1)="",'(1)鑑'!$E$6,OFFSET('(2)出場選手'!$B$2,$A434,J$1)))</f>
        <v/>
      </c>
      <c r="K434" s="26" t="str">
        <f ca="1">IF($D434="","",TRIM(ASC(IF(OFFSET('(2)出場選手'!$B$2,$A434,K$1)="",'(1)鑑'!$E$7,OFFSET('(2)出場選手'!$B$2,$A434,K$1)))))</f>
        <v/>
      </c>
      <c r="L434" s="26" t="str">
        <f ca="1">IF($D434="","",SUBSTITUTE(SUBSTITUTE(SUBSTITUTE(IF(OFFSET('(2)出場選手'!$B$2,$A434,L$1)="",'(1)鑑'!$E$8,OFFSET('(2)出場選手'!$B$2,$A434,L$1)),"県",""),"府",""),"東京都","東京"))</f>
        <v/>
      </c>
      <c r="M434" s="57" t="str">
        <f ca="1">IF($D434="","",IF(OFFSET('(2)出場選手'!$B$2,$A434,M$1)="","",OFFSET('(2)出場選手'!$B$2,$A434,M$1)))</f>
        <v/>
      </c>
      <c r="N434" s="26" t="str">
        <f ca="1">IF($D434="","",OFFSET('(2)出場選手'!$B$2,$A434,N$1+3*$B434))</f>
        <v/>
      </c>
      <c r="O434" s="26" t="str">
        <f ca="1">IF($D434="","",IF(OFFSET('(2)出場選手'!$B$2,$A434,O$1+3*$B434)="","",OFFSET('(2)出場選手'!$B$2,$A434,O$1+3*$B434)))</f>
        <v/>
      </c>
      <c r="P434" s="26" t="str">
        <f ca="1">IF($D434="","",IF(OFFSET('(2)出場選手'!$B$2,$A434,P$1+3*$B434)="","",OFFSET('(2)出場選手'!$B$2,$A434,P$1+3*$B434)))</f>
        <v/>
      </c>
      <c r="Q434" s="43" t="str">
        <f ca="1">IF(D434="","",VLOOKUP(N434,OFFSET(Competition_Events,0,1),11,FALSE)*IF($S434="リレー",IF(COUNTIF($T$3:$T434,$T434)&gt;1,0,1),1))</f>
        <v/>
      </c>
      <c r="R434" s="26" t="str">
        <f t="shared" ca="1" si="20"/>
        <v/>
      </c>
      <c r="S434" s="26" t="str">
        <f t="shared" ca="1" si="21"/>
        <v/>
      </c>
      <c r="T434" s="26" t="str">
        <f t="shared" ca="1" si="22"/>
        <v/>
      </c>
      <c r="U434" s="26" t="str">
        <f t="shared" ca="1" si="29"/>
        <v/>
      </c>
      <c r="W434" s="17" t="str">
        <f ca="1">IF($D434="","",OFFSET('(2)出場選手'!$B$2,$A434,W$1))</f>
        <v/>
      </c>
      <c r="X434" s="17" t="str">
        <f ca="1">IF($D434="","",OFFSET('(2)出場選手'!$B$2,$A434,X$1))</f>
        <v/>
      </c>
      <c r="Y434" s="17" t="str">
        <f ca="1">IF($D434="","",OFFSET('(2)出場選手'!$B$2,$A434,Y$1))</f>
        <v/>
      </c>
      <c r="Z434" s="17" t="str">
        <f ca="1">IF($D434="","",OFFSET('(2)出場選手'!$B$2,$A434,Z$1))</f>
        <v/>
      </c>
    </row>
    <row r="435" spans="1:26" x14ac:dyDescent="0.15">
      <c r="A435" s="17">
        <f>TRUNC((ROWS($D$3:D435)-2)/Max_Entry_Count)+1</f>
        <v>144</v>
      </c>
      <c r="B435" s="17" t="str">
        <f ca="1">IF($A435&gt;=ROWS(Entries)-2,"",IF(OFFSET('(2)出場選手'!$B$2,$A435,B$1+3*(MOD(ROWS($D$3:D435)-2,Max_Entry_Count)))="","",MOD(ROWS($D$3:D435)-2,Max_Entry_Count)))</f>
        <v/>
      </c>
      <c r="D435" s="26" t="str">
        <f ca="1">IF(OR($A435&gt;=ROWS(Entries)-2,$B435=""),"",'(1)鑑'!$E$6&amp;"-"&amp;OFFSET('(2)出場選手'!$B$2,$A435,D$1))</f>
        <v/>
      </c>
      <c r="E435" s="26" t="str">
        <f ca="1">IF($D435="","",OFFSET('(2)出場選手'!$B$2,$A435,E$1))</f>
        <v/>
      </c>
      <c r="F435" s="26" t="str">
        <f ca="1">IF($D435="","",IF(OFFSET('(2)出場選手'!$B$2,$A435,F$1)="","",OFFSET('(2)出場選手'!$B$2,$A435,F$1)))</f>
        <v/>
      </c>
      <c r="G435" s="26" t="str">
        <f t="shared" ca="1" si="18"/>
        <v/>
      </c>
      <c r="H435" s="26" t="str">
        <f t="shared" ca="1" si="30"/>
        <v/>
      </c>
      <c r="I435" s="26" t="str">
        <f ca="1">IF($D435="","",IF(OFFSET('(2)出場選手'!$B$2,$A435,I$1)="","",OFFSET('(2)出場選手'!$B$2,$A435,I$1)))</f>
        <v/>
      </c>
      <c r="J435" s="26" t="str">
        <f ca="1">IF($D435="","",IF(OFFSET('(2)出場選手'!$B$2,$A435,J$1)="",'(1)鑑'!$E$6,OFFSET('(2)出場選手'!$B$2,$A435,J$1)))</f>
        <v/>
      </c>
      <c r="K435" s="26" t="str">
        <f ca="1">IF($D435="","",TRIM(ASC(IF(OFFSET('(2)出場選手'!$B$2,$A435,K$1)="",'(1)鑑'!$E$7,OFFSET('(2)出場選手'!$B$2,$A435,K$1)))))</f>
        <v/>
      </c>
      <c r="L435" s="26" t="str">
        <f ca="1">IF($D435="","",SUBSTITUTE(SUBSTITUTE(SUBSTITUTE(IF(OFFSET('(2)出場選手'!$B$2,$A435,L$1)="",'(1)鑑'!$E$8,OFFSET('(2)出場選手'!$B$2,$A435,L$1)),"県",""),"府",""),"東京都","東京"))</f>
        <v/>
      </c>
      <c r="M435" s="57" t="str">
        <f ca="1">IF($D435="","",IF(OFFSET('(2)出場選手'!$B$2,$A435,M$1)="","",OFFSET('(2)出場選手'!$B$2,$A435,M$1)))</f>
        <v/>
      </c>
      <c r="N435" s="26" t="str">
        <f ca="1">IF($D435="","",OFFSET('(2)出場選手'!$B$2,$A435,N$1+3*$B435))</f>
        <v/>
      </c>
      <c r="O435" s="26" t="str">
        <f ca="1">IF($D435="","",IF(OFFSET('(2)出場選手'!$B$2,$A435,O$1+3*$B435)="","",OFFSET('(2)出場選手'!$B$2,$A435,O$1+3*$B435)))</f>
        <v/>
      </c>
      <c r="P435" s="26" t="str">
        <f ca="1">IF($D435="","",IF(OFFSET('(2)出場選手'!$B$2,$A435,P$1+3*$B435)="","",OFFSET('(2)出場選手'!$B$2,$A435,P$1+3*$B435)))</f>
        <v/>
      </c>
      <c r="Q435" s="43" t="str">
        <f ca="1">IF(D435="","",VLOOKUP(N435,OFFSET(Competition_Events,0,1),11,FALSE)*IF($S435="リレー",IF(COUNTIF($T$3:$T435,$T435)&gt;1,0,1),1))</f>
        <v/>
      </c>
      <c r="R435" s="26" t="str">
        <f t="shared" ca="1" si="20"/>
        <v/>
      </c>
      <c r="S435" s="26" t="str">
        <f t="shared" ca="1" si="21"/>
        <v/>
      </c>
      <c r="T435" s="26" t="str">
        <f t="shared" ca="1" si="22"/>
        <v/>
      </c>
      <c r="U435" s="26" t="str">
        <f t="shared" ca="1" si="29"/>
        <v/>
      </c>
      <c r="W435" s="17" t="str">
        <f ca="1">IF($D435="","",OFFSET('(2)出場選手'!$B$2,$A435,W$1))</f>
        <v/>
      </c>
      <c r="X435" s="17" t="str">
        <f ca="1">IF($D435="","",OFFSET('(2)出場選手'!$B$2,$A435,X$1))</f>
        <v/>
      </c>
      <c r="Y435" s="17" t="str">
        <f ca="1">IF($D435="","",OFFSET('(2)出場選手'!$B$2,$A435,Y$1))</f>
        <v/>
      </c>
      <c r="Z435" s="17" t="str">
        <f ca="1">IF($D435="","",OFFSET('(2)出場選手'!$B$2,$A435,Z$1))</f>
        <v/>
      </c>
    </row>
    <row r="436" spans="1:26" x14ac:dyDescent="0.15">
      <c r="A436" s="17">
        <f>TRUNC((ROWS($D$3:D436)-2)/Max_Entry_Count)+1</f>
        <v>145</v>
      </c>
      <c r="B436" s="17" t="str">
        <f ca="1">IF($A436&gt;=ROWS(Entries)-2,"",IF(OFFSET('(2)出場選手'!$B$2,$A436,B$1+3*(MOD(ROWS($D$3:D436)-2,Max_Entry_Count)))="","",MOD(ROWS($D$3:D436)-2,Max_Entry_Count)))</f>
        <v/>
      </c>
      <c r="D436" s="26" t="str">
        <f ca="1">IF(OR($A436&gt;=ROWS(Entries)-2,$B436=""),"",'(1)鑑'!$E$6&amp;"-"&amp;OFFSET('(2)出場選手'!$B$2,$A436,D$1))</f>
        <v/>
      </c>
      <c r="E436" s="26" t="str">
        <f ca="1">IF($D436="","",OFFSET('(2)出場選手'!$B$2,$A436,E$1))</f>
        <v/>
      </c>
      <c r="F436" s="26" t="str">
        <f ca="1">IF($D436="","",IF(OFFSET('(2)出場選手'!$B$2,$A436,F$1)="","",OFFSET('(2)出場選手'!$B$2,$A436,F$1)))</f>
        <v/>
      </c>
      <c r="G436" s="26" t="str">
        <f t="shared" ca="1" si="18"/>
        <v/>
      </c>
      <c r="H436" s="26" t="str">
        <f t="shared" ca="1" si="30"/>
        <v/>
      </c>
      <c r="I436" s="26" t="str">
        <f ca="1">IF($D436="","",IF(OFFSET('(2)出場選手'!$B$2,$A436,I$1)="","",OFFSET('(2)出場選手'!$B$2,$A436,I$1)))</f>
        <v/>
      </c>
      <c r="J436" s="26" t="str">
        <f ca="1">IF($D436="","",IF(OFFSET('(2)出場選手'!$B$2,$A436,J$1)="",'(1)鑑'!$E$6,OFFSET('(2)出場選手'!$B$2,$A436,J$1)))</f>
        <v/>
      </c>
      <c r="K436" s="26" t="str">
        <f ca="1">IF($D436="","",TRIM(ASC(IF(OFFSET('(2)出場選手'!$B$2,$A436,K$1)="",'(1)鑑'!$E$7,OFFSET('(2)出場選手'!$B$2,$A436,K$1)))))</f>
        <v/>
      </c>
      <c r="L436" s="26" t="str">
        <f ca="1">IF($D436="","",SUBSTITUTE(SUBSTITUTE(SUBSTITUTE(IF(OFFSET('(2)出場選手'!$B$2,$A436,L$1)="",'(1)鑑'!$E$8,OFFSET('(2)出場選手'!$B$2,$A436,L$1)),"県",""),"府",""),"東京都","東京"))</f>
        <v/>
      </c>
      <c r="M436" s="57" t="str">
        <f ca="1">IF($D436="","",IF(OFFSET('(2)出場選手'!$B$2,$A436,M$1)="","",OFFSET('(2)出場選手'!$B$2,$A436,M$1)))</f>
        <v/>
      </c>
      <c r="N436" s="26" t="str">
        <f ca="1">IF($D436="","",OFFSET('(2)出場選手'!$B$2,$A436,N$1+3*$B436))</f>
        <v/>
      </c>
      <c r="O436" s="26" t="str">
        <f ca="1">IF($D436="","",IF(OFFSET('(2)出場選手'!$B$2,$A436,O$1+3*$B436)="","",OFFSET('(2)出場選手'!$B$2,$A436,O$1+3*$B436)))</f>
        <v/>
      </c>
      <c r="P436" s="26" t="str">
        <f ca="1">IF($D436="","",IF(OFFSET('(2)出場選手'!$B$2,$A436,P$1+3*$B436)="","",OFFSET('(2)出場選手'!$B$2,$A436,P$1+3*$B436)))</f>
        <v/>
      </c>
      <c r="Q436" s="43" t="str">
        <f ca="1">IF(D436="","",VLOOKUP(N436,OFFSET(Competition_Events,0,1),11,FALSE)*IF($S436="リレー",IF(COUNTIF($T$3:$T436,$T436)&gt;1,0,1),1))</f>
        <v/>
      </c>
      <c r="R436" s="26" t="str">
        <f t="shared" ca="1" si="20"/>
        <v/>
      </c>
      <c r="S436" s="26" t="str">
        <f t="shared" ca="1" si="21"/>
        <v/>
      </c>
      <c r="T436" s="26" t="str">
        <f t="shared" ca="1" si="22"/>
        <v/>
      </c>
      <c r="U436" s="26" t="str">
        <f t="shared" ca="1" si="29"/>
        <v/>
      </c>
      <c r="W436" s="17" t="str">
        <f ca="1">IF($D436="","",OFFSET('(2)出場選手'!$B$2,$A436,W$1))</f>
        <v/>
      </c>
      <c r="X436" s="17" t="str">
        <f ca="1">IF($D436="","",OFFSET('(2)出場選手'!$B$2,$A436,X$1))</f>
        <v/>
      </c>
      <c r="Y436" s="17" t="str">
        <f ca="1">IF($D436="","",OFFSET('(2)出場選手'!$B$2,$A436,Y$1))</f>
        <v/>
      </c>
      <c r="Z436" s="17" t="str">
        <f ca="1">IF($D436="","",OFFSET('(2)出場選手'!$B$2,$A436,Z$1))</f>
        <v/>
      </c>
    </row>
    <row r="437" spans="1:26" x14ac:dyDescent="0.15">
      <c r="A437" s="17">
        <f>TRUNC((ROWS($D$3:D437)-2)/Max_Entry_Count)+1</f>
        <v>145</v>
      </c>
      <c r="B437" s="17" t="str">
        <f ca="1">IF($A437&gt;=ROWS(Entries)-2,"",IF(OFFSET('(2)出場選手'!$B$2,$A437,B$1+3*(MOD(ROWS($D$3:D437)-2,Max_Entry_Count)))="","",MOD(ROWS($D$3:D437)-2,Max_Entry_Count)))</f>
        <v/>
      </c>
      <c r="D437" s="26" t="str">
        <f ca="1">IF(OR($A437&gt;=ROWS(Entries)-2,$B437=""),"",'(1)鑑'!$E$6&amp;"-"&amp;OFFSET('(2)出場選手'!$B$2,$A437,D$1))</f>
        <v/>
      </c>
      <c r="E437" s="26" t="str">
        <f ca="1">IF($D437="","",OFFSET('(2)出場選手'!$B$2,$A437,E$1))</f>
        <v/>
      </c>
      <c r="F437" s="26" t="str">
        <f ca="1">IF($D437="","",IF(OFFSET('(2)出場選手'!$B$2,$A437,F$1)="","",OFFSET('(2)出場選手'!$B$2,$A437,F$1)))</f>
        <v/>
      </c>
      <c r="G437" s="26" t="str">
        <f t="shared" ca="1" si="18"/>
        <v/>
      </c>
      <c r="H437" s="26" t="str">
        <f t="shared" ca="1" si="30"/>
        <v/>
      </c>
      <c r="I437" s="26" t="str">
        <f ca="1">IF($D437="","",IF(OFFSET('(2)出場選手'!$B$2,$A437,I$1)="","",OFFSET('(2)出場選手'!$B$2,$A437,I$1)))</f>
        <v/>
      </c>
      <c r="J437" s="26" t="str">
        <f ca="1">IF($D437="","",IF(OFFSET('(2)出場選手'!$B$2,$A437,J$1)="",'(1)鑑'!$E$6,OFFSET('(2)出場選手'!$B$2,$A437,J$1)))</f>
        <v/>
      </c>
      <c r="K437" s="26" t="str">
        <f ca="1">IF($D437="","",TRIM(ASC(IF(OFFSET('(2)出場選手'!$B$2,$A437,K$1)="",'(1)鑑'!$E$7,OFFSET('(2)出場選手'!$B$2,$A437,K$1)))))</f>
        <v/>
      </c>
      <c r="L437" s="26" t="str">
        <f ca="1">IF($D437="","",SUBSTITUTE(SUBSTITUTE(SUBSTITUTE(IF(OFFSET('(2)出場選手'!$B$2,$A437,L$1)="",'(1)鑑'!$E$8,OFFSET('(2)出場選手'!$B$2,$A437,L$1)),"県",""),"府",""),"東京都","東京"))</f>
        <v/>
      </c>
      <c r="M437" s="57" t="str">
        <f ca="1">IF($D437="","",IF(OFFSET('(2)出場選手'!$B$2,$A437,M$1)="","",OFFSET('(2)出場選手'!$B$2,$A437,M$1)))</f>
        <v/>
      </c>
      <c r="N437" s="26" t="str">
        <f ca="1">IF($D437="","",OFFSET('(2)出場選手'!$B$2,$A437,N$1+3*$B437))</f>
        <v/>
      </c>
      <c r="O437" s="26" t="str">
        <f ca="1">IF($D437="","",IF(OFFSET('(2)出場選手'!$B$2,$A437,O$1+3*$B437)="","",OFFSET('(2)出場選手'!$B$2,$A437,O$1+3*$B437)))</f>
        <v/>
      </c>
      <c r="P437" s="26" t="str">
        <f ca="1">IF($D437="","",IF(OFFSET('(2)出場選手'!$B$2,$A437,P$1+3*$B437)="","",OFFSET('(2)出場選手'!$B$2,$A437,P$1+3*$B437)))</f>
        <v/>
      </c>
      <c r="Q437" s="43" t="str">
        <f ca="1">IF(D437="","",VLOOKUP(N437,OFFSET(Competition_Events,0,1),11,FALSE)*IF($S437="リレー",IF(COUNTIF($T$3:$T437,$T437)&gt;1,0,1),1))</f>
        <v/>
      </c>
      <c r="R437" s="26" t="str">
        <f t="shared" ca="1" si="20"/>
        <v/>
      </c>
      <c r="S437" s="26" t="str">
        <f t="shared" ca="1" si="21"/>
        <v/>
      </c>
      <c r="T437" s="26" t="str">
        <f t="shared" ca="1" si="22"/>
        <v/>
      </c>
      <c r="U437" s="26" t="str">
        <f t="shared" ca="1" si="29"/>
        <v/>
      </c>
      <c r="W437" s="17" t="str">
        <f ca="1">IF($D437="","",OFFSET('(2)出場選手'!$B$2,$A437,W$1))</f>
        <v/>
      </c>
      <c r="X437" s="17" t="str">
        <f ca="1">IF($D437="","",OFFSET('(2)出場選手'!$B$2,$A437,X$1))</f>
        <v/>
      </c>
      <c r="Y437" s="17" t="str">
        <f ca="1">IF($D437="","",OFFSET('(2)出場選手'!$B$2,$A437,Y$1))</f>
        <v/>
      </c>
      <c r="Z437" s="17" t="str">
        <f ca="1">IF($D437="","",OFFSET('(2)出場選手'!$B$2,$A437,Z$1))</f>
        <v/>
      </c>
    </row>
    <row r="438" spans="1:26" x14ac:dyDescent="0.15">
      <c r="A438" s="17">
        <f>TRUNC((ROWS($D$3:D438)-2)/Max_Entry_Count)+1</f>
        <v>145</v>
      </c>
      <c r="B438" s="17" t="str">
        <f ca="1">IF($A438&gt;=ROWS(Entries)-2,"",IF(OFFSET('(2)出場選手'!$B$2,$A438,B$1+3*(MOD(ROWS($D$3:D438)-2,Max_Entry_Count)))="","",MOD(ROWS($D$3:D438)-2,Max_Entry_Count)))</f>
        <v/>
      </c>
      <c r="D438" s="26" t="str">
        <f ca="1">IF(OR($A438&gt;=ROWS(Entries)-2,$B438=""),"",'(1)鑑'!$E$6&amp;"-"&amp;OFFSET('(2)出場選手'!$B$2,$A438,D$1))</f>
        <v/>
      </c>
      <c r="E438" s="26" t="str">
        <f ca="1">IF($D438="","",OFFSET('(2)出場選手'!$B$2,$A438,E$1))</f>
        <v/>
      </c>
      <c r="F438" s="26" t="str">
        <f ca="1">IF($D438="","",IF(OFFSET('(2)出場選手'!$B$2,$A438,F$1)="","",OFFSET('(2)出場選手'!$B$2,$A438,F$1)))</f>
        <v/>
      </c>
      <c r="G438" s="26" t="str">
        <f t="shared" ca="1" si="18"/>
        <v/>
      </c>
      <c r="H438" s="26" t="str">
        <f t="shared" ca="1" si="30"/>
        <v/>
      </c>
      <c r="I438" s="26" t="str">
        <f ca="1">IF($D438="","",IF(OFFSET('(2)出場選手'!$B$2,$A438,I$1)="","",OFFSET('(2)出場選手'!$B$2,$A438,I$1)))</f>
        <v/>
      </c>
      <c r="J438" s="26" t="str">
        <f ca="1">IF($D438="","",IF(OFFSET('(2)出場選手'!$B$2,$A438,J$1)="",'(1)鑑'!$E$6,OFFSET('(2)出場選手'!$B$2,$A438,J$1)))</f>
        <v/>
      </c>
      <c r="K438" s="26" t="str">
        <f ca="1">IF($D438="","",TRIM(ASC(IF(OFFSET('(2)出場選手'!$B$2,$A438,K$1)="",'(1)鑑'!$E$7,OFFSET('(2)出場選手'!$B$2,$A438,K$1)))))</f>
        <v/>
      </c>
      <c r="L438" s="26" t="str">
        <f ca="1">IF($D438="","",SUBSTITUTE(SUBSTITUTE(SUBSTITUTE(IF(OFFSET('(2)出場選手'!$B$2,$A438,L$1)="",'(1)鑑'!$E$8,OFFSET('(2)出場選手'!$B$2,$A438,L$1)),"県",""),"府",""),"東京都","東京"))</f>
        <v/>
      </c>
      <c r="M438" s="57" t="str">
        <f ca="1">IF($D438="","",IF(OFFSET('(2)出場選手'!$B$2,$A438,M$1)="","",OFFSET('(2)出場選手'!$B$2,$A438,M$1)))</f>
        <v/>
      </c>
      <c r="N438" s="26" t="str">
        <f ca="1">IF($D438="","",OFFSET('(2)出場選手'!$B$2,$A438,N$1+3*$B438))</f>
        <v/>
      </c>
      <c r="O438" s="26" t="str">
        <f ca="1">IF($D438="","",IF(OFFSET('(2)出場選手'!$B$2,$A438,O$1+3*$B438)="","",OFFSET('(2)出場選手'!$B$2,$A438,O$1+3*$B438)))</f>
        <v/>
      </c>
      <c r="P438" s="26" t="str">
        <f ca="1">IF($D438="","",IF(OFFSET('(2)出場選手'!$B$2,$A438,P$1+3*$B438)="","",OFFSET('(2)出場選手'!$B$2,$A438,P$1+3*$B438)))</f>
        <v/>
      </c>
      <c r="Q438" s="43" t="str">
        <f ca="1">IF(D438="","",VLOOKUP(N438,OFFSET(Competition_Events,0,1),11,FALSE)*IF($S438="リレー",IF(COUNTIF($T$3:$T438,$T438)&gt;1,0,1),1))</f>
        <v/>
      </c>
      <c r="R438" s="26" t="str">
        <f t="shared" ca="1" si="20"/>
        <v/>
      </c>
      <c r="S438" s="26" t="str">
        <f t="shared" ca="1" si="21"/>
        <v/>
      </c>
      <c r="T438" s="26" t="str">
        <f t="shared" ca="1" si="22"/>
        <v/>
      </c>
      <c r="U438" s="26" t="str">
        <f t="shared" ca="1" si="29"/>
        <v/>
      </c>
      <c r="W438" s="17" t="str">
        <f ca="1">IF($D438="","",OFFSET('(2)出場選手'!$B$2,$A438,W$1))</f>
        <v/>
      </c>
      <c r="X438" s="17" t="str">
        <f ca="1">IF($D438="","",OFFSET('(2)出場選手'!$B$2,$A438,X$1))</f>
        <v/>
      </c>
      <c r="Y438" s="17" t="str">
        <f ca="1">IF($D438="","",OFFSET('(2)出場選手'!$B$2,$A438,Y$1))</f>
        <v/>
      </c>
      <c r="Z438" s="17" t="str">
        <f ca="1">IF($D438="","",OFFSET('(2)出場選手'!$B$2,$A438,Z$1))</f>
        <v/>
      </c>
    </row>
    <row r="439" spans="1:26" x14ac:dyDescent="0.15">
      <c r="A439" s="17">
        <f>TRUNC((ROWS($D$3:D439)-2)/Max_Entry_Count)+1</f>
        <v>146</v>
      </c>
      <c r="B439" s="17" t="str">
        <f ca="1">IF($A439&gt;=ROWS(Entries)-2,"",IF(OFFSET('(2)出場選手'!$B$2,$A439,B$1+3*(MOD(ROWS($D$3:D439)-2,Max_Entry_Count)))="","",MOD(ROWS($D$3:D439)-2,Max_Entry_Count)))</f>
        <v/>
      </c>
      <c r="D439" s="26" t="str">
        <f ca="1">IF(OR($A439&gt;=ROWS(Entries)-2,$B439=""),"",'(1)鑑'!$E$6&amp;"-"&amp;OFFSET('(2)出場選手'!$B$2,$A439,D$1))</f>
        <v/>
      </c>
      <c r="E439" s="26" t="str">
        <f ca="1">IF($D439="","",OFFSET('(2)出場選手'!$B$2,$A439,E$1))</f>
        <v/>
      </c>
      <c r="F439" s="26" t="str">
        <f ca="1">IF($D439="","",IF(OFFSET('(2)出場選手'!$B$2,$A439,F$1)="","",OFFSET('(2)出場選手'!$B$2,$A439,F$1)))</f>
        <v/>
      </c>
      <c r="G439" s="26" t="str">
        <f t="shared" ca="1" si="18"/>
        <v/>
      </c>
      <c r="H439" s="26" t="str">
        <f t="shared" ca="1" si="30"/>
        <v/>
      </c>
      <c r="I439" s="26" t="str">
        <f ca="1">IF($D439="","",IF(OFFSET('(2)出場選手'!$B$2,$A439,I$1)="","",OFFSET('(2)出場選手'!$B$2,$A439,I$1)))</f>
        <v/>
      </c>
      <c r="J439" s="26" t="str">
        <f ca="1">IF($D439="","",IF(OFFSET('(2)出場選手'!$B$2,$A439,J$1)="",'(1)鑑'!$E$6,OFFSET('(2)出場選手'!$B$2,$A439,J$1)))</f>
        <v/>
      </c>
      <c r="K439" s="26" t="str">
        <f ca="1">IF($D439="","",TRIM(ASC(IF(OFFSET('(2)出場選手'!$B$2,$A439,K$1)="",'(1)鑑'!$E$7,OFFSET('(2)出場選手'!$B$2,$A439,K$1)))))</f>
        <v/>
      </c>
      <c r="L439" s="26" t="str">
        <f ca="1">IF($D439="","",SUBSTITUTE(SUBSTITUTE(SUBSTITUTE(IF(OFFSET('(2)出場選手'!$B$2,$A439,L$1)="",'(1)鑑'!$E$8,OFFSET('(2)出場選手'!$B$2,$A439,L$1)),"県",""),"府",""),"東京都","東京"))</f>
        <v/>
      </c>
      <c r="M439" s="57" t="str">
        <f ca="1">IF($D439="","",IF(OFFSET('(2)出場選手'!$B$2,$A439,M$1)="","",OFFSET('(2)出場選手'!$B$2,$A439,M$1)))</f>
        <v/>
      </c>
      <c r="N439" s="26" t="str">
        <f ca="1">IF($D439="","",OFFSET('(2)出場選手'!$B$2,$A439,N$1+3*$B439))</f>
        <v/>
      </c>
      <c r="O439" s="26" t="str">
        <f ca="1">IF($D439="","",IF(OFFSET('(2)出場選手'!$B$2,$A439,O$1+3*$B439)="","",OFFSET('(2)出場選手'!$B$2,$A439,O$1+3*$B439)))</f>
        <v/>
      </c>
      <c r="P439" s="26" t="str">
        <f ca="1">IF($D439="","",IF(OFFSET('(2)出場選手'!$B$2,$A439,P$1+3*$B439)="","",OFFSET('(2)出場選手'!$B$2,$A439,P$1+3*$B439)))</f>
        <v/>
      </c>
      <c r="Q439" s="43" t="str">
        <f ca="1">IF(D439="","",VLOOKUP(N439,OFFSET(Competition_Events,0,1),11,FALSE)*IF($S439="リレー",IF(COUNTIF($T$3:$T439,$T439)&gt;1,0,1),1))</f>
        <v/>
      </c>
      <c r="R439" s="26" t="str">
        <f t="shared" ca="1" si="20"/>
        <v/>
      </c>
      <c r="S439" s="26" t="str">
        <f t="shared" ca="1" si="21"/>
        <v/>
      </c>
      <c r="T439" s="26" t="str">
        <f t="shared" ca="1" si="22"/>
        <v/>
      </c>
      <c r="U439" s="26" t="str">
        <f t="shared" ca="1" si="29"/>
        <v/>
      </c>
      <c r="W439" s="17" t="str">
        <f ca="1">IF($D439="","",OFFSET('(2)出場選手'!$B$2,$A439,W$1))</f>
        <v/>
      </c>
      <c r="X439" s="17" t="str">
        <f ca="1">IF($D439="","",OFFSET('(2)出場選手'!$B$2,$A439,X$1))</f>
        <v/>
      </c>
      <c r="Y439" s="17" t="str">
        <f ca="1">IF($D439="","",OFFSET('(2)出場選手'!$B$2,$A439,Y$1))</f>
        <v/>
      </c>
      <c r="Z439" s="17" t="str">
        <f ca="1">IF($D439="","",OFFSET('(2)出場選手'!$B$2,$A439,Z$1))</f>
        <v/>
      </c>
    </row>
    <row r="440" spans="1:26" x14ac:dyDescent="0.15">
      <c r="A440" s="17">
        <f>TRUNC((ROWS($D$3:D440)-2)/Max_Entry_Count)+1</f>
        <v>146</v>
      </c>
      <c r="B440" s="17" t="str">
        <f ca="1">IF($A440&gt;=ROWS(Entries)-2,"",IF(OFFSET('(2)出場選手'!$B$2,$A440,B$1+3*(MOD(ROWS($D$3:D440)-2,Max_Entry_Count)))="","",MOD(ROWS($D$3:D440)-2,Max_Entry_Count)))</f>
        <v/>
      </c>
      <c r="D440" s="26" t="str">
        <f ca="1">IF(OR($A440&gt;=ROWS(Entries)-2,$B440=""),"",'(1)鑑'!$E$6&amp;"-"&amp;OFFSET('(2)出場選手'!$B$2,$A440,D$1))</f>
        <v/>
      </c>
      <c r="E440" s="26" t="str">
        <f ca="1">IF($D440="","",OFFSET('(2)出場選手'!$B$2,$A440,E$1))</f>
        <v/>
      </c>
      <c r="F440" s="26" t="str">
        <f ca="1">IF($D440="","",IF(OFFSET('(2)出場選手'!$B$2,$A440,F$1)="","",OFFSET('(2)出場選手'!$B$2,$A440,F$1)))</f>
        <v/>
      </c>
      <c r="G440" s="26" t="str">
        <f t="shared" ca="1" si="18"/>
        <v/>
      </c>
      <c r="H440" s="26" t="str">
        <f t="shared" ca="1" si="30"/>
        <v/>
      </c>
      <c r="I440" s="26" t="str">
        <f ca="1">IF($D440="","",IF(OFFSET('(2)出場選手'!$B$2,$A440,I$1)="","",OFFSET('(2)出場選手'!$B$2,$A440,I$1)))</f>
        <v/>
      </c>
      <c r="J440" s="26" t="str">
        <f ca="1">IF($D440="","",IF(OFFSET('(2)出場選手'!$B$2,$A440,J$1)="",'(1)鑑'!$E$6,OFFSET('(2)出場選手'!$B$2,$A440,J$1)))</f>
        <v/>
      </c>
      <c r="K440" s="26" t="str">
        <f ca="1">IF($D440="","",TRIM(ASC(IF(OFFSET('(2)出場選手'!$B$2,$A440,K$1)="",'(1)鑑'!$E$7,OFFSET('(2)出場選手'!$B$2,$A440,K$1)))))</f>
        <v/>
      </c>
      <c r="L440" s="26" t="str">
        <f ca="1">IF($D440="","",SUBSTITUTE(SUBSTITUTE(SUBSTITUTE(IF(OFFSET('(2)出場選手'!$B$2,$A440,L$1)="",'(1)鑑'!$E$8,OFFSET('(2)出場選手'!$B$2,$A440,L$1)),"県",""),"府",""),"東京都","東京"))</f>
        <v/>
      </c>
      <c r="M440" s="57" t="str">
        <f ca="1">IF($D440="","",IF(OFFSET('(2)出場選手'!$B$2,$A440,M$1)="","",OFFSET('(2)出場選手'!$B$2,$A440,M$1)))</f>
        <v/>
      </c>
      <c r="N440" s="26" t="str">
        <f ca="1">IF($D440="","",OFFSET('(2)出場選手'!$B$2,$A440,N$1+3*$B440))</f>
        <v/>
      </c>
      <c r="O440" s="26" t="str">
        <f ca="1">IF($D440="","",IF(OFFSET('(2)出場選手'!$B$2,$A440,O$1+3*$B440)="","",OFFSET('(2)出場選手'!$B$2,$A440,O$1+3*$B440)))</f>
        <v/>
      </c>
      <c r="P440" s="26" t="str">
        <f ca="1">IF($D440="","",IF(OFFSET('(2)出場選手'!$B$2,$A440,P$1+3*$B440)="","",OFFSET('(2)出場選手'!$B$2,$A440,P$1+3*$B440)))</f>
        <v/>
      </c>
      <c r="Q440" s="43" t="str">
        <f ca="1">IF(D440="","",VLOOKUP(N440,OFFSET(Competition_Events,0,1),11,FALSE)*IF($S440="リレー",IF(COUNTIF($T$3:$T440,$T440)&gt;1,0,1),1))</f>
        <v/>
      </c>
      <c r="R440" s="26" t="str">
        <f t="shared" ca="1" si="20"/>
        <v/>
      </c>
      <c r="S440" s="26" t="str">
        <f t="shared" ca="1" si="21"/>
        <v/>
      </c>
      <c r="T440" s="26" t="str">
        <f t="shared" ca="1" si="22"/>
        <v/>
      </c>
      <c r="U440" s="26" t="str">
        <f t="shared" ca="1" si="29"/>
        <v/>
      </c>
      <c r="W440" s="17" t="str">
        <f ca="1">IF($D440="","",OFFSET('(2)出場選手'!$B$2,$A440,W$1))</f>
        <v/>
      </c>
      <c r="X440" s="17" t="str">
        <f ca="1">IF($D440="","",OFFSET('(2)出場選手'!$B$2,$A440,X$1))</f>
        <v/>
      </c>
      <c r="Y440" s="17" t="str">
        <f ca="1">IF($D440="","",OFFSET('(2)出場選手'!$B$2,$A440,Y$1))</f>
        <v/>
      </c>
      <c r="Z440" s="17" t="str">
        <f ca="1">IF($D440="","",OFFSET('(2)出場選手'!$B$2,$A440,Z$1))</f>
        <v/>
      </c>
    </row>
    <row r="441" spans="1:26" x14ac:dyDescent="0.15">
      <c r="A441" s="17">
        <f>TRUNC((ROWS($D$3:D441)-2)/Max_Entry_Count)+1</f>
        <v>146</v>
      </c>
      <c r="B441" s="17" t="str">
        <f ca="1">IF($A441&gt;=ROWS(Entries)-2,"",IF(OFFSET('(2)出場選手'!$B$2,$A441,B$1+3*(MOD(ROWS($D$3:D441)-2,Max_Entry_Count)))="","",MOD(ROWS($D$3:D441)-2,Max_Entry_Count)))</f>
        <v/>
      </c>
      <c r="D441" s="26" t="str">
        <f ca="1">IF(OR($A441&gt;=ROWS(Entries)-2,$B441=""),"",'(1)鑑'!$E$6&amp;"-"&amp;OFFSET('(2)出場選手'!$B$2,$A441,D$1))</f>
        <v/>
      </c>
      <c r="E441" s="26" t="str">
        <f ca="1">IF($D441="","",OFFSET('(2)出場選手'!$B$2,$A441,E$1))</f>
        <v/>
      </c>
      <c r="F441" s="26" t="str">
        <f ca="1">IF($D441="","",IF(OFFSET('(2)出場選手'!$B$2,$A441,F$1)="","",OFFSET('(2)出場選手'!$B$2,$A441,F$1)))</f>
        <v/>
      </c>
      <c r="G441" s="26" t="str">
        <f t="shared" ca="1" si="18"/>
        <v/>
      </c>
      <c r="H441" s="26" t="str">
        <f t="shared" ca="1" si="30"/>
        <v/>
      </c>
      <c r="I441" s="26" t="str">
        <f ca="1">IF($D441="","",IF(OFFSET('(2)出場選手'!$B$2,$A441,I$1)="","",OFFSET('(2)出場選手'!$B$2,$A441,I$1)))</f>
        <v/>
      </c>
      <c r="J441" s="26" t="str">
        <f ca="1">IF($D441="","",IF(OFFSET('(2)出場選手'!$B$2,$A441,J$1)="",'(1)鑑'!$E$6,OFFSET('(2)出場選手'!$B$2,$A441,J$1)))</f>
        <v/>
      </c>
      <c r="K441" s="26" t="str">
        <f ca="1">IF($D441="","",TRIM(ASC(IF(OFFSET('(2)出場選手'!$B$2,$A441,K$1)="",'(1)鑑'!$E$7,OFFSET('(2)出場選手'!$B$2,$A441,K$1)))))</f>
        <v/>
      </c>
      <c r="L441" s="26" t="str">
        <f ca="1">IF($D441="","",SUBSTITUTE(SUBSTITUTE(SUBSTITUTE(IF(OFFSET('(2)出場選手'!$B$2,$A441,L$1)="",'(1)鑑'!$E$8,OFFSET('(2)出場選手'!$B$2,$A441,L$1)),"県",""),"府",""),"東京都","東京"))</f>
        <v/>
      </c>
      <c r="M441" s="57" t="str">
        <f ca="1">IF($D441="","",IF(OFFSET('(2)出場選手'!$B$2,$A441,M$1)="","",OFFSET('(2)出場選手'!$B$2,$A441,M$1)))</f>
        <v/>
      </c>
      <c r="N441" s="26" t="str">
        <f ca="1">IF($D441="","",OFFSET('(2)出場選手'!$B$2,$A441,N$1+3*$B441))</f>
        <v/>
      </c>
      <c r="O441" s="26" t="str">
        <f ca="1">IF($D441="","",IF(OFFSET('(2)出場選手'!$B$2,$A441,O$1+3*$B441)="","",OFFSET('(2)出場選手'!$B$2,$A441,O$1+3*$B441)))</f>
        <v/>
      </c>
      <c r="P441" s="26" t="str">
        <f ca="1">IF($D441="","",IF(OFFSET('(2)出場選手'!$B$2,$A441,P$1+3*$B441)="","",OFFSET('(2)出場選手'!$B$2,$A441,P$1+3*$B441)))</f>
        <v/>
      </c>
      <c r="Q441" s="43" t="str">
        <f ca="1">IF(D441="","",VLOOKUP(N441,OFFSET(Competition_Events,0,1),11,FALSE)*IF($S441="リレー",IF(COUNTIF($T$3:$T441,$T441)&gt;1,0,1),1))</f>
        <v/>
      </c>
      <c r="R441" s="26" t="str">
        <f t="shared" ca="1" si="20"/>
        <v/>
      </c>
      <c r="S441" s="26" t="str">
        <f t="shared" ca="1" si="21"/>
        <v/>
      </c>
      <c r="T441" s="26" t="str">
        <f t="shared" ca="1" si="22"/>
        <v/>
      </c>
      <c r="U441" s="26" t="str">
        <f t="shared" ca="1" si="29"/>
        <v/>
      </c>
      <c r="W441" s="17" t="str">
        <f ca="1">IF($D441="","",OFFSET('(2)出場選手'!$B$2,$A441,W$1))</f>
        <v/>
      </c>
      <c r="X441" s="17" t="str">
        <f ca="1">IF($D441="","",OFFSET('(2)出場選手'!$B$2,$A441,X$1))</f>
        <v/>
      </c>
      <c r="Y441" s="17" t="str">
        <f ca="1">IF($D441="","",OFFSET('(2)出場選手'!$B$2,$A441,Y$1))</f>
        <v/>
      </c>
      <c r="Z441" s="17" t="str">
        <f ca="1">IF($D441="","",OFFSET('(2)出場選手'!$B$2,$A441,Z$1))</f>
        <v/>
      </c>
    </row>
    <row r="442" spans="1:26" x14ac:dyDescent="0.15">
      <c r="A442" s="17">
        <f>TRUNC((ROWS($D$3:D442)-2)/Max_Entry_Count)+1</f>
        <v>147</v>
      </c>
      <c r="B442" s="17" t="str">
        <f ca="1">IF($A442&gt;=ROWS(Entries)-2,"",IF(OFFSET('(2)出場選手'!$B$2,$A442,B$1+3*(MOD(ROWS($D$3:D442)-2,Max_Entry_Count)))="","",MOD(ROWS($D$3:D442)-2,Max_Entry_Count)))</f>
        <v/>
      </c>
      <c r="D442" s="26" t="str">
        <f ca="1">IF(OR($A442&gt;=ROWS(Entries)-2,$B442=""),"",'(1)鑑'!$E$6&amp;"-"&amp;OFFSET('(2)出場選手'!$B$2,$A442,D$1))</f>
        <v/>
      </c>
      <c r="E442" s="26" t="str">
        <f ca="1">IF($D442="","",OFFSET('(2)出場選手'!$B$2,$A442,E$1))</f>
        <v/>
      </c>
      <c r="F442" s="26" t="str">
        <f ca="1">IF($D442="","",IF(OFFSET('(2)出場選手'!$B$2,$A442,F$1)="","",OFFSET('(2)出場選手'!$B$2,$A442,F$1)))</f>
        <v/>
      </c>
      <c r="G442" s="26" t="str">
        <f t="shared" ca="1" si="18"/>
        <v/>
      </c>
      <c r="H442" s="26" t="str">
        <f t="shared" ca="1" si="30"/>
        <v/>
      </c>
      <c r="I442" s="26" t="str">
        <f ca="1">IF($D442="","",IF(OFFSET('(2)出場選手'!$B$2,$A442,I$1)="","",OFFSET('(2)出場選手'!$B$2,$A442,I$1)))</f>
        <v/>
      </c>
      <c r="J442" s="26" t="str">
        <f ca="1">IF($D442="","",IF(OFFSET('(2)出場選手'!$B$2,$A442,J$1)="",'(1)鑑'!$E$6,OFFSET('(2)出場選手'!$B$2,$A442,J$1)))</f>
        <v/>
      </c>
      <c r="K442" s="26" t="str">
        <f ca="1">IF($D442="","",TRIM(ASC(IF(OFFSET('(2)出場選手'!$B$2,$A442,K$1)="",'(1)鑑'!$E$7,OFFSET('(2)出場選手'!$B$2,$A442,K$1)))))</f>
        <v/>
      </c>
      <c r="L442" s="26" t="str">
        <f ca="1">IF($D442="","",SUBSTITUTE(SUBSTITUTE(SUBSTITUTE(IF(OFFSET('(2)出場選手'!$B$2,$A442,L$1)="",'(1)鑑'!$E$8,OFFSET('(2)出場選手'!$B$2,$A442,L$1)),"県",""),"府",""),"東京都","東京"))</f>
        <v/>
      </c>
      <c r="M442" s="57" t="str">
        <f ca="1">IF($D442="","",IF(OFFSET('(2)出場選手'!$B$2,$A442,M$1)="","",OFFSET('(2)出場選手'!$B$2,$A442,M$1)))</f>
        <v/>
      </c>
      <c r="N442" s="26" t="str">
        <f ca="1">IF($D442="","",OFFSET('(2)出場選手'!$B$2,$A442,N$1+3*$B442))</f>
        <v/>
      </c>
      <c r="O442" s="26" t="str">
        <f ca="1">IF($D442="","",IF(OFFSET('(2)出場選手'!$B$2,$A442,O$1+3*$B442)="","",OFFSET('(2)出場選手'!$B$2,$A442,O$1+3*$B442)))</f>
        <v/>
      </c>
      <c r="P442" s="26" t="str">
        <f ca="1">IF($D442="","",IF(OFFSET('(2)出場選手'!$B$2,$A442,P$1+3*$B442)="","",OFFSET('(2)出場選手'!$B$2,$A442,P$1+3*$B442)))</f>
        <v/>
      </c>
      <c r="Q442" s="43" t="str">
        <f ca="1">IF(D442="","",VLOOKUP(N442,OFFSET(Competition_Events,0,1),11,FALSE)*IF($S442="リレー",IF(COUNTIF($T$3:$T442,$T442)&gt;1,0,1),1))</f>
        <v/>
      </c>
      <c r="R442" s="26" t="str">
        <f t="shared" ca="1" si="20"/>
        <v/>
      </c>
      <c r="S442" s="26" t="str">
        <f t="shared" ca="1" si="21"/>
        <v/>
      </c>
      <c r="T442" s="26" t="str">
        <f t="shared" ca="1" si="22"/>
        <v/>
      </c>
      <c r="U442" s="26" t="str">
        <f t="shared" ca="1" si="29"/>
        <v/>
      </c>
      <c r="W442" s="17" t="str">
        <f ca="1">IF($D442="","",OFFSET('(2)出場選手'!$B$2,$A442,W$1))</f>
        <v/>
      </c>
      <c r="X442" s="17" t="str">
        <f ca="1">IF($D442="","",OFFSET('(2)出場選手'!$B$2,$A442,X$1))</f>
        <v/>
      </c>
      <c r="Y442" s="17" t="str">
        <f ca="1">IF($D442="","",OFFSET('(2)出場選手'!$B$2,$A442,Y$1))</f>
        <v/>
      </c>
      <c r="Z442" s="17" t="str">
        <f ca="1">IF($D442="","",OFFSET('(2)出場選手'!$B$2,$A442,Z$1))</f>
        <v/>
      </c>
    </row>
    <row r="443" spans="1:26" x14ac:dyDescent="0.15">
      <c r="A443" s="17">
        <f>TRUNC((ROWS($D$3:D443)-2)/Max_Entry_Count)+1</f>
        <v>147</v>
      </c>
      <c r="B443" s="17" t="str">
        <f ca="1">IF($A443&gt;=ROWS(Entries)-2,"",IF(OFFSET('(2)出場選手'!$B$2,$A443,B$1+3*(MOD(ROWS($D$3:D443)-2,Max_Entry_Count)))="","",MOD(ROWS($D$3:D443)-2,Max_Entry_Count)))</f>
        <v/>
      </c>
      <c r="D443" s="26" t="str">
        <f ca="1">IF(OR($A443&gt;=ROWS(Entries)-2,$B443=""),"",'(1)鑑'!$E$6&amp;"-"&amp;OFFSET('(2)出場選手'!$B$2,$A443,D$1))</f>
        <v/>
      </c>
      <c r="E443" s="26" t="str">
        <f ca="1">IF($D443="","",OFFSET('(2)出場選手'!$B$2,$A443,E$1))</f>
        <v/>
      </c>
      <c r="F443" s="26" t="str">
        <f ca="1">IF($D443="","",IF(OFFSET('(2)出場選手'!$B$2,$A443,F$1)="","",OFFSET('(2)出場選手'!$B$2,$A443,F$1)))</f>
        <v/>
      </c>
      <c r="G443" s="26" t="str">
        <f t="shared" ca="1" si="18"/>
        <v/>
      </c>
      <c r="H443" s="26" t="str">
        <f t="shared" ca="1" si="30"/>
        <v/>
      </c>
      <c r="I443" s="26" t="str">
        <f ca="1">IF($D443="","",IF(OFFSET('(2)出場選手'!$B$2,$A443,I$1)="","",OFFSET('(2)出場選手'!$B$2,$A443,I$1)))</f>
        <v/>
      </c>
      <c r="J443" s="26" t="str">
        <f ca="1">IF($D443="","",IF(OFFSET('(2)出場選手'!$B$2,$A443,J$1)="",'(1)鑑'!$E$6,OFFSET('(2)出場選手'!$B$2,$A443,J$1)))</f>
        <v/>
      </c>
      <c r="K443" s="26" t="str">
        <f ca="1">IF($D443="","",TRIM(ASC(IF(OFFSET('(2)出場選手'!$B$2,$A443,K$1)="",'(1)鑑'!$E$7,OFFSET('(2)出場選手'!$B$2,$A443,K$1)))))</f>
        <v/>
      </c>
      <c r="L443" s="26" t="str">
        <f ca="1">IF($D443="","",SUBSTITUTE(SUBSTITUTE(SUBSTITUTE(IF(OFFSET('(2)出場選手'!$B$2,$A443,L$1)="",'(1)鑑'!$E$8,OFFSET('(2)出場選手'!$B$2,$A443,L$1)),"県",""),"府",""),"東京都","東京"))</f>
        <v/>
      </c>
      <c r="M443" s="57" t="str">
        <f ca="1">IF($D443="","",IF(OFFSET('(2)出場選手'!$B$2,$A443,M$1)="","",OFFSET('(2)出場選手'!$B$2,$A443,M$1)))</f>
        <v/>
      </c>
      <c r="N443" s="26" t="str">
        <f ca="1">IF($D443="","",OFFSET('(2)出場選手'!$B$2,$A443,N$1+3*$B443))</f>
        <v/>
      </c>
      <c r="O443" s="26" t="str">
        <f ca="1">IF($D443="","",IF(OFFSET('(2)出場選手'!$B$2,$A443,O$1+3*$B443)="","",OFFSET('(2)出場選手'!$B$2,$A443,O$1+3*$B443)))</f>
        <v/>
      </c>
      <c r="P443" s="26" t="str">
        <f ca="1">IF($D443="","",IF(OFFSET('(2)出場選手'!$B$2,$A443,P$1+3*$B443)="","",OFFSET('(2)出場選手'!$B$2,$A443,P$1+3*$B443)))</f>
        <v/>
      </c>
      <c r="Q443" s="43" t="str">
        <f ca="1">IF(D443="","",VLOOKUP(N443,OFFSET(Competition_Events,0,1),11,FALSE)*IF($S443="リレー",IF(COUNTIF($T$3:$T443,$T443)&gt;1,0,1),1))</f>
        <v/>
      </c>
      <c r="R443" s="26" t="str">
        <f t="shared" ca="1" si="20"/>
        <v/>
      </c>
      <c r="S443" s="26" t="str">
        <f t="shared" ca="1" si="21"/>
        <v/>
      </c>
      <c r="T443" s="26" t="str">
        <f t="shared" ca="1" si="22"/>
        <v/>
      </c>
      <c r="U443" s="26" t="str">
        <f t="shared" ca="1" si="29"/>
        <v/>
      </c>
      <c r="W443" s="17" t="str">
        <f ca="1">IF($D443="","",OFFSET('(2)出場選手'!$B$2,$A443,W$1))</f>
        <v/>
      </c>
      <c r="X443" s="17" t="str">
        <f ca="1">IF($D443="","",OFFSET('(2)出場選手'!$B$2,$A443,X$1))</f>
        <v/>
      </c>
      <c r="Y443" s="17" t="str">
        <f ca="1">IF($D443="","",OFFSET('(2)出場選手'!$B$2,$A443,Y$1))</f>
        <v/>
      </c>
      <c r="Z443" s="17" t="str">
        <f ca="1">IF($D443="","",OFFSET('(2)出場選手'!$B$2,$A443,Z$1))</f>
        <v/>
      </c>
    </row>
    <row r="444" spans="1:26" x14ac:dyDescent="0.15">
      <c r="A444" s="17">
        <f>TRUNC((ROWS($D$3:D444)-2)/Max_Entry_Count)+1</f>
        <v>147</v>
      </c>
      <c r="B444" s="17" t="str">
        <f ca="1">IF($A444&gt;=ROWS(Entries)-2,"",IF(OFFSET('(2)出場選手'!$B$2,$A444,B$1+3*(MOD(ROWS($D$3:D444)-2,Max_Entry_Count)))="","",MOD(ROWS($D$3:D444)-2,Max_Entry_Count)))</f>
        <v/>
      </c>
      <c r="D444" s="26" t="str">
        <f ca="1">IF(OR($A444&gt;=ROWS(Entries)-2,$B444=""),"",'(1)鑑'!$E$6&amp;"-"&amp;OFFSET('(2)出場選手'!$B$2,$A444,D$1))</f>
        <v/>
      </c>
      <c r="E444" s="26" t="str">
        <f ca="1">IF($D444="","",OFFSET('(2)出場選手'!$B$2,$A444,E$1))</f>
        <v/>
      </c>
      <c r="F444" s="26" t="str">
        <f ca="1">IF($D444="","",IF(OFFSET('(2)出場選手'!$B$2,$A444,F$1)="","",OFFSET('(2)出場選手'!$B$2,$A444,F$1)))</f>
        <v/>
      </c>
      <c r="G444" s="26" t="str">
        <f t="shared" ca="1" si="18"/>
        <v/>
      </c>
      <c r="H444" s="26" t="str">
        <f t="shared" ca="1" si="30"/>
        <v/>
      </c>
      <c r="I444" s="26" t="str">
        <f ca="1">IF($D444="","",IF(OFFSET('(2)出場選手'!$B$2,$A444,I$1)="","",OFFSET('(2)出場選手'!$B$2,$A444,I$1)))</f>
        <v/>
      </c>
      <c r="J444" s="26" t="str">
        <f ca="1">IF($D444="","",IF(OFFSET('(2)出場選手'!$B$2,$A444,J$1)="",'(1)鑑'!$E$6,OFFSET('(2)出場選手'!$B$2,$A444,J$1)))</f>
        <v/>
      </c>
      <c r="K444" s="26" t="str">
        <f ca="1">IF($D444="","",TRIM(ASC(IF(OFFSET('(2)出場選手'!$B$2,$A444,K$1)="",'(1)鑑'!$E$7,OFFSET('(2)出場選手'!$B$2,$A444,K$1)))))</f>
        <v/>
      </c>
      <c r="L444" s="26" t="str">
        <f ca="1">IF($D444="","",SUBSTITUTE(SUBSTITUTE(SUBSTITUTE(IF(OFFSET('(2)出場選手'!$B$2,$A444,L$1)="",'(1)鑑'!$E$8,OFFSET('(2)出場選手'!$B$2,$A444,L$1)),"県",""),"府",""),"東京都","東京"))</f>
        <v/>
      </c>
      <c r="M444" s="57" t="str">
        <f ca="1">IF($D444="","",IF(OFFSET('(2)出場選手'!$B$2,$A444,M$1)="","",OFFSET('(2)出場選手'!$B$2,$A444,M$1)))</f>
        <v/>
      </c>
      <c r="N444" s="26" t="str">
        <f ca="1">IF($D444="","",OFFSET('(2)出場選手'!$B$2,$A444,N$1+3*$B444))</f>
        <v/>
      </c>
      <c r="O444" s="26" t="str">
        <f ca="1">IF($D444="","",IF(OFFSET('(2)出場選手'!$B$2,$A444,O$1+3*$B444)="","",OFFSET('(2)出場選手'!$B$2,$A444,O$1+3*$B444)))</f>
        <v/>
      </c>
      <c r="P444" s="26" t="str">
        <f ca="1">IF($D444="","",IF(OFFSET('(2)出場選手'!$B$2,$A444,P$1+3*$B444)="","",OFFSET('(2)出場選手'!$B$2,$A444,P$1+3*$B444)))</f>
        <v/>
      </c>
      <c r="Q444" s="43" t="str">
        <f ca="1">IF(D444="","",VLOOKUP(N444,OFFSET(Competition_Events,0,1),11,FALSE)*IF($S444="リレー",IF(COUNTIF($T$3:$T444,$T444)&gt;1,0,1),1))</f>
        <v/>
      </c>
      <c r="R444" s="26" t="str">
        <f t="shared" ca="1" si="20"/>
        <v/>
      </c>
      <c r="S444" s="26" t="str">
        <f t="shared" ca="1" si="21"/>
        <v/>
      </c>
      <c r="T444" s="26" t="str">
        <f t="shared" ca="1" si="22"/>
        <v/>
      </c>
      <c r="U444" s="26" t="str">
        <f t="shared" ca="1" si="29"/>
        <v/>
      </c>
      <c r="W444" s="17" t="str">
        <f ca="1">IF($D444="","",OFFSET('(2)出場選手'!$B$2,$A444,W$1))</f>
        <v/>
      </c>
      <c r="X444" s="17" t="str">
        <f ca="1">IF($D444="","",OFFSET('(2)出場選手'!$B$2,$A444,X$1))</f>
        <v/>
      </c>
      <c r="Y444" s="17" t="str">
        <f ca="1">IF($D444="","",OFFSET('(2)出場選手'!$B$2,$A444,Y$1))</f>
        <v/>
      </c>
      <c r="Z444" s="17" t="str">
        <f ca="1">IF($D444="","",OFFSET('(2)出場選手'!$B$2,$A444,Z$1))</f>
        <v/>
      </c>
    </row>
    <row r="445" spans="1:26" x14ac:dyDescent="0.15">
      <c r="A445" s="17">
        <f>TRUNC((ROWS($D$3:D445)-2)/Max_Entry_Count)+1</f>
        <v>148</v>
      </c>
      <c r="B445" s="17" t="str">
        <f ca="1">IF($A445&gt;=ROWS(Entries)-2,"",IF(OFFSET('(2)出場選手'!$B$2,$A445,B$1+3*(MOD(ROWS($D$3:D445)-2,Max_Entry_Count)))="","",MOD(ROWS($D$3:D445)-2,Max_Entry_Count)))</f>
        <v/>
      </c>
      <c r="D445" s="26" t="str">
        <f ca="1">IF(OR($A445&gt;=ROWS(Entries)-2,$B445=""),"",'(1)鑑'!$E$6&amp;"-"&amp;OFFSET('(2)出場選手'!$B$2,$A445,D$1))</f>
        <v/>
      </c>
      <c r="E445" s="26" t="str">
        <f ca="1">IF($D445="","",OFFSET('(2)出場選手'!$B$2,$A445,E$1))</f>
        <v/>
      </c>
      <c r="F445" s="26" t="str">
        <f ca="1">IF($D445="","",IF(OFFSET('(2)出場選手'!$B$2,$A445,F$1)="","",OFFSET('(2)出場選手'!$B$2,$A445,F$1)))</f>
        <v/>
      </c>
      <c r="G445" s="26" t="str">
        <f t="shared" ca="1" si="18"/>
        <v/>
      </c>
      <c r="H445" s="26" t="str">
        <f t="shared" ca="1" si="30"/>
        <v/>
      </c>
      <c r="I445" s="26" t="str">
        <f ca="1">IF($D445="","",IF(OFFSET('(2)出場選手'!$B$2,$A445,I$1)="","",OFFSET('(2)出場選手'!$B$2,$A445,I$1)))</f>
        <v/>
      </c>
      <c r="J445" s="26" t="str">
        <f ca="1">IF($D445="","",IF(OFFSET('(2)出場選手'!$B$2,$A445,J$1)="",'(1)鑑'!$E$6,OFFSET('(2)出場選手'!$B$2,$A445,J$1)))</f>
        <v/>
      </c>
      <c r="K445" s="26" t="str">
        <f ca="1">IF($D445="","",TRIM(ASC(IF(OFFSET('(2)出場選手'!$B$2,$A445,K$1)="",'(1)鑑'!$E$7,OFFSET('(2)出場選手'!$B$2,$A445,K$1)))))</f>
        <v/>
      </c>
      <c r="L445" s="26" t="str">
        <f ca="1">IF($D445="","",SUBSTITUTE(SUBSTITUTE(SUBSTITUTE(IF(OFFSET('(2)出場選手'!$B$2,$A445,L$1)="",'(1)鑑'!$E$8,OFFSET('(2)出場選手'!$B$2,$A445,L$1)),"県",""),"府",""),"東京都","東京"))</f>
        <v/>
      </c>
      <c r="M445" s="57" t="str">
        <f ca="1">IF($D445="","",IF(OFFSET('(2)出場選手'!$B$2,$A445,M$1)="","",OFFSET('(2)出場選手'!$B$2,$A445,M$1)))</f>
        <v/>
      </c>
      <c r="N445" s="26" t="str">
        <f ca="1">IF($D445="","",OFFSET('(2)出場選手'!$B$2,$A445,N$1+3*$B445))</f>
        <v/>
      </c>
      <c r="O445" s="26" t="str">
        <f ca="1">IF($D445="","",IF(OFFSET('(2)出場選手'!$B$2,$A445,O$1+3*$B445)="","",OFFSET('(2)出場選手'!$B$2,$A445,O$1+3*$B445)))</f>
        <v/>
      </c>
      <c r="P445" s="26" t="str">
        <f ca="1">IF($D445="","",IF(OFFSET('(2)出場選手'!$B$2,$A445,P$1+3*$B445)="","",OFFSET('(2)出場選手'!$B$2,$A445,P$1+3*$B445)))</f>
        <v/>
      </c>
      <c r="Q445" s="43" t="str">
        <f ca="1">IF(D445="","",VLOOKUP(N445,OFFSET(Competition_Events,0,1),11,FALSE)*IF($S445="リレー",IF(COUNTIF($T$3:$T445,$T445)&gt;1,0,1),1))</f>
        <v/>
      </c>
      <c r="R445" s="26" t="str">
        <f t="shared" ca="1" si="20"/>
        <v/>
      </c>
      <c r="S445" s="26" t="str">
        <f t="shared" ca="1" si="21"/>
        <v/>
      </c>
      <c r="T445" s="26" t="str">
        <f t="shared" ca="1" si="22"/>
        <v/>
      </c>
      <c r="U445" s="26" t="str">
        <f t="shared" ref="U445:U502" ca="1" si="31">IF($D445="","",IFERROR(CHOOSE(VLOOKUP($R445,Competition_Events,6,FALSE),SUBSTITUTE(O445,"点","")*1,SUBSTITUTE(O445,"m",".")*100,SUBSTITUTE(SUBSTITUTE("0:"&amp;O445,"'",":"),"""",".")/"0:00:00.01"*-1,SUBSTITUTE(O445,"m",".")*100,SUBSTITUTE(SUBSTITUTE(O445,"'",":"),"""",".")/"0:00:00.01"*-1),-8640000))</f>
        <v/>
      </c>
      <c r="W445" s="17" t="str">
        <f ca="1">IF($D445="","",OFFSET('(2)出場選手'!$B$2,$A445,W$1))</f>
        <v/>
      </c>
      <c r="X445" s="17" t="str">
        <f ca="1">IF($D445="","",OFFSET('(2)出場選手'!$B$2,$A445,X$1))</f>
        <v/>
      </c>
      <c r="Y445" s="17" t="str">
        <f ca="1">IF($D445="","",OFFSET('(2)出場選手'!$B$2,$A445,Y$1))</f>
        <v/>
      </c>
      <c r="Z445" s="17" t="str">
        <f ca="1">IF($D445="","",OFFSET('(2)出場選手'!$B$2,$A445,Z$1))</f>
        <v/>
      </c>
    </row>
    <row r="446" spans="1:26" x14ac:dyDescent="0.15">
      <c r="A446" s="17">
        <f>TRUNC((ROWS($D$3:D446)-2)/Max_Entry_Count)+1</f>
        <v>148</v>
      </c>
      <c r="B446" s="17" t="str">
        <f ca="1">IF($A446&gt;=ROWS(Entries)-2,"",IF(OFFSET('(2)出場選手'!$B$2,$A446,B$1+3*(MOD(ROWS($D$3:D446)-2,Max_Entry_Count)))="","",MOD(ROWS($D$3:D446)-2,Max_Entry_Count)))</f>
        <v/>
      </c>
      <c r="D446" s="26" t="str">
        <f ca="1">IF(OR($A446&gt;=ROWS(Entries)-2,$B446=""),"",'(1)鑑'!$E$6&amp;"-"&amp;OFFSET('(2)出場選手'!$B$2,$A446,D$1))</f>
        <v/>
      </c>
      <c r="E446" s="26" t="str">
        <f ca="1">IF($D446="","",OFFSET('(2)出場選手'!$B$2,$A446,E$1))</f>
        <v/>
      </c>
      <c r="F446" s="26" t="str">
        <f ca="1">IF($D446="","",IF(OFFSET('(2)出場選手'!$B$2,$A446,F$1)="","",OFFSET('(2)出場選手'!$B$2,$A446,F$1)))</f>
        <v/>
      </c>
      <c r="G446" s="26" t="str">
        <f t="shared" ca="1" si="18"/>
        <v/>
      </c>
      <c r="H446" s="26" t="str">
        <f t="shared" ca="1" si="30"/>
        <v/>
      </c>
      <c r="I446" s="26" t="str">
        <f ca="1">IF($D446="","",IF(OFFSET('(2)出場選手'!$B$2,$A446,I$1)="","",OFFSET('(2)出場選手'!$B$2,$A446,I$1)))</f>
        <v/>
      </c>
      <c r="J446" s="26" t="str">
        <f ca="1">IF($D446="","",IF(OFFSET('(2)出場選手'!$B$2,$A446,J$1)="",'(1)鑑'!$E$6,OFFSET('(2)出場選手'!$B$2,$A446,J$1)))</f>
        <v/>
      </c>
      <c r="K446" s="26" t="str">
        <f ca="1">IF($D446="","",TRIM(ASC(IF(OFFSET('(2)出場選手'!$B$2,$A446,K$1)="",'(1)鑑'!$E$7,OFFSET('(2)出場選手'!$B$2,$A446,K$1)))))</f>
        <v/>
      </c>
      <c r="L446" s="26" t="str">
        <f ca="1">IF($D446="","",SUBSTITUTE(SUBSTITUTE(SUBSTITUTE(IF(OFFSET('(2)出場選手'!$B$2,$A446,L$1)="",'(1)鑑'!$E$8,OFFSET('(2)出場選手'!$B$2,$A446,L$1)),"県",""),"府",""),"東京都","東京"))</f>
        <v/>
      </c>
      <c r="M446" s="57" t="str">
        <f ca="1">IF($D446="","",IF(OFFSET('(2)出場選手'!$B$2,$A446,M$1)="","",OFFSET('(2)出場選手'!$B$2,$A446,M$1)))</f>
        <v/>
      </c>
      <c r="N446" s="26" t="str">
        <f ca="1">IF($D446="","",OFFSET('(2)出場選手'!$B$2,$A446,N$1+3*$B446))</f>
        <v/>
      </c>
      <c r="O446" s="26" t="str">
        <f ca="1">IF($D446="","",IF(OFFSET('(2)出場選手'!$B$2,$A446,O$1+3*$B446)="","",OFFSET('(2)出場選手'!$B$2,$A446,O$1+3*$B446)))</f>
        <v/>
      </c>
      <c r="P446" s="26" t="str">
        <f ca="1">IF($D446="","",IF(OFFSET('(2)出場選手'!$B$2,$A446,P$1+3*$B446)="","",OFFSET('(2)出場選手'!$B$2,$A446,P$1+3*$B446)))</f>
        <v/>
      </c>
      <c r="Q446" s="43" t="str">
        <f ca="1">IF(D446="","",VLOOKUP(N446,OFFSET(Competition_Events,0,1),11,FALSE)*IF($S446="リレー",IF(COUNTIF($T$3:$T446,$T446)&gt;1,0,1),1))</f>
        <v/>
      </c>
      <c r="R446" s="26" t="str">
        <f t="shared" ca="1" si="20"/>
        <v/>
      </c>
      <c r="S446" s="26" t="str">
        <f t="shared" ca="1" si="21"/>
        <v/>
      </c>
      <c r="T446" s="26" t="str">
        <f t="shared" ca="1" si="22"/>
        <v/>
      </c>
      <c r="U446" s="26" t="str">
        <f t="shared" ca="1" si="31"/>
        <v/>
      </c>
      <c r="W446" s="17" t="str">
        <f ca="1">IF($D446="","",OFFSET('(2)出場選手'!$B$2,$A446,W$1))</f>
        <v/>
      </c>
      <c r="X446" s="17" t="str">
        <f ca="1">IF($D446="","",OFFSET('(2)出場選手'!$B$2,$A446,X$1))</f>
        <v/>
      </c>
      <c r="Y446" s="17" t="str">
        <f ca="1">IF($D446="","",OFFSET('(2)出場選手'!$B$2,$A446,Y$1))</f>
        <v/>
      </c>
      <c r="Z446" s="17" t="str">
        <f ca="1">IF($D446="","",OFFSET('(2)出場選手'!$B$2,$A446,Z$1))</f>
        <v/>
      </c>
    </row>
    <row r="447" spans="1:26" x14ac:dyDescent="0.15">
      <c r="A447" s="17">
        <f>TRUNC((ROWS($D$3:D447)-2)/Max_Entry_Count)+1</f>
        <v>148</v>
      </c>
      <c r="B447" s="17" t="str">
        <f ca="1">IF($A447&gt;=ROWS(Entries)-2,"",IF(OFFSET('(2)出場選手'!$B$2,$A447,B$1+3*(MOD(ROWS($D$3:D447)-2,Max_Entry_Count)))="","",MOD(ROWS($D$3:D447)-2,Max_Entry_Count)))</f>
        <v/>
      </c>
      <c r="D447" s="26" t="str">
        <f ca="1">IF(OR($A447&gt;=ROWS(Entries)-2,$B447=""),"",'(1)鑑'!$E$6&amp;"-"&amp;OFFSET('(2)出場選手'!$B$2,$A447,D$1))</f>
        <v/>
      </c>
      <c r="E447" s="26" t="str">
        <f ca="1">IF($D447="","",OFFSET('(2)出場選手'!$B$2,$A447,E$1))</f>
        <v/>
      </c>
      <c r="F447" s="26" t="str">
        <f ca="1">IF($D447="","",IF(OFFSET('(2)出場選手'!$B$2,$A447,F$1)="","",OFFSET('(2)出場選手'!$B$2,$A447,F$1)))</f>
        <v/>
      </c>
      <c r="G447" s="26" t="str">
        <f t="shared" ca="1" si="18"/>
        <v/>
      </c>
      <c r="H447" s="26" t="str">
        <f t="shared" ca="1" si="30"/>
        <v/>
      </c>
      <c r="I447" s="26" t="str">
        <f ca="1">IF($D447="","",IF(OFFSET('(2)出場選手'!$B$2,$A447,I$1)="","",OFFSET('(2)出場選手'!$B$2,$A447,I$1)))</f>
        <v/>
      </c>
      <c r="J447" s="26" t="str">
        <f ca="1">IF($D447="","",IF(OFFSET('(2)出場選手'!$B$2,$A447,J$1)="",'(1)鑑'!$E$6,OFFSET('(2)出場選手'!$B$2,$A447,J$1)))</f>
        <v/>
      </c>
      <c r="K447" s="26" t="str">
        <f ca="1">IF($D447="","",TRIM(ASC(IF(OFFSET('(2)出場選手'!$B$2,$A447,K$1)="",'(1)鑑'!$E$7,OFFSET('(2)出場選手'!$B$2,$A447,K$1)))))</f>
        <v/>
      </c>
      <c r="L447" s="26" t="str">
        <f ca="1">IF($D447="","",SUBSTITUTE(SUBSTITUTE(SUBSTITUTE(IF(OFFSET('(2)出場選手'!$B$2,$A447,L$1)="",'(1)鑑'!$E$8,OFFSET('(2)出場選手'!$B$2,$A447,L$1)),"県",""),"府",""),"東京都","東京"))</f>
        <v/>
      </c>
      <c r="M447" s="57" t="str">
        <f ca="1">IF($D447="","",IF(OFFSET('(2)出場選手'!$B$2,$A447,M$1)="","",OFFSET('(2)出場選手'!$B$2,$A447,M$1)))</f>
        <v/>
      </c>
      <c r="N447" s="26" t="str">
        <f ca="1">IF($D447="","",OFFSET('(2)出場選手'!$B$2,$A447,N$1+3*$B447))</f>
        <v/>
      </c>
      <c r="O447" s="26" t="str">
        <f ca="1">IF($D447="","",IF(OFFSET('(2)出場選手'!$B$2,$A447,O$1+3*$B447)="","",OFFSET('(2)出場選手'!$B$2,$A447,O$1+3*$B447)))</f>
        <v/>
      </c>
      <c r="P447" s="26" t="str">
        <f ca="1">IF($D447="","",IF(OFFSET('(2)出場選手'!$B$2,$A447,P$1+3*$B447)="","",OFFSET('(2)出場選手'!$B$2,$A447,P$1+3*$B447)))</f>
        <v/>
      </c>
      <c r="Q447" s="43" t="str">
        <f ca="1">IF(D447="","",VLOOKUP(N447,OFFSET(Competition_Events,0,1),11,FALSE)*IF($S447="リレー",IF(COUNTIF($T$3:$T447,$T447)&gt;1,0,1),1))</f>
        <v/>
      </c>
      <c r="R447" s="26" t="str">
        <f t="shared" ca="1" si="20"/>
        <v/>
      </c>
      <c r="S447" s="26" t="str">
        <f t="shared" ca="1" si="21"/>
        <v/>
      </c>
      <c r="T447" s="26" t="str">
        <f t="shared" ca="1" si="22"/>
        <v/>
      </c>
      <c r="U447" s="26" t="str">
        <f t="shared" ca="1" si="31"/>
        <v/>
      </c>
      <c r="W447" s="17" t="str">
        <f ca="1">IF($D447="","",OFFSET('(2)出場選手'!$B$2,$A447,W$1))</f>
        <v/>
      </c>
      <c r="X447" s="17" t="str">
        <f ca="1">IF($D447="","",OFFSET('(2)出場選手'!$B$2,$A447,X$1))</f>
        <v/>
      </c>
      <c r="Y447" s="17" t="str">
        <f ca="1">IF($D447="","",OFFSET('(2)出場選手'!$B$2,$A447,Y$1))</f>
        <v/>
      </c>
      <c r="Z447" s="17" t="str">
        <f ca="1">IF($D447="","",OFFSET('(2)出場選手'!$B$2,$A447,Z$1))</f>
        <v/>
      </c>
    </row>
    <row r="448" spans="1:26" x14ac:dyDescent="0.15">
      <c r="A448" s="17">
        <f>TRUNC((ROWS($D$3:D448)-2)/Max_Entry_Count)+1</f>
        <v>149</v>
      </c>
      <c r="B448" s="17" t="str">
        <f ca="1">IF($A448&gt;=ROWS(Entries)-2,"",IF(OFFSET('(2)出場選手'!$B$2,$A448,B$1+3*(MOD(ROWS($D$3:D448)-2,Max_Entry_Count)))="","",MOD(ROWS($D$3:D448)-2,Max_Entry_Count)))</f>
        <v/>
      </c>
      <c r="D448" s="26" t="str">
        <f ca="1">IF(OR($A448&gt;=ROWS(Entries)-2,$B448=""),"",'(1)鑑'!$E$6&amp;"-"&amp;OFFSET('(2)出場選手'!$B$2,$A448,D$1))</f>
        <v/>
      </c>
      <c r="E448" s="26" t="str">
        <f ca="1">IF($D448="","",OFFSET('(2)出場選手'!$B$2,$A448,E$1))</f>
        <v/>
      </c>
      <c r="F448" s="26" t="str">
        <f ca="1">IF($D448="","",IF(OFFSET('(2)出場選手'!$B$2,$A448,F$1)="","",OFFSET('(2)出場選手'!$B$2,$A448,F$1)))</f>
        <v/>
      </c>
      <c r="G448" s="26" t="str">
        <f t="shared" ca="1" si="18"/>
        <v/>
      </c>
      <c r="H448" s="26" t="str">
        <f t="shared" ca="1" si="30"/>
        <v/>
      </c>
      <c r="I448" s="26" t="str">
        <f ca="1">IF($D448="","",IF(OFFSET('(2)出場選手'!$B$2,$A448,I$1)="","",OFFSET('(2)出場選手'!$B$2,$A448,I$1)))</f>
        <v/>
      </c>
      <c r="J448" s="26" t="str">
        <f ca="1">IF($D448="","",IF(OFFSET('(2)出場選手'!$B$2,$A448,J$1)="",'(1)鑑'!$E$6,OFFSET('(2)出場選手'!$B$2,$A448,J$1)))</f>
        <v/>
      </c>
      <c r="K448" s="26" t="str">
        <f ca="1">IF($D448="","",TRIM(ASC(IF(OFFSET('(2)出場選手'!$B$2,$A448,K$1)="",'(1)鑑'!$E$7,OFFSET('(2)出場選手'!$B$2,$A448,K$1)))))</f>
        <v/>
      </c>
      <c r="L448" s="26" t="str">
        <f ca="1">IF($D448="","",SUBSTITUTE(SUBSTITUTE(SUBSTITUTE(IF(OFFSET('(2)出場選手'!$B$2,$A448,L$1)="",'(1)鑑'!$E$8,OFFSET('(2)出場選手'!$B$2,$A448,L$1)),"県",""),"府",""),"東京都","東京"))</f>
        <v/>
      </c>
      <c r="M448" s="57" t="str">
        <f ca="1">IF($D448="","",IF(OFFSET('(2)出場選手'!$B$2,$A448,M$1)="","",OFFSET('(2)出場選手'!$B$2,$A448,M$1)))</f>
        <v/>
      </c>
      <c r="N448" s="26" t="str">
        <f ca="1">IF($D448="","",OFFSET('(2)出場選手'!$B$2,$A448,N$1+3*$B448))</f>
        <v/>
      </c>
      <c r="O448" s="26" t="str">
        <f ca="1">IF($D448="","",IF(OFFSET('(2)出場選手'!$B$2,$A448,O$1+3*$B448)="","",OFFSET('(2)出場選手'!$B$2,$A448,O$1+3*$B448)))</f>
        <v/>
      </c>
      <c r="P448" s="26" t="str">
        <f ca="1">IF($D448="","",IF(OFFSET('(2)出場選手'!$B$2,$A448,P$1+3*$B448)="","",OFFSET('(2)出場選手'!$B$2,$A448,P$1+3*$B448)))</f>
        <v/>
      </c>
      <c r="Q448" s="43" t="str">
        <f ca="1">IF(D448="","",VLOOKUP(N448,OFFSET(Competition_Events,0,1),11,FALSE)*IF($S448="リレー",IF(COUNTIF($T$3:$T448,$T448)&gt;1,0,1),1))</f>
        <v/>
      </c>
      <c r="R448" s="26" t="str">
        <f t="shared" ca="1" si="20"/>
        <v/>
      </c>
      <c r="S448" s="26" t="str">
        <f t="shared" ca="1" si="21"/>
        <v/>
      </c>
      <c r="T448" s="26" t="str">
        <f t="shared" ca="1" si="22"/>
        <v/>
      </c>
      <c r="U448" s="26" t="str">
        <f t="shared" ca="1" si="31"/>
        <v/>
      </c>
      <c r="W448" s="17" t="str">
        <f ca="1">IF($D448="","",OFFSET('(2)出場選手'!$B$2,$A448,W$1))</f>
        <v/>
      </c>
      <c r="X448" s="17" t="str">
        <f ca="1">IF($D448="","",OFFSET('(2)出場選手'!$B$2,$A448,X$1))</f>
        <v/>
      </c>
      <c r="Y448" s="17" t="str">
        <f ca="1">IF($D448="","",OFFSET('(2)出場選手'!$B$2,$A448,Y$1))</f>
        <v/>
      </c>
      <c r="Z448" s="17" t="str">
        <f ca="1">IF($D448="","",OFFSET('(2)出場選手'!$B$2,$A448,Z$1))</f>
        <v/>
      </c>
    </row>
    <row r="449" spans="1:26" x14ac:dyDescent="0.15">
      <c r="A449" s="17">
        <f>TRUNC((ROWS($D$3:D449)-2)/Max_Entry_Count)+1</f>
        <v>149</v>
      </c>
      <c r="B449" s="17" t="str">
        <f ca="1">IF($A449&gt;=ROWS(Entries)-2,"",IF(OFFSET('(2)出場選手'!$B$2,$A449,B$1+3*(MOD(ROWS($D$3:D449)-2,Max_Entry_Count)))="","",MOD(ROWS($D$3:D449)-2,Max_Entry_Count)))</f>
        <v/>
      </c>
      <c r="D449" s="26" t="str">
        <f ca="1">IF(OR($A449&gt;=ROWS(Entries)-2,$B449=""),"",'(1)鑑'!$E$6&amp;"-"&amp;OFFSET('(2)出場選手'!$B$2,$A449,D$1))</f>
        <v/>
      </c>
      <c r="E449" s="26" t="str">
        <f ca="1">IF($D449="","",OFFSET('(2)出場選手'!$B$2,$A449,E$1))</f>
        <v/>
      </c>
      <c r="F449" s="26" t="str">
        <f ca="1">IF($D449="","",IF(OFFSET('(2)出場選手'!$B$2,$A449,F$1)="","",OFFSET('(2)出場選手'!$B$2,$A449,F$1)))</f>
        <v/>
      </c>
      <c r="G449" s="26" t="str">
        <f t="shared" ca="1" si="18"/>
        <v/>
      </c>
      <c r="H449" s="26" t="str">
        <f t="shared" ca="1" si="30"/>
        <v/>
      </c>
      <c r="I449" s="26" t="str">
        <f ca="1">IF($D449="","",IF(OFFSET('(2)出場選手'!$B$2,$A449,I$1)="","",OFFSET('(2)出場選手'!$B$2,$A449,I$1)))</f>
        <v/>
      </c>
      <c r="J449" s="26" t="str">
        <f ca="1">IF($D449="","",IF(OFFSET('(2)出場選手'!$B$2,$A449,J$1)="",'(1)鑑'!$E$6,OFFSET('(2)出場選手'!$B$2,$A449,J$1)))</f>
        <v/>
      </c>
      <c r="K449" s="26" t="str">
        <f ca="1">IF($D449="","",TRIM(ASC(IF(OFFSET('(2)出場選手'!$B$2,$A449,K$1)="",'(1)鑑'!$E$7,OFFSET('(2)出場選手'!$B$2,$A449,K$1)))))</f>
        <v/>
      </c>
      <c r="L449" s="26" t="str">
        <f ca="1">IF($D449="","",SUBSTITUTE(SUBSTITUTE(SUBSTITUTE(IF(OFFSET('(2)出場選手'!$B$2,$A449,L$1)="",'(1)鑑'!$E$8,OFFSET('(2)出場選手'!$B$2,$A449,L$1)),"県",""),"府",""),"東京都","東京"))</f>
        <v/>
      </c>
      <c r="M449" s="57" t="str">
        <f ca="1">IF($D449="","",IF(OFFSET('(2)出場選手'!$B$2,$A449,M$1)="","",OFFSET('(2)出場選手'!$B$2,$A449,M$1)))</f>
        <v/>
      </c>
      <c r="N449" s="26" t="str">
        <f ca="1">IF($D449="","",OFFSET('(2)出場選手'!$B$2,$A449,N$1+3*$B449))</f>
        <v/>
      </c>
      <c r="O449" s="26" t="str">
        <f ca="1">IF($D449="","",IF(OFFSET('(2)出場選手'!$B$2,$A449,O$1+3*$B449)="","",OFFSET('(2)出場選手'!$B$2,$A449,O$1+3*$B449)))</f>
        <v/>
      </c>
      <c r="P449" s="26" t="str">
        <f ca="1">IF($D449="","",IF(OFFSET('(2)出場選手'!$B$2,$A449,P$1+3*$B449)="","",OFFSET('(2)出場選手'!$B$2,$A449,P$1+3*$B449)))</f>
        <v/>
      </c>
      <c r="Q449" s="43" t="str">
        <f ca="1">IF(D449="","",VLOOKUP(N449,OFFSET(Competition_Events,0,1),11,FALSE)*IF($S449="リレー",IF(COUNTIF($T$3:$T449,$T449)&gt;1,0,1),1))</f>
        <v/>
      </c>
      <c r="R449" s="26" t="str">
        <f t="shared" ca="1" si="20"/>
        <v/>
      </c>
      <c r="S449" s="26" t="str">
        <f t="shared" ca="1" si="21"/>
        <v/>
      </c>
      <c r="T449" s="26" t="str">
        <f t="shared" ca="1" si="22"/>
        <v/>
      </c>
      <c r="U449" s="26" t="str">
        <f t="shared" ca="1" si="31"/>
        <v/>
      </c>
      <c r="W449" s="17" t="str">
        <f ca="1">IF($D449="","",OFFSET('(2)出場選手'!$B$2,$A449,W$1))</f>
        <v/>
      </c>
      <c r="X449" s="17" t="str">
        <f ca="1">IF($D449="","",OFFSET('(2)出場選手'!$B$2,$A449,X$1))</f>
        <v/>
      </c>
      <c r="Y449" s="17" t="str">
        <f ca="1">IF($D449="","",OFFSET('(2)出場選手'!$B$2,$A449,Y$1))</f>
        <v/>
      </c>
      <c r="Z449" s="17" t="str">
        <f ca="1">IF($D449="","",OFFSET('(2)出場選手'!$B$2,$A449,Z$1))</f>
        <v/>
      </c>
    </row>
    <row r="450" spans="1:26" x14ac:dyDescent="0.15">
      <c r="A450" s="17">
        <f>TRUNC((ROWS($D$3:D450)-2)/Max_Entry_Count)+1</f>
        <v>149</v>
      </c>
      <c r="B450" s="17" t="str">
        <f ca="1">IF($A450&gt;=ROWS(Entries)-2,"",IF(OFFSET('(2)出場選手'!$B$2,$A450,B$1+3*(MOD(ROWS($D$3:D450)-2,Max_Entry_Count)))="","",MOD(ROWS($D$3:D450)-2,Max_Entry_Count)))</f>
        <v/>
      </c>
      <c r="D450" s="26" t="str">
        <f ca="1">IF(OR($A450&gt;=ROWS(Entries)-2,$B450=""),"",'(1)鑑'!$E$6&amp;"-"&amp;OFFSET('(2)出場選手'!$B$2,$A450,D$1))</f>
        <v/>
      </c>
      <c r="E450" s="26" t="str">
        <f ca="1">IF($D450="","",OFFSET('(2)出場選手'!$B$2,$A450,E$1))</f>
        <v/>
      </c>
      <c r="F450" s="26" t="str">
        <f ca="1">IF($D450="","",IF(OFFSET('(2)出場選手'!$B$2,$A450,F$1)="","",OFFSET('(2)出場選手'!$B$2,$A450,F$1)))</f>
        <v/>
      </c>
      <c r="G450" s="26" t="str">
        <f t="shared" ref="G450:G502" ca="1" si="32">IF($D450="","",$W450&amp;"　"&amp;$X450)</f>
        <v/>
      </c>
      <c r="H450" s="26" t="str">
        <f t="shared" ca="1" si="30"/>
        <v/>
      </c>
      <c r="I450" s="26" t="str">
        <f ca="1">IF($D450="","",IF(OFFSET('(2)出場選手'!$B$2,$A450,I$1)="","",OFFSET('(2)出場選手'!$B$2,$A450,I$1)))</f>
        <v/>
      </c>
      <c r="J450" s="26" t="str">
        <f ca="1">IF($D450="","",IF(OFFSET('(2)出場選手'!$B$2,$A450,J$1)="",'(1)鑑'!$E$6,OFFSET('(2)出場選手'!$B$2,$A450,J$1)))</f>
        <v/>
      </c>
      <c r="K450" s="26" t="str">
        <f ca="1">IF($D450="","",TRIM(ASC(IF(OFFSET('(2)出場選手'!$B$2,$A450,K$1)="",'(1)鑑'!$E$7,OFFSET('(2)出場選手'!$B$2,$A450,K$1)))))</f>
        <v/>
      </c>
      <c r="L450" s="26" t="str">
        <f ca="1">IF($D450="","",SUBSTITUTE(SUBSTITUTE(SUBSTITUTE(IF(OFFSET('(2)出場選手'!$B$2,$A450,L$1)="",'(1)鑑'!$E$8,OFFSET('(2)出場選手'!$B$2,$A450,L$1)),"県",""),"府",""),"東京都","東京"))</f>
        <v/>
      </c>
      <c r="M450" s="57" t="str">
        <f ca="1">IF($D450="","",IF(OFFSET('(2)出場選手'!$B$2,$A450,M$1)="","",OFFSET('(2)出場選手'!$B$2,$A450,M$1)))</f>
        <v/>
      </c>
      <c r="N450" s="26" t="str">
        <f ca="1">IF($D450="","",OFFSET('(2)出場選手'!$B$2,$A450,N$1+3*$B450))</f>
        <v/>
      </c>
      <c r="O450" s="26" t="str">
        <f ca="1">IF($D450="","",IF(OFFSET('(2)出場選手'!$B$2,$A450,O$1+3*$B450)="","",OFFSET('(2)出場選手'!$B$2,$A450,O$1+3*$B450)))</f>
        <v/>
      </c>
      <c r="P450" s="26" t="str">
        <f ca="1">IF($D450="","",IF(OFFSET('(2)出場選手'!$B$2,$A450,P$1+3*$B450)="","",OFFSET('(2)出場選手'!$B$2,$A450,P$1+3*$B450)))</f>
        <v/>
      </c>
      <c r="Q450" s="43" t="str">
        <f ca="1">IF(D450="","",VLOOKUP(N450,OFFSET(Competition_Events,0,1),11,FALSE)*IF($S450="リレー",IF(COUNTIF($T$3:$T450,$T450)&gt;1,0,1),1))</f>
        <v/>
      </c>
      <c r="R450" s="26" t="str">
        <f t="shared" ref="R450:R502" ca="1" si="33">IF($D450="","",VLOOKUP($N450,OFFSET(Competition_Events,0,1),3,FALSE))</f>
        <v/>
      </c>
      <c r="S450" s="26" t="str">
        <f t="shared" ref="S450:S502" ca="1" si="34">IF($D450="","",VLOOKUP($R450,Competition_Events,7,FALSE))</f>
        <v/>
      </c>
      <c r="T450" s="26" t="str">
        <f t="shared" ref="T450:T502" ca="1" si="35">IF($D450="","",$N450&amp;"//"&amp;$P450)</f>
        <v/>
      </c>
      <c r="U450" s="26" t="str">
        <f t="shared" ca="1" si="31"/>
        <v/>
      </c>
      <c r="W450" s="17" t="str">
        <f ca="1">IF($D450="","",OFFSET('(2)出場選手'!$B$2,$A450,W$1))</f>
        <v/>
      </c>
      <c r="X450" s="17" t="str">
        <f ca="1">IF($D450="","",OFFSET('(2)出場選手'!$B$2,$A450,X$1))</f>
        <v/>
      </c>
      <c r="Y450" s="17" t="str">
        <f ca="1">IF($D450="","",OFFSET('(2)出場選手'!$B$2,$A450,Y$1))</f>
        <v/>
      </c>
      <c r="Z450" s="17" t="str">
        <f ca="1">IF($D450="","",OFFSET('(2)出場選手'!$B$2,$A450,Z$1))</f>
        <v/>
      </c>
    </row>
    <row r="451" spans="1:26" x14ac:dyDescent="0.15">
      <c r="A451" s="17">
        <f>TRUNC((ROWS($D$3:D451)-2)/Max_Entry_Count)+1</f>
        <v>150</v>
      </c>
      <c r="B451" s="17" t="str">
        <f ca="1">IF($A451&gt;=ROWS(Entries)-2,"",IF(OFFSET('(2)出場選手'!$B$2,$A451,B$1+3*(MOD(ROWS($D$3:D451)-2,Max_Entry_Count)))="","",MOD(ROWS($D$3:D451)-2,Max_Entry_Count)))</f>
        <v/>
      </c>
      <c r="D451" s="26" t="str">
        <f ca="1">IF(OR($A451&gt;=ROWS(Entries)-2,$B451=""),"",'(1)鑑'!$E$6&amp;"-"&amp;OFFSET('(2)出場選手'!$B$2,$A451,D$1))</f>
        <v/>
      </c>
      <c r="E451" s="26" t="str">
        <f ca="1">IF($D451="","",OFFSET('(2)出場選手'!$B$2,$A451,E$1))</f>
        <v/>
      </c>
      <c r="F451" s="26" t="str">
        <f ca="1">IF($D451="","",IF(OFFSET('(2)出場選手'!$B$2,$A451,F$1)="","",OFFSET('(2)出場選手'!$B$2,$A451,F$1)))</f>
        <v/>
      </c>
      <c r="G451" s="26" t="str">
        <f t="shared" ca="1" si="32"/>
        <v/>
      </c>
      <c r="H451" s="26" t="str">
        <f t="shared" ca="1" si="30"/>
        <v/>
      </c>
      <c r="I451" s="26" t="str">
        <f ca="1">IF($D451="","",IF(OFFSET('(2)出場選手'!$B$2,$A451,I$1)="","",OFFSET('(2)出場選手'!$B$2,$A451,I$1)))</f>
        <v/>
      </c>
      <c r="J451" s="26" t="str">
        <f ca="1">IF($D451="","",IF(OFFSET('(2)出場選手'!$B$2,$A451,J$1)="",'(1)鑑'!$E$6,OFFSET('(2)出場選手'!$B$2,$A451,J$1)))</f>
        <v/>
      </c>
      <c r="K451" s="26" t="str">
        <f ca="1">IF($D451="","",TRIM(ASC(IF(OFFSET('(2)出場選手'!$B$2,$A451,K$1)="",'(1)鑑'!$E$7,OFFSET('(2)出場選手'!$B$2,$A451,K$1)))))</f>
        <v/>
      </c>
      <c r="L451" s="26" t="str">
        <f ca="1">IF($D451="","",SUBSTITUTE(SUBSTITUTE(SUBSTITUTE(IF(OFFSET('(2)出場選手'!$B$2,$A451,L$1)="",'(1)鑑'!$E$8,OFFSET('(2)出場選手'!$B$2,$A451,L$1)),"県",""),"府",""),"東京都","東京"))</f>
        <v/>
      </c>
      <c r="M451" s="57" t="str">
        <f ca="1">IF($D451="","",IF(OFFSET('(2)出場選手'!$B$2,$A451,M$1)="","",OFFSET('(2)出場選手'!$B$2,$A451,M$1)))</f>
        <v/>
      </c>
      <c r="N451" s="26" t="str">
        <f ca="1">IF($D451="","",OFFSET('(2)出場選手'!$B$2,$A451,N$1+3*$B451))</f>
        <v/>
      </c>
      <c r="O451" s="26" t="str">
        <f ca="1">IF($D451="","",IF(OFFSET('(2)出場選手'!$B$2,$A451,O$1+3*$B451)="","",OFFSET('(2)出場選手'!$B$2,$A451,O$1+3*$B451)))</f>
        <v/>
      </c>
      <c r="P451" s="26" t="str">
        <f ca="1">IF($D451="","",IF(OFFSET('(2)出場選手'!$B$2,$A451,P$1+3*$B451)="","",OFFSET('(2)出場選手'!$B$2,$A451,P$1+3*$B451)))</f>
        <v/>
      </c>
      <c r="Q451" s="43" t="str">
        <f ca="1">IF(D451="","",VLOOKUP(N451,OFFSET(Competition_Events,0,1),11,FALSE)*IF($S451="リレー",IF(COUNTIF($T$3:$T451,$T451)&gt;1,0,1),1))</f>
        <v/>
      </c>
      <c r="R451" s="26" t="str">
        <f t="shared" ca="1" si="33"/>
        <v/>
      </c>
      <c r="S451" s="26" t="str">
        <f t="shared" ca="1" si="34"/>
        <v/>
      </c>
      <c r="T451" s="26" t="str">
        <f t="shared" ca="1" si="35"/>
        <v/>
      </c>
      <c r="U451" s="26" t="str">
        <f t="shared" ca="1" si="31"/>
        <v/>
      </c>
      <c r="W451" s="17" t="str">
        <f ca="1">IF($D451="","",OFFSET('(2)出場選手'!$B$2,$A451,W$1))</f>
        <v/>
      </c>
      <c r="X451" s="17" t="str">
        <f ca="1">IF($D451="","",OFFSET('(2)出場選手'!$B$2,$A451,X$1))</f>
        <v/>
      </c>
      <c r="Y451" s="17" t="str">
        <f ca="1">IF($D451="","",OFFSET('(2)出場選手'!$B$2,$A451,Y$1))</f>
        <v/>
      </c>
      <c r="Z451" s="17" t="str">
        <f ca="1">IF($D451="","",OFFSET('(2)出場選手'!$B$2,$A451,Z$1))</f>
        <v/>
      </c>
    </row>
    <row r="452" spans="1:26" x14ac:dyDescent="0.15">
      <c r="A452" s="17">
        <f>TRUNC((ROWS($D$3:D452)-2)/Max_Entry_Count)+1</f>
        <v>150</v>
      </c>
      <c r="B452" s="17" t="str">
        <f ca="1">IF($A452&gt;=ROWS(Entries)-2,"",IF(OFFSET('(2)出場選手'!$B$2,$A452,B$1+3*(MOD(ROWS($D$3:D452)-2,Max_Entry_Count)))="","",MOD(ROWS($D$3:D452)-2,Max_Entry_Count)))</f>
        <v/>
      </c>
      <c r="D452" s="26" t="str">
        <f ca="1">IF(OR($A452&gt;=ROWS(Entries)-2,$B452=""),"",'(1)鑑'!$E$6&amp;"-"&amp;OFFSET('(2)出場選手'!$B$2,$A452,D$1))</f>
        <v/>
      </c>
      <c r="E452" s="26" t="str">
        <f ca="1">IF($D452="","",OFFSET('(2)出場選手'!$B$2,$A452,E$1))</f>
        <v/>
      </c>
      <c r="F452" s="26" t="str">
        <f ca="1">IF($D452="","",IF(OFFSET('(2)出場選手'!$B$2,$A452,F$1)="","",OFFSET('(2)出場選手'!$B$2,$A452,F$1)))</f>
        <v/>
      </c>
      <c r="G452" s="26" t="str">
        <f t="shared" ca="1" si="32"/>
        <v/>
      </c>
      <c r="H452" s="26" t="str">
        <f t="shared" ref="H452:H503" ca="1" si="36">IF($D452="","",ASC(TRIM($Y452)&amp;"　"&amp;TRIM($Z452)))</f>
        <v/>
      </c>
      <c r="I452" s="26" t="str">
        <f ca="1">IF($D452="","",IF(OFFSET('(2)出場選手'!$B$2,$A452,I$1)="","",OFFSET('(2)出場選手'!$B$2,$A452,I$1)))</f>
        <v/>
      </c>
      <c r="J452" s="26" t="str">
        <f ca="1">IF($D452="","",IF(OFFSET('(2)出場選手'!$B$2,$A452,J$1)="",'(1)鑑'!$E$6,OFFSET('(2)出場選手'!$B$2,$A452,J$1)))</f>
        <v/>
      </c>
      <c r="K452" s="26" t="str">
        <f ca="1">IF($D452="","",TRIM(ASC(IF(OFFSET('(2)出場選手'!$B$2,$A452,K$1)="",'(1)鑑'!$E$7,OFFSET('(2)出場選手'!$B$2,$A452,K$1)))))</f>
        <v/>
      </c>
      <c r="L452" s="26" t="str">
        <f ca="1">IF($D452="","",SUBSTITUTE(SUBSTITUTE(SUBSTITUTE(IF(OFFSET('(2)出場選手'!$B$2,$A452,L$1)="",'(1)鑑'!$E$8,OFFSET('(2)出場選手'!$B$2,$A452,L$1)),"県",""),"府",""),"東京都","東京"))</f>
        <v/>
      </c>
      <c r="M452" s="57" t="str">
        <f ca="1">IF($D452="","",IF(OFFSET('(2)出場選手'!$B$2,$A452,M$1)="","",OFFSET('(2)出場選手'!$B$2,$A452,M$1)))</f>
        <v/>
      </c>
      <c r="N452" s="26" t="str">
        <f ca="1">IF($D452="","",OFFSET('(2)出場選手'!$B$2,$A452,N$1+3*$B452))</f>
        <v/>
      </c>
      <c r="O452" s="26" t="str">
        <f ca="1">IF($D452="","",IF(OFFSET('(2)出場選手'!$B$2,$A452,O$1+3*$B452)="","",OFFSET('(2)出場選手'!$B$2,$A452,O$1+3*$B452)))</f>
        <v/>
      </c>
      <c r="P452" s="26" t="str">
        <f ca="1">IF($D452="","",IF(OFFSET('(2)出場選手'!$B$2,$A452,P$1+3*$B452)="","",OFFSET('(2)出場選手'!$B$2,$A452,P$1+3*$B452)))</f>
        <v/>
      </c>
      <c r="Q452" s="43" t="str">
        <f ca="1">IF(D452="","",VLOOKUP(N452,OFFSET(Competition_Events,0,1),11,FALSE)*IF($S452="リレー",IF(COUNTIF($T$3:$T452,$T452)&gt;1,0,1),1))</f>
        <v/>
      </c>
      <c r="R452" s="26" t="str">
        <f t="shared" ca="1" si="33"/>
        <v/>
      </c>
      <c r="S452" s="26" t="str">
        <f t="shared" ca="1" si="34"/>
        <v/>
      </c>
      <c r="T452" s="26" t="str">
        <f t="shared" ca="1" si="35"/>
        <v/>
      </c>
      <c r="U452" s="26" t="str">
        <f t="shared" ca="1" si="31"/>
        <v/>
      </c>
      <c r="W452" s="17" t="str">
        <f ca="1">IF($D452="","",OFFSET('(2)出場選手'!$B$2,$A452,W$1))</f>
        <v/>
      </c>
      <c r="X452" s="17" t="str">
        <f ca="1">IF($D452="","",OFFSET('(2)出場選手'!$B$2,$A452,X$1))</f>
        <v/>
      </c>
      <c r="Y452" s="17" t="str">
        <f ca="1">IF($D452="","",OFFSET('(2)出場選手'!$B$2,$A452,Y$1))</f>
        <v/>
      </c>
      <c r="Z452" s="17" t="str">
        <f ca="1">IF($D452="","",OFFSET('(2)出場選手'!$B$2,$A452,Z$1))</f>
        <v/>
      </c>
    </row>
    <row r="453" spans="1:26" x14ac:dyDescent="0.15">
      <c r="A453" s="17">
        <f>TRUNC((ROWS($D$3:D453)-2)/Max_Entry_Count)+1</f>
        <v>150</v>
      </c>
      <c r="B453" s="17" t="str">
        <f ca="1">IF($A453&gt;=ROWS(Entries)-2,"",IF(OFFSET('(2)出場選手'!$B$2,$A453,B$1+3*(MOD(ROWS($D$3:D453)-2,Max_Entry_Count)))="","",MOD(ROWS($D$3:D453)-2,Max_Entry_Count)))</f>
        <v/>
      </c>
      <c r="D453" s="26" t="str">
        <f ca="1">IF(OR($A453&gt;=ROWS(Entries)-2,$B453=""),"",'(1)鑑'!$E$6&amp;"-"&amp;OFFSET('(2)出場選手'!$B$2,$A453,D$1))</f>
        <v/>
      </c>
      <c r="E453" s="26" t="str">
        <f ca="1">IF($D453="","",OFFSET('(2)出場選手'!$B$2,$A453,E$1))</f>
        <v/>
      </c>
      <c r="F453" s="26" t="str">
        <f ca="1">IF($D453="","",IF(OFFSET('(2)出場選手'!$B$2,$A453,F$1)="","",OFFSET('(2)出場選手'!$B$2,$A453,F$1)))</f>
        <v/>
      </c>
      <c r="G453" s="26" t="str">
        <f t="shared" ca="1" si="32"/>
        <v/>
      </c>
      <c r="H453" s="26" t="str">
        <f t="shared" ca="1" si="36"/>
        <v/>
      </c>
      <c r="I453" s="26" t="str">
        <f ca="1">IF($D453="","",IF(OFFSET('(2)出場選手'!$B$2,$A453,I$1)="","",OFFSET('(2)出場選手'!$B$2,$A453,I$1)))</f>
        <v/>
      </c>
      <c r="J453" s="26" t="str">
        <f ca="1">IF($D453="","",IF(OFFSET('(2)出場選手'!$B$2,$A453,J$1)="",'(1)鑑'!$E$6,OFFSET('(2)出場選手'!$B$2,$A453,J$1)))</f>
        <v/>
      </c>
      <c r="K453" s="26" t="str">
        <f ca="1">IF($D453="","",TRIM(ASC(IF(OFFSET('(2)出場選手'!$B$2,$A453,K$1)="",'(1)鑑'!$E$7,OFFSET('(2)出場選手'!$B$2,$A453,K$1)))))</f>
        <v/>
      </c>
      <c r="L453" s="26" t="str">
        <f ca="1">IF($D453="","",SUBSTITUTE(SUBSTITUTE(SUBSTITUTE(IF(OFFSET('(2)出場選手'!$B$2,$A453,L$1)="",'(1)鑑'!$E$8,OFFSET('(2)出場選手'!$B$2,$A453,L$1)),"県",""),"府",""),"東京都","東京"))</f>
        <v/>
      </c>
      <c r="M453" s="57" t="str">
        <f ca="1">IF($D453="","",IF(OFFSET('(2)出場選手'!$B$2,$A453,M$1)="","",OFFSET('(2)出場選手'!$B$2,$A453,M$1)))</f>
        <v/>
      </c>
      <c r="N453" s="26" t="str">
        <f ca="1">IF($D453="","",OFFSET('(2)出場選手'!$B$2,$A453,N$1+3*$B453))</f>
        <v/>
      </c>
      <c r="O453" s="26" t="str">
        <f ca="1">IF($D453="","",IF(OFFSET('(2)出場選手'!$B$2,$A453,O$1+3*$B453)="","",OFFSET('(2)出場選手'!$B$2,$A453,O$1+3*$B453)))</f>
        <v/>
      </c>
      <c r="P453" s="26" t="str">
        <f ca="1">IF($D453="","",IF(OFFSET('(2)出場選手'!$B$2,$A453,P$1+3*$B453)="","",OFFSET('(2)出場選手'!$B$2,$A453,P$1+3*$B453)))</f>
        <v/>
      </c>
      <c r="Q453" s="43" t="str">
        <f ca="1">IF(D453="","",VLOOKUP(N453,OFFSET(Competition_Events,0,1),11,FALSE)*IF($S453="リレー",IF(COUNTIF($T$3:$T453,$T453)&gt;1,0,1),1))</f>
        <v/>
      </c>
      <c r="R453" s="26" t="str">
        <f t="shared" ca="1" si="33"/>
        <v/>
      </c>
      <c r="S453" s="26" t="str">
        <f t="shared" ca="1" si="34"/>
        <v/>
      </c>
      <c r="T453" s="26" t="str">
        <f t="shared" ca="1" si="35"/>
        <v/>
      </c>
      <c r="U453" s="26" t="str">
        <f t="shared" ca="1" si="31"/>
        <v/>
      </c>
      <c r="W453" s="17" t="str">
        <f ca="1">IF($D453="","",OFFSET('(2)出場選手'!$B$2,$A453,W$1))</f>
        <v/>
      </c>
      <c r="X453" s="17" t="str">
        <f ca="1">IF($D453="","",OFFSET('(2)出場選手'!$B$2,$A453,X$1))</f>
        <v/>
      </c>
      <c r="Y453" s="17" t="str">
        <f ca="1">IF($D453="","",OFFSET('(2)出場選手'!$B$2,$A453,Y$1))</f>
        <v/>
      </c>
      <c r="Z453" s="17" t="str">
        <f ca="1">IF($D453="","",OFFSET('(2)出場選手'!$B$2,$A453,Z$1))</f>
        <v/>
      </c>
    </row>
    <row r="454" spans="1:26" x14ac:dyDescent="0.15">
      <c r="A454" s="17">
        <f>TRUNC((ROWS($D$3:D454)-2)/Max_Entry_Count)+1</f>
        <v>151</v>
      </c>
      <c r="B454" s="17" t="str">
        <f ca="1">IF($A454&gt;=ROWS(Entries)-2,"",IF(OFFSET('(2)出場選手'!$B$2,$A454,B$1+3*(MOD(ROWS($D$3:D454)-2,Max_Entry_Count)))="","",MOD(ROWS($D$3:D454)-2,Max_Entry_Count)))</f>
        <v/>
      </c>
      <c r="D454" s="26" t="str">
        <f ca="1">IF(OR($A454&gt;=ROWS(Entries)-2,$B454=""),"",'(1)鑑'!$E$6&amp;"-"&amp;OFFSET('(2)出場選手'!$B$2,$A454,D$1))</f>
        <v/>
      </c>
      <c r="E454" s="26" t="str">
        <f ca="1">IF($D454="","",OFFSET('(2)出場選手'!$B$2,$A454,E$1))</f>
        <v/>
      </c>
      <c r="F454" s="26" t="str">
        <f ca="1">IF($D454="","",IF(OFFSET('(2)出場選手'!$B$2,$A454,F$1)="","",OFFSET('(2)出場選手'!$B$2,$A454,F$1)))</f>
        <v/>
      </c>
      <c r="G454" s="26" t="str">
        <f t="shared" ca="1" si="32"/>
        <v/>
      </c>
      <c r="H454" s="26" t="str">
        <f t="shared" ca="1" si="36"/>
        <v/>
      </c>
      <c r="I454" s="26" t="str">
        <f ca="1">IF($D454="","",IF(OFFSET('(2)出場選手'!$B$2,$A454,I$1)="","",OFFSET('(2)出場選手'!$B$2,$A454,I$1)))</f>
        <v/>
      </c>
      <c r="J454" s="26" t="str">
        <f ca="1">IF($D454="","",IF(OFFSET('(2)出場選手'!$B$2,$A454,J$1)="",'(1)鑑'!$E$6,OFFSET('(2)出場選手'!$B$2,$A454,J$1)))</f>
        <v/>
      </c>
      <c r="K454" s="26" t="str">
        <f ca="1">IF($D454="","",TRIM(ASC(IF(OFFSET('(2)出場選手'!$B$2,$A454,K$1)="",'(1)鑑'!$E$7,OFFSET('(2)出場選手'!$B$2,$A454,K$1)))))</f>
        <v/>
      </c>
      <c r="L454" s="26" t="str">
        <f ca="1">IF($D454="","",SUBSTITUTE(SUBSTITUTE(SUBSTITUTE(IF(OFFSET('(2)出場選手'!$B$2,$A454,L$1)="",'(1)鑑'!$E$8,OFFSET('(2)出場選手'!$B$2,$A454,L$1)),"県",""),"府",""),"東京都","東京"))</f>
        <v/>
      </c>
      <c r="M454" s="57" t="str">
        <f ca="1">IF($D454="","",IF(OFFSET('(2)出場選手'!$B$2,$A454,M$1)="","",OFFSET('(2)出場選手'!$B$2,$A454,M$1)))</f>
        <v/>
      </c>
      <c r="N454" s="26" t="str">
        <f ca="1">IF($D454="","",OFFSET('(2)出場選手'!$B$2,$A454,N$1+3*$B454))</f>
        <v/>
      </c>
      <c r="O454" s="26" t="str">
        <f ca="1">IF($D454="","",IF(OFFSET('(2)出場選手'!$B$2,$A454,O$1+3*$B454)="","",OFFSET('(2)出場選手'!$B$2,$A454,O$1+3*$B454)))</f>
        <v/>
      </c>
      <c r="P454" s="26" t="str">
        <f ca="1">IF($D454="","",IF(OFFSET('(2)出場選手'!$B$2,$A454,P$1+3*$B454)="","",OFFSET('(2)出場選手'!$B$2,$A454,P$1+3*$B454)))</f>
        <v/>
      </c>
      <c r="Q454" s="43" t="str">
        <f ca="1">IF(D454="","",VLOOKUP(N454,OFFSET(Competition_Events,0,1),11,FALSE)*IF($S454="リレー",IF(COUNTIF($T$3:$T454,$T454)&gt;1,0,1),1))</f>
        <v/>
      </c>
      <c r="R454" s="26" t="str">
        <f t="shared" ca="1" si="33"/>
        <v/>
      </c>
      <c r="S454" s="26" t="str">
        <f t="shared" ca="1" si="34"/>
        <v/>
      </c>
      <c r="T454" s="26" t="str">
        <f t="shared" ca="1" si="35"/>
        <v/>
      </c>
      <c r="U454" s="26" t="str">
        <f t="shared" ca="1" si="31"/>
        <v/>
      </c>
      <c r="W454" s="17" t="str">
        <f ca="1">IF($D454="","",OFFSET('(2)出場選手'!$B$2,$A454,W$1))</f>
        <v/>
      </c>
      <c r="X454" s="17" t="str">
        <f ca="1">IF($D454="","",OFFSET('(2)出場選手'!$B$2,$A454,X$1))</f>
        <v/>
      </c>
      <c r="Y454" s="17" t="str">
        <f ca="1">IF($D454="","",OFFSET('(2)出場選手'!$B$2,$A454,Y$1))</f>
        <v/>
      </c>
      <c r="Z454" s="17" t="str">
        <f ca="1">IF($D454="","",OFFSET('(2)出場選手'!$B$2,$A454,Z$1))</f>
        <v/>
      </c>
    </row>
    <row r="455" spans="1:26" x14ac:dyDescent="0.15">
      <c r="A455" s="17">
        <f>TRUNC((ROWS($D$3:D455)-2)/Max_Entry_Count)+1</f>
        <v>151</v>
      </c>
      <c r="B455" s="17" t="str">
        <f ca="1">IF($A455&gt;=ROWS(Entries)-2,"",IF(OFFSET('(2)出場選手'!$B$2,$A455,B$1+3*(MOD(ROWS($D$3:D455)-2,Max_Entry_Count)))="","",MOD(ROWS($D$3:D455)-2,Max_Entry_Count)))</f>
        <v/>
      </c>
      <c r="D455" s="26" t="str">
        <f ca="1">IF(OR($A455&gt;=ROWS(Entries)-2,$B455=""),"",'(1)鑑'!$E$6&amp;"-"&amp;OFFSET('(2)出場選手'!$B$2,$A455,D$1))</f>
        <v/>
      </c>
      <c r="E455" s="26" t="str">
        <f ca="1">IF($D455="","",OFFSET('(2)出場選手'!$B$2,$A455,E$1))</f>
        <v/>
      </c>
      <c r="F455" s="26" t="str">
        <f ca="1">IF($D455="","",IF(OFFSET('(2)出場選手'!$B$2,$A455,F$1)="","",OFFSET('(2)出場選手'!$B$2,$A455,F$1)))</f>
        <v/>
      </c>
      <c r="G455" s="26" t="str">
        <f t="shared" ca="1" si="32"/>
        <v/>
      </c>
      <c r="H455" s="26" t="str">
        <f t="shared" ca="1" si="36"/>
        <v/>
      </c>
      <c r="I455" s="26" t="str">
        <f ca="1">IF($D455="","",IF(OFFSET('(2)出場選手'!$B$2,$A455,I$1)="","",OFFSET('(2)出場選手'!$B$2,$A455,I$1)))</f>
        <v/>
      </c>
      <c r="J455" s="26" t="str">
        <f ca="1">IF($D455="","",IF(OFFSET('(2)出場選手'!$B$2,$A455,J$1)="",'(1)鑑'!$E$6,OFFSET('(2)出場選手'!$B$2,$A455,J$1)))</f>
        <v/>
      </c>
      <c r="K455" s="26" t="str">
        <f ca="1">IF($D455="","",TRIM(ASC(IF(OFFSET('(2)出場選手'!$B$2,$A455,K$1)="",'(1)鑑'!$E$7,OFFSET('(2)出場選手'!$B$2,$A455,K$1)))))</f>
        <v/>
      </c>
      <c r="L455" s="26" t="str">
        <f ca="1">IF($D455="","",SUBSTITUTE(SUBSTITUTE(SUBSTITUTE(IF(OFFSET('(2)出場選手'!$B$2,$A455,L$1)="",'(1)鑑'!$E$8,OFFSET('(2)出場選手'!$B$2,$A455,L$1)),"県",""),"府",""),"東京都","東京"))</f>
        <v/>
      </c>
      <c r="M455" s="57" t="str">
        <f ca="1">IF($D455="","",IF(OFFSET('(2)出場選手'!$B$2,$A455,M$1)="","",OFFSET('(2)出場選手'!$B$2,$A455,M$1)))</f>
        <v/>
      </c>
      <c r="N455" s="26" t="str">
        <f ca="1">IF($D455="","",OFFSET('(2)出場選手'!$B$2,$A455,N$1+3*$B455))</f>
        <v/>
      </c>
      <c r="O455" s="26" t="str">
        <f ca="1">IF($D455="","",IF(OFFSET('(2)出場選手'!$B$2,$A455,O$1+3*$B455)="","",OFFSET('(2)出場選手'!$B$2,$A455,O$1+3*$B455)))</f>
        <v/>
      </c>
      <c r="P455" s="26" t="str">
        <f ca="1">IF($D455="","",IF(OFFSET('(2)出場選手'!$B$2,$A455,P$1+3*$B455)="","",OFFSET('(2)出場選手'!$B$2,$A455,P$1+3*$B455)))</f>
        <v/>
      </c>
      <c r="Q455" s="43" t="str">
        <f ca="1">IF(D455="","",VLOOKUP(N455,OFFSET(Competition_Events,0,1),11,FALSE)*IF($S455="リレー",IF(COUNTIF($T$3:$T455,$T455)&gt;1,0,1),1))</f>
        <v/>
      </c>
      <c r="R455" s="26" t="str">
        <f t="shared" ca="1" si="33"/>
        <v/>
      </c>
      <c r="S455" s="26" t="str">
        <f t="shared" ca="1" si="34"/>
        <v/>
      </c>
      <c r="T455" s="26" t="str">
        <f t="shared" ca="1" si="35"/>
        <v/>
      </c>
      <c r="U455" s="26" t="str">
        <f t="shared" ca="1" si="31"/>
        <v/>
      </c>
      <c r="W455" s="17" t="str">
        <f ca="1">IF($D455="","",OFFSET('(2)出場選手'!$B$2,$A455,W$1))</f>
        <v/>
      </c>
      <c r="X455" s="17" t="str">
        <f ca="1">IF($D455="","",OFFSET('(2)出場選手'!$B$2,$A455,X$1))</f>
        <v/>
      </c>
      <c r="Y455" s="17" t="str">
        <f ca="1">IF($D455="","",OFFSET('(2)出場選手'!$B$2,$A455,Y$1))</f>
        <v/>
      </c>
      <c r="Z455" s="17" t="str">
        <f ca="1">IF($D455="","",OFFSET('(2)出場選手'!$B$2,$A455,Z$1))</f>
        <v/>
      </c>
    </row>
    <row r="456" spans="1:26" x14ac:dyDescent="0.15">
      <c r="A456" s="17">
        <f>TRUNC((ROWS($D$3:D456)-2)/Max_Entry_Count)+1</f>
        <v>151</v>
      </c>
      <c r="B456" s="17" t="str">
        <f ca="1">IF($A456&gt;=ROWS(Entries)-2,"",IF(OFFSET('(2)出場選手'!$B$2,$A456,B$1+3*(MOD(ROWS($D$3:D456)-2,Max_Entry_Count)))="","",MOD(ROWS($D$3:D456)-2,Max_Entry_Count)))</f>
        <v/>
      </c>
      <c r="D456" s="26" t="str">
        <f ca="1">IF(OR($A456&gt;=ROWS(Entries)-2,$B456=""),"",'(1)鑑'!$E$6&amp;"-"&amp;OFFSET('(2)出場選手'!$B$2,$A456,D$1))</f>
        <v/>
      </c>
      <c r="E456" s="26" t="str">
        <f ca="1">IF($D456="","",OFFSET('(2)出場選手'!$B$2,$A456,E$1))</f>
        <v/>
      </c>
      <c r="F456" s="26" t="str">
        <f ca="1">IF($D456="","",IF(OFFSET('(2)出場選手'!$B$2,$A456,F$1)="","",OFFSET('(2)出場選手'!$B$2,$A456,F$1)))</f>
        <v/>
      </c>
      <c r="G456" s="26" t="str">
        <f t="shared" ca="1" si="32"/>
        <v/>
      </c>
      <c r="H456" s="26" t="str">
        <f t="shared" ca="1" si="36"/>
        <v/>
      </c>
      <c r="I456" s="26" t="str">
        <f ca="1">IF($D456="","",IF(OFFSET('(2)出場選手'!$B$2,$A456,I$1)="","",OFFSET('(2)出場選手'!$B$2,$A456,I$1)))</f>
        <v/>
      </c>
      <c r="J456" s="26" t="str">
        <f ca="1">IF($D456="","",IF(OFFSET('(2)出場選手'!$B$2,$A456,J$1)="",'(1)鑑'!$E$6,OFFSET('(2)出場選手'!$B$2,$A456,J$1)))</f>
        <v/>
      </c>
      <c r="K456" s="26" t="str">
        <f ca="1">IF($D456="","",TRIM(ASC(IF(OFFSET('(2)出場選手'!$B$2,$A456,K$1)="",'(1)鑑'!$E$7,OFFSET('(2)出場選手'!$B$2,$A456,K$1)))))</f>
        <v/>
      </c>
      <c r="L456" s="26" t="str">
        <f ca="1">IF($D456="","",SUBSTITUTE(SUBSTITUTE(SUBSTITUTE(IF(OFFSET('(2)出場選手'!$B$2,$A456,L$1)="",'(1)鑑'!$E$8,OFFSET('(2)出場選手'!$B$2,$A456,L$1)),"県",""),"府",""),"東京都","東京"))</f>
        <v/>
      </c>
      <c r="M456" s="57" t="str">
        <f ca="1">IF($D456="","",IF(OFFSET('(2)出場選手'!$B$2,$A456,M$1)="","",OFFSET('(2)出場選手'!$B$2,$A456,M$1)))</f>
        <v/>
      </c>
      <c r="N456" s="26" t="str">
        <f ca="1">IF($D456="","",OFFSET('(2)出場選手'!$B$2,$A456,N$1+3*$B456))</f>
        <v/>
      </c>
      <c r="O456" s="26" t="str">
        <f ca="1">IF($D456="","",IF(OFFSET('(2)出場選手'!$B$2,$A456,O$1+3*$B456)="","",OFFSET('(2)出場選手'!$B$2,$A456,O$1+3*$B456)))</f>
        <v/>
      </c>
      <c r="P456" s="26" t="str">
        <f ca="1">IF($D456="","",IF(OFFSET('(2)出場選手'!$B$2,$A456,P$1+3*$B456)="","",OFFSET('(2)出場選手'!$B$2,$A456,P$1+3*$B456)))</f>
        <v/>
      </c>
      <c r="Q456" s="43" t="str">
        <f ca="1">IF(D456="","",VLOOKUP(N456,OFFSET(Competition_Events,0,1),11,FALSE)*IF($S456="リレー",IF(COUNTIF($T$3:$T456,$T456)&gt;1,0,1),1))</f>
        <v/>
      </c>
      <c r="R456" s="26" t="str">
        <f t="shared" ca="1" si="33"/>
        <v/>
      </c>
      <c r="S456" s="26" t="str">
        <f t="shared" ca="1" si="34"/>
        <v/>
      </c>
      <c r="T456" s="26" t="str">
        <f t="shared" ca="1" si="35"/>
        <v/>
      </c>
      <c r="U456" s="26" t="str">
        <f t="shared" ca="1" si="31"/>
        <v/>
      </c>
      <c r="W456" s="17" t="str">
        <f ca="1">IF($D456="","",OFFSET('(2)出場選手'!$B$2,$A456,W$1))</f>
        <v/>
      </c>
      <c r="X456" s="17" t="str">
        <f ca="1">IF($D456="","",OFFSET('(2)出場選手'!$B$2,$A456,X$1))</f>
        <v/>
      </c>
      <c r="Y456" s="17" t="str">
        <f ca="1">IF($D456="","",OFFSET('(2)出場選手'!$B$2,$A456,Y$1))</f>
        <v/>
      </c>
      <c r="Z456" s="17" t="str">
        <f ca="1">IF($D456="","",OFFSET('(2)出場選手'!$B$2,$A456,Z$1))</f>
        <v/>
      </c>
    </row>
    <row r="457" spans="1:26" x14ac:dyDescent="0.15">
      <c r="A457" s="17">
        <f>TRUNC((ROWS($D$3:D457)-2)/Max_Entry_Count)+1</f>
        <v>152</v>
      </c>
      <c r="B457" s="17" t="str">
        <f ca="1">IF($A457&gt;=ROWS(Entries)-2,"",IF(OFFSET('(2)出場選手'!$B$2,$A457,B$1+3*(MOD(ROWS($D$3:D457)-2,Max_Entry_Count)))="","",MOD(ROWS($D$3:D457)-2,Max_Entry_Count)))</f>
        <v/>
      </c>
      <c r="D457" s="26" t="str">
        <f ca="1">IF(OR($A457&gt;=ROWS(Entries)-2,$B457=""),"",'(1)鑑'!$E$6&amp;"-"&amp;OFFSET('(2)出場選手'!$B$2,$A457,D$1))</f>
        <v/>
      </c>
      <c r="E457" s="26" t="str">
        <f ca="1">IF($D457="","",OFFSET('(2)出場選手'!$B$2,$A457,E$1))</f>
        <v/>
      </c>
      <c r="F457" s="26" t="str">
        <f ca="1">IF($D457="","",IF(OFFSET('(2)出場選手'!$B$2,$A457,F$1)="","",OFFSET('(2)出場選手'!$B$2,$A457,F$1)))</f>
        <v/>
      </c>
      <c r="G457" s="26" t="str">
        <f t="shared" ca="1" si="32"/>
        <v/>
      </c>
      <c r="H457" s="26" t="str">
        <f t="shared" ca="1" si="36"/>
        <v/>
      </c>
      <c r="I457" s="26" t="str">
        <f ca="1">IF($D457="","",IF(OFFSET('(2)出場選手'!$B$2,$A457,I$1)="","",OFFSET('(2)出場選手'!$B$2,$A457,I$1)))</f>
        <v/>
      </c>
      <c r="J457" s="26" t="str">
        <f ca="1">IF($D457="","",IF(OFFSET('(2)出場選手'!$B$2,$A457,J$1)="",'(1)鑑'!$E$6,OFFSET('(2)出場選手'!$B$2,$A457,J$1)))</f>
        <v/>
      </c>
      <c r="K457" s="26" t="str">
        <f ca="1">IF($D457="","",TRIM(ASC(IF(OFFSET('(2)出場選手'!$B$2,$A457,K$1)="",'(1)鑑'!$E$7,OFFSET('(2)出場選手'!$B$2,$A457,K$1)))))</f>
        <v/>
      </c>
      <c r="L457" s="26" t="str">
        <f ca="1">IF($D457="","",SUBSTITUTE(SUBSTITUTE(SUBSTITUTE(IF(OFFSET('(2)出場選手'!$B$2,$A457,L$1)="",'(1)鑑'!$E$8,OFFSET('(2)出場選手'!$B$2,$A457,L$1)),"県",""),"府",""),"東京都","東京"))</f>
        <v/>
      </c>
      <c r="M457" s="57" t="str">
        <f ca="1">IF($D457="","",IF(OFFSET('(2)出場選手'!$B$2,$A457,M$1)="","",OFFSET('(2)出場選手'!$B$2,$A457,M$1)))</f>
        <v/>
      </c>
      <c r="N457" s="26" t="str">
        <f ca="1">IF($D457="","",OFFSET('(2)出場選手'!$B$2,$A457,N$1+3*$B457))</f>
        <v/>
      </c>
      <c r="O457" s="26" t="str">
        <f ca="1">IF($D457="","",IF(OFFSET('(2)出場選手'!$B$2,$A457,O$1+3*$B457)="","",OFFSET('(2)出場選手'!$B$2,$A457,O$1+3*$B457)))</f>
        <v/>
      </c>
      <c r="P457" s="26" t="str">
        <f ca="1">IF($D457="","",IF(OFFSET('(2)出場選手'!$B$2,$A457,P$1+3*$B457)="","",OFFSET('(2)出場選手'!$B$2,$A457,P$1+3*$B457)))</f>
        <v/>
      </c>
      <c r="Q457" s="43" t="str">
        <f ca="1">IF(D457="","",VLOOKUP(N457,OFFSET(Competition_Events,0,1),11,FALSE)*IF($S457="リレー",IF(COUNTIF($T$3:$T457,$T457)&gt;1,0,1),1))</f>
        <v/>
      </c>
      <c r="R457" s="26" t="str">
        <f t="shared" ca="1" si="33"/>
        <v/>
      </c>
      <c r="S457" s="26" t="str">
        <f t="shared" ca="1" si="34"/>
        <v/>
      </c>
      <c r="T457" s="26" t="str">
        <f t="shared" ca="1" si="35"/>
        <v/>
      </c>
      <c r="U457" s="26" t="str">
        <f t="shared" ca="1" si="31"/>
        <v/>
      </c>
      <c r="W457" s="17" t="str">
        <f ca="1">IF($D457="","",OFFSET('(2)出場選手'!$B$2,$A457,W$1))</f>
        <v/>
      </c>
      <c r="X457" s="17" t="str">
        <f ca="1">IF($D457="","",OFFSET('(2)出場選手'!$B$2,$A457,X$1))</f>
        <v/>
      </c>
      <c r="Y457" s="17" t="str">
        <f ca="1">IF($D457="","",OFFSET('(2)出場選手'!$B$2,$A457,Y$1))</f>
        <v/>
      </c>
      <c r="Z457" s="17" t="str">
        <f ca="1">IF($D457="","",OFFSET('(2)出場選手'!$B$2,$A457,Z$1))</f>
        <v/>
      </c>
    </row>
    <row r="458" spans="1:26" x14ac:dyDescent="0.15">
      <c r="A458" s="17">
        <f>TRUNC((ROWS($D$3:D458)-2)/Max_Entry_Count)+1</f>
        <v>152</v>
      </c>
      <c r="B458" s="17" t="str">
        <f ca="1">IF($A458&gt;=ROWS(Entries)-2,"",IF(OFFSET('(2)出場選手'!$B$2,$A458,B$1+3*(MOD(ROWS($D$3:D458)-2,Max_Entry_Count)))="","",MOD(ROWS($D$3:D458)-2,Max_Entry_Count)))</f>
        <v/>
      </c>
      <c r="D458" s="26" t="str">
        <f ca="1">IF(OR($A458&gt;=ROWS(Entries)-2,$B458=""),"",'(1)鑑'!$E$6&amp;"-"&amp;OFFSET('(2)出場選手'!$B$2,$A458,D$1))</f>
        <v/>
      </c>
      <c r="E458" s="26" t="str">
        <f ca="1">IF($D458="","",OFFSET('(2)出場選手'!$B$2,$A458,E$1))</f>
        <v/>
      </c>
      <c r="F458" s="26" t="str">
        <f ca="1">IF($D458="","",IF(OFFSET('(2)出場選手'!$B$2,$A458,F$1)="","",OFFSET('(2)出場選手'!$B$2,$A458,F$1)))</f>
        <v/>
      </c>
      <c r="G458" s="26" t="str">
        <f t="shared" ca="1" si="32"/>
        <v/>
      </c>
      <c r="H458" s="26" t="str">
        <f t="shared" ca="1" si="36"/>
        <v/>
      </c>
      <c r="I458" s="26" t="str">
        <f ca="1">IF($D458="","",IF(OFFSET('(2)出場選手'!$B$2,$A458,I$1)="","",OFFSET('(2)出場選手'!$B$2,$A458,I$1)))</f>
        <v/>
      </c>
      <c r="J458" s="26" t="str">
        <f ca="1">IF($D458="","",IF(OFFSET('(2)出場選手'!$B$2,$A458,J$1)="",'(1)鑑'!$E$6,OFFSET('(2)出場選手'!$B$2,$A458,J$1)))</f>
        <v/>
      </c>
      <c r="K458" s="26" t="str">
        <f ca="1">IF($D458="","",TRIM(ASC(IF(OFFSET('(2)出場選手'!$B$2,$A458,K$1)="",'(1)鑑'!$E$7,OFFSET('(2)出場選手'!$B$2,$A458,K$1)))))</f>
        <v/>
      </c>
      <c r="L458" s="26" t="str">
        <f ca="1">IF($D458="","",SUBSTITUTE(SUBSTITUTE(SUBSTITUTE(IF(OFFSET('(2)出場選手'!$B$2,$A458,L$1)="",'(1)鑑'!$E$8,OFFSET('(2)出場選手'!$B$2,$A458,L$1)),"県",""),"府",""),"東京都","東京"))</f>
        <v/>
      </c>
      <c r="M458" s="57" t="str">
        <f ca="1">IF($D458="","",IF(OFFSET('(2)出場選手'!$B$2,$A458,M$1)="","",OFFSET('(2)出場選手'!$B$2,$A458,M$1)))</f>
        <v/>
      </c>
      <c r="N458" s="26" t="str">
        <f ca="1">IF($D458="","",OFFSET('(2)出場選手'!$B$2,$A458,N$1+3*$B458))</f>
        <v/>
      </c>
      <c r="O458" s="26" t="str">
        <f ca="1">IF($D458="","",IF(OFFSET('(2)出場選手'!$B$2,$A458,O$1+3*$B458)="","",OFFSET('(2)出場選手'!$B$2,$A458,O$1+3*$B458)))</f>
        <v/>
      </c>
      <c r="P458" s="26" t="str">
        <f ca="1">IF($D458="","",IF(OFFSET('(2)出場選手'!$B$2,$A458,P$1+3*$B458)="","",OFFSET('(2)出場選手'!$B$2,$A458,P$1+3*$B458)))</f>
        <v/>
      </c>
      <c r="Q458" s="43" t="str">
        <f ca="1">IF(D458="","",VLOOKUP(N458,OFFSET(Competition_Events,0,1),11,FALSE)*IF($S458="リレー",IF(COUNTIF($T$3:$T458,$T458)&gt;1,0,1),1))</f>
        <v/>
      </c>
      <c r="R458" s="26" t="str">
        <f t="shared" ca="1" si="33"/>
        <v/>
      </c>
      <c r="S458" s="26" t="str">
        <f t="shared" ca="1" si="34"/>
        <v/>
      </c>
      <c r="T458" s="26" t="str">
        <f t="shared" ca="1" si="35"/>
        <v/>
      </c>
      <c r="U458" s="26" t="str">
        <f t="shared" ca="1" si="31"/>
        <v/>
      </c>
      <c r="W458" s="17" t="str">
        <f ca="1">IF($D458="","",OFFSET('(2)出場選手'!$B$2,$A458,W$1))</f>
        <v/>
      </c>
      <c r="X458" s="17" t="str">
        <f ca="1">IF($D458="","",OFFSET('(2)出場選手'!$B$2,$A458,X$1))</f>
        <v/>
      </c>
      <c r="Y458" s="17" t="str">
        <f ca="1">IF($D458="","",OFFSET('(2)出場選手'!$B$2,$A458,Y$1))</f>
        <v/>
      </c>
      <c r="Z458" s="17" t="str">
        <f ca="1">IF($D458="","",OFFSET('(2)出場選手'!$B$2,$A458,Z$1))</f>
        <v/>
      </c>
    </row>
    <row r="459" spans="1:26" x14ac:dyDescent="0.15">
      <c r="A459" s="17">
        <f>TRUNC((ROWS($D$3:D459)-2)/Max_Entry_Count)+1</f>
        <v>152</v>
      </c>
      <c r="B459" s="17" t="str">
        <f ca="1">IF($A459&gt;=ROWS(Entries)-2,"",IF(OFFSET('(2)出場選手'!$B$2,$A459,B$1+3*(MOD(ROWS($D$3:D459)-2,Max_Entry_Count)))="","",MOD(ROWS($D$3:D459)-2,Max_Entry_Count)))</f>
        <v/>
      </c>
      <c r="D459" s="26" t="str">
        <f ca="1">IF(OR($A459&gt;=ROWS(Entries)-2,$B459=""),"",'(1)鑑'!$E$6&amp;"-"&amp;OFFSET('(2)出場選手'!$B$2,$A459,D$1))</f>
        <v/>
      </c>
      <c r="E459" s="26" t="str">
        <f ca="1">IF($D459="","",OFFSET('(2)出場選手'!$B$2,$A459,E$1))</f>
        <v/>
      </c>
      <c r="F459" s="26" t="str">
        <f ca="1">IF($D459="","",IF(OFFSET('(2)出場選手'!$B$2,$A459,F$1)="","",OFFSET('(2)出場選手'!$B$2,$A459,F$1)))</f>
        <v/>
      </c>
      <c r="G459" s="26" t="str">
        <f t="shared" ca="1" si="32"/>
        <v/>
      </c>
      <c r="H459" s="26" t="str">
        <f t="shared" ca="1" si="36"/>
        <v/>
      </c>
      <c r="I459" s="26" t="str">
        <f ca="1">IF($D459="","",IF(OFFSET('(2)出場選手'!$B$2,$A459,I$1)="","",OFFSET('(2)出場選手'!$B$2,$A459,I$1)))</f>
        <v/>
      </c>
      <c r="J459" s="26" t="str">
        <f ca="1">IF($D459="","",IF(OFFSET('(2)出場選手'!$B$2,$A459,J$1)="",'(1)鑑'!$E$6,OFFSET('(2)出場選手'!$B$2,$A459,J$1)))</f>
        <v/>
      </c>
      <c r="K459" s="26" t="str">
        <f ca="1">IF($D459="","",TRIM(ASC(IF(OFFSET('(2)出場選手'!$B$2,$A459,K$1)="",'(1)鑑'!$E$7,OFFSET('(2)出場選手'!$B$2,$A459,K$1)))))</f>
        <v/>
      </c>
      <c r="L459" s="26" t="str">
        <f ca="1">IF($D459="","",SUBSTITUTE(SUBSTITUTE(SUBSTITUTE(IF(OFFSET('(2)出場選手'!$B$2,$A459,L$1)="",'(1)鑑'!$E$8,OFFSET('(2)出場選手'!$B$2,$A459,L$1)),"県",""),"府",""),"東京都","東京"))</f>
        <v/>
      </c>
      <c r="M459" s="57" t="str">
        <f ca="1">IF($D459="","",IF(OFFSET('(2)出場選手'!$B$2,$A459,M$1)="","",OFFSET('(2)出場選手'!$B$2,$A459,M$1)))</f>
        <v/>
      </c>
      <c r="N459" s="26" t="str">
        <f ca="1">IF($D459="","",OFFSET('(2)出場選手'!$B$2,$A459,N$1+3*$B459))</f>
        <v/>
      </c>
      <c r="O459" s="26" t="str">
        <f ca="1">IF($D459="","",IF(OFFSET('(2)出場選手'!$B$2,$A459,O$1+3*$B459)="","",OFFSET('(2)出場選手'!$B$2,$A459,O$1+3*$B459)))</f>
        <v/>
      </c>
      <c r="P459" s="26" t="str">
        <f ca="1">IF($D459="","",IF(OFFSET('(2)出場選手'!$B$2,$A459,P$1+3*$B459)="","",OFFSET('(2)出場選手'!$B$2,$A459,P$1+3*$B459)))</f>
        <v/>
      </c>
      <c r="Q459" s="43" t="str">
        <f ca="1">IF(D459="","",VLOOKUP(N459,OFFSET(Competition_Events,0,1),11,FALSE)*IF($S459="リレー",IF(COUNTIF($T$3:$T459,$T459)&gt;1,0,1),1))</f>
        <v/>
      </c>
      <c r="R459" s="26" t="str">
        <f t="shared" ca="1" si="33"/>
        <v/>
      </c>
      <c r="S459" s="26" t="str">
        <f t="shared" ca="1" si="34"/>
        <v/>
      </c>
      <c r="T459" s="26" t="str">
        <f t="shared" ca="1" si="35"/>
        <v/>
      </c>
      <c r="U459" s="26" t="str">
        <f t="shared" ca="1" si="31"/>
        <v/>
      </c>
      <c r="W459" s="17" t="str">
        <f ca="1">IF($D459="","",OFFSET('(2)出場選手'!$B$2,$A459,W$1))</f>
        <v/>
      </c>
      <c r="X459" s="17" t="str">
        <f ca="1">IF($D459="","",OFFSET('(2)出場選手'!$B$2,$A459,X$1))</f>
        <v/>
      </c>
      <c r="Y459" s="17" t="str">
        <f ca="1">IF($D459="","",OFFSET('(2)出場選手'!$B$2,$A459,Y$1))</f>
        <v/>
      </c>
      <c r="Z459" s="17" t="str">
        <f ca="1">IF($D459="","",OFFSET('(2)出場選手'!$B$2,$A459,Z$1))</f>
        <v/>
      </c>
    </row>
    <row r="460" spans="1:26" x14ac:dyDescent="0.15">
      <c r="A460" s="17">
        <f>TRUNC((ROWS($D$3:D460)-2)/Max_Entry_Count)+1</f>
        <v>153</v>
      </c>
      <c r="B460" s="17" t="str">
        <f ca="1">IF($A460&gt;=ROWS(Entries)-2,"",IF(OFFSET('(2)出場選手'!$B$2,$A460,B$1+3*(MOD(ROWS($D$3:D460)-2,Max_Entry_Count)))="","",MOD(ROWS($D$3:D460)-2,Max_Entry_Count)))</f>
        <v/>
      </c>
      <c r="D460" s="26" t="str">
        <f ca="1">IF(OR($A460&gt;=ROWS(Entries)-2,$B460=""),"",'(1)鑑'!$E$6&amp;"-"&amp;OFFSET('(2)出場選手'!$B$2,$A460,D$1))</f>
        <v/>
      </c>
      <c r="E460" s="26" t="str">
        <f ca="1">IF($D460="","",OFFSET('(2)出場選手'!$B$2,$A460,E$1))</f>
        <v/>
      </c>
      <c r="F460" s="26" t="str">
        <f ca="1">IF($D460="","",IF(OFFSET('(2)出場選手'!$B$2,$A460,F$1)="","",OFFSET('(2)出場選手'!$B$2,$A460,F$1)))</f>
        <v/>
      </c>
      <c r="G460" s="26" t="str">
        <f t="shared" ca="1" si="32"/>
        <v/>
      </c>
      <c r="H460" s="26" t="str">
        <f t="shared" ca="1" si="36"/>
        <v/>
      </c>
      <c r="I460" s="26" t="str">
        <f ca="1">IF($D460="","",IF(OFFSET('(2)出場選手'!$B$2,$A460,I$1)="","",OFFSET('(2)出場選手'!$B$2,$A460,I$1)))</f>
        <v/>
      </c>
      <c r="J460" s="26" t="str">
        <f ca="1">IF($D460="","",IF(OFFSET('(2)出場選手'!$B$2,$A460,J$1)="",'(1)鑑'!$E$6,OFFSET('(2)出場選手'!$B$2,$A460,J$1)))</f>
        <v/>
      </c>
      <c r="K460" s="26" t="str">
        <f ca="1">IF($D460="","",TRIM(ASC(IF(OFFSET('(2)出場選手'!$B$2,$A460,K$1)="",'(1)鑑'!$E$7,OFFSET('(2)出場選手'!$B$2,$A460,K$1)))))</f>
        <v/>
      </c>
      <c r="L460" s="26" t="str">
        <f ca="1">IF($D460="","",SUBSTITUTE(SUBSTITUTE(SUBSTITUTE(IF(OFFSET('(2)出場選手'!$B$2,$A460,L$1)="",'(1)鑑'!$E$8,OFFSET('(2)出場選手'!$B$2,$A460,L$1)),"県",""),"府",""),"東京都","東京"))</f>
        <v/>
      </c>
      <c r="M460" s="57" t="str">
        <f ca="1">IF($D460="","",IF(OFFSET('(2)出場選手'!$B$2,$A460,M$1)="","",OFFSET('(2)出場選手'!$B$2,$A460,M$1)))</f>
        <v/>
      </c>
      <c r="N460" s="26" t="str">
        <f ca="1">IF($D460="","",OFFSET('(2)出場選手'!$B$2,$A460,N$1+3*$B460))</f>
        <v/>
      </c>
      <c r="O460" s="26" t="str">
        <f ca="1">IF($D460="","",IF(OFFSET('(2)出場選手'!$B$2,$A460,O$1+3*$B460)="","",OFFSET('(2)出場選手'!$B$2,$A460,O$1+3*$B460)))</f>
        <v/>
      </c>
      <c r="P460" s="26" t="str">
        <f ca="1">IF($D460="","",IF(OFFSET('(2)出場選手'!$B$2,$A460,P$1+3*$B460)="","",OFFSET('(2)出場選手'!$B$2,$A460,P$1+3*$B460)))</f>
        <v/>
      </c>
      <c r="Q460" s="43" t="str">
        <f ca="1">IF(D460="","",VLOOKUP(N460,OFFSET(Competition_Events,0,1),11,FALSE)*IF($S460="リレー",IF(COUNTIF($T$3:$T460,$T460)&gt;1,0,1),1))</f>
        <v/>
      </c>
      <c r="R460" s="26" t="str">
        <f t="shared" ca="1" si="33"/>
        <v/>
      </c>
      <c r="S460" s="26" t="str">
        <f t="shared" ca="1" si="34"/>
        <v/>
      </c>
      <c r="T460" s="26" t="str">
        <f t="shared" ca="1" si="35"/>
        <v/>
      </c>
      <c r="U460" s="26" t="str">
        <f t="shared" ca="1" si="31"/>
        <v/>
      </c>
      <c r="W460" s="17" t="str">
        <f ca="1">IF($D460="","",OFFSET('(2)出場選手'!$B$2,$A460,W$1))</f>
        <v/>
      </c>
      <c r="X460" s="17" t="str">
        <f ca="1">IF($D460="","",OFFSET('(2)出場選手'!$B$2,$A460,X$1))</f>
        <v/>
      </c>
      <c r="Y460" s="17" t="str">
        <f ca="1">IF($D460="","",OFFSET('(2)出場選手'!$B$2,$A460,Y$1))</f>
        <v/>
      </c>
      <c r="Z460" s="17" t="str">
        <f ca="1">IF($D460="","",OFFSET('(2)出場選手'!$B$2,$A460,Z$1))</f>
        <v/>
      </c>
    </row>
    <row r="461" spans="1:26" x14ac:dyDescent="0.15">
      <c r="A461" s="17">
        <f>TRUNC((ROWS($D$3:D461)-2)/Max_Entry_Count)+1</f>
        <v>153</v>
      </c>
      <c r="B461" s="17" t="str">
        <f ca="1">IF($A461&gt;=ROWS(Entries)-2,"",IF(OFFSET('(2)出場選手'!$B$2,$A461,B$1+3*(MOD(ROWS($D$3:D461)-2,Max_Entry_Count)))="","",MOD(ROWS($D$3:D461)-2,Max_Entry_Count)))</f>
        <v/>
      </c>
      <c r="D461" s="26" t="str">
        <f ca="1">IF(OR($A461&gt;=ROWS(Entries)-2,$B461=""),"",'(1)鑑'!$E$6&amp;"-"&amp;OFFSET('(2)出場選手'!$B$2,$A461,D$1))</f>
        <v/>
      </c>
      <c r="E461" s="26" t="str">
        <f ca="1">IF($D461="","",OFFSET('(2)出場選手'!$B$2,$A461,E$1))</f>
        <v/>
      </c>
      <c r="F461" s="26" t="str">
        <f ca="1">IF($D461="","",IF(OFFSET('(2)出場選手'!$B$2,$A461,F$1)="","",OFFSET('(2)出場選手'!$B$2,$A461,F$1)))</f>
        <v/>
      </c>
      <c r="G461" s="26" t="str">
        <f t="shared" ca="1" si="32"/>
        <v/>
      </c>
      <c r="H461" s="26" t="str">
        <f t="shared" ca="1" si="36"/>
        <v/>
      </c>
      <c r="I461" s="26" t="str">
        <f ca="1">IF($D461="","",IF(OFFSET('(2)出場選手'!$B$2,$A461,I$1)="","",OFFSET('(2)出場選手'!$B$2,$A461,I$1)))</f>
        <v/>
      </c>
      <c r="J461" s="26" t="str">
        <f ca="1">IF($D461="","",IF(OFFSET('(2)出場選手'!$B$2,$A461,J$1)="",'(1)鑑'!$E$6,OFFSET('(2)出場選手'!$B$2,$A461,J$1)))</f>
        <v/>
      </c>
      <c r="K461" s="26" t="str">
        <f ca="1">IF($D461="","",TRIM(ASC(IF(OFFSET('(2)出場選手'!$B$2,$A461,K$1)="",'(1)鑑'!$E$7,OFFSET('(2)出場選手'!$B$2,$A461,K$1)))))</f>
        <v/>
      </c>
      <c r="L461" s="26" t="str">
        <f ca="1">IF($D461="","",SUBSTITUTE(SUBSTITUTE(SUBSTITUTE(IF(OFFSET('(2)出場選手'!$B$2,$A461,L$1)="",'(1)鑑'!$E$8,OFFSET('(2)出場選手'!$B$2,$A461,L$1)),"県",""),"府",""),"東京都","東京"))</f>
        <v/>
      </c>
      <c r="M461" s="57" t="str">
        <f ca="1">IF($D461="","",IF(OFFSET('(2)出場選手'!$B$2,$A461,M$1)="","",OFFSET('(2)出場選手'!$B$2,$A461,M$1)))</f>
        <v/>
      </c>
      <c r="N461" s="26" t="str">
        <f ca="1">IF($D461="","",OFFSET('(2)出場選手'!$B$2,$A461,N$1+3*$B461))</f>
        <v/>
      </c>
      <c r="O461" s="26" t="str">
        <f ca="1">IF($D461="","",IF(OFFSET('(2)出場選手'!$B$2,$A461,O$1+3*$B461)="","",OFFSET('(2)出場選手'!$B$2,$A461,O$1+3*$B461)))</f>
        <v/>
      </c>
      <c r="P461" s="26" t="str">
        <f ca="1">IF($D461="","",IF(OFFSET('(2)出場選手'!$B$2,$A461,P$1+3*$B461)="","",OFFSET('(2)出場選手'!$B$2,$A461,P$1+3*$B461)))</f>
        <v/>
      </c>
      <c r="Q461" s="43" t="str">
        <f ca="1">IF(D461="","",VLOOKUP(N461,OFFSET(Competition_Events,0,1),11,FALSE)*IF($S461="リレー",IF(COUNTIF($T$3:$T461,$T461)&gt;1,0,1),1))</f>
        <v/>
      </c>
      <c r="R461" s="26" t="str">
        <f t="shared" ca="1" si="33"/>
        <v/>
      </c>
      <c r="S461" s="26" t="str">
        <f t="shared" ca="1" si="34"/>
        <v/>
      </c>
      <c r="T461" s="26" t="str">
        <f t="shared" ca="1" si="35"/>
        <v/>
      </c>
      <c r="U461" s="26" t="str">
        <f t="shared" ca="1" si="31"/>
        <v/>
      </c>
      <c r="W461" s="17" t="str">
        <f ca="1">IF($D461="","",OFFSET('(2)出場選手'!$B$2,$A461,W$1))</f>
        <v/>
      </c>
      <c r="X461" s="17" t="str">
        <f ca="1">IF($D461="","",OFFSET('(2)出場選手'!$B$2,$A461,X$1))</f>
        <v/>
      </c>
      <c r="Y461" s="17" t="str">
        <f ca="1">IF($D461="","",OFFSET('(2)出場選手'!$B$2,$A461,Y$1))</f>
        <v/>
      </c>
      <c r="Z461" s="17" t="str">
        <f ca="1">IF($D461="","",OFFSET('(2)出場選手'!$B$2,$A461,Z$1))</f>
        <v/>
      </c>
    </row>
    <row r="462" spans="1:26" x14ac:dyDescent="0.15">
      <c r="A462" s="17">
        <f>TRUNC((ROWS($D$3:D462)-2)/Max_Entry_Count)+1</f>
        <v>153</v>
      </c>
      <c r="B462" s="17" t="str">
        <f ca="1">IF($A462&gt;=ROWS(Entries)-2,"",IF(OFFSET('(2)出場選手'!$B$2,$A462,B$1+3*(MOD(ROWS($D$3:D462)-2,Max_Entry_Count)))="","",MOD(ROWS($D$3:D462)-2,Max_Entry_Count)))</f>
        <v/>
      </c>
      <c r="D462" s="26" t="str">
        <f ca="1">IF(OR($A462&gt;=ROWS(Entries)-2,$B462=""),"",'(1)鑑'!$E$6&amp;"-"&amp;OFFSET('(2)出場選手'!$B$2,$A462,D$1))</f>
        <v/>
      </c>
      <c r="E462" s="26" t="str">
        <f ca="1">IF($D462="","",OFFSET('(2)出場選手'!$B$2,$A462,E$1))</f>
        <v/>
      </c>
      <c r="F462" s="26" t="str">
        <f ca="1">IF($D462="","",IF(OFFSET('(2)出場選手'!$B$2,$A462,F$1)="","",OFFSET('(2)出場選手'!$B$2,$A462,F$1)))</f>
        <v/>
      </c>
      <c r="G462" s="26" t="str">
        <f t="shared" ca="1" si="32"/>
        <v/>
      </c>
      <c r="H462" s="26" t="str">
        <f t="shared" ca="1" si="36"/>
        <v/>
      </c>
      <c r="I462" s="26" t="str">
        <f ca="1">IF($D462="","",IF(OFFSET('(2)出場選手'!$B$2,$A462,I$1)="","",OFFSET('(2)出場選手'!$B$2,$A462,I$1)))</f>
        <v/>
      </c>
      <c r="J462" s="26" t="str">
        <f ca="1">IF($D462="","",IF(OFFSET('(2)出場選手'!$B$2,$A462,J$1)="",'(1)鑑'!$E$6,OFFSET('(2)出場選手'!$B$2,$A462,J$1)))</f>
        <v/>
      </c>
      <c r="K462" s="26" t="str">
        <f ca="1">IF($D462="","",TRIM(ASC(IF(OFFSET('(2)出場選手'!$B$2,$A462,K$1)="",'(1)鑑'!$E$7,OFFSET('(2)出場選手'!$B$2,$A462,K$1)))))</f>
        <v/>
      </c>
      <c r="L462" s="26" t="str">
        <f ca="1">IF($D462="","",SUBSTITUTE(SUBSTITUTE(SUBSTITUTE(IF(OFFSET('(2)出場選手'!$B$2,$A462,L$1)="",'(1)鑑'!$E$8,OFFSET('(2)出場選手'!$B$2,$A462,L$1)),"県",""),"府",""),"東京都","東京"))</f>
        <v/>
      </c>
      <c r="M462" s="57" t="str">
        <f ca="1">IF($D462="","",IF(OFFSET('(2)出場選手'!$B$2,$A462,M$1)="","",OFFSET('(2)出場選手'!$B$2,$A462,M$1)))</f>
        <v/>
      </c>
      <c r="N462" s="26" t="str">
        <f ca="1">IF($D462="","",OFFSET('(2)出場選手'!$B$2,$A462,N$1+3*$B462))</f>
        <v/>
      </c>
      <c r="O462" s="26" t="str">
        <f ca="1">IF($D462="","",IF(OFFSET('(2)出場選手'!$B$2,$A462,O$1+3*$B462)="","",OFFSET('(2)出場選手'!$B$2,$A462,O$1+3*$B462)))</f>
        <v/>
      </c>
      <c r="P462" s="26" t="str">
        <f ca="1">IF($D462="","",IF(OFFSET('(2)出場選手'!$B$2,$A462,P$1+3*$B462)="","",OFFSET('(2)出場選手'!$B$2,$A462,P$1+3*$B462)))</f>
        <v/>
      </c>
      <c r="Q462" s="43" t="str">
        <f ca="1">IF(D462="","",VLOOKUP(N462,OFFSET(Competition_Events,0,1),11,FALSE)*IF($S462="リレー",IF(COUNTIF($T$3:$T462,$T462)&gt;1,0,1),1))</f>
        <v/>
      </c>
      <c r="R462" s="26" t="str">
        <f t="shared" ca="1" si="33"/>
        <v/>
      </c>
      <c r="S462" s="26" t="str">
        <f t="shared" ca="1" si="34"/>
        <v/>
      </c>
      <c r="T462" s="26" t="str">
        <f t="shared" ca="1" si="35"/>
        <v/>
      </c>
      <c r="U462" s="26" t="str">
        <f t="shared" ca="1" si="31"/>
        <v/>
      </c>
      <c r="W462" s="17" t="str">
        <f ca="1">IF($D462="","",OFFSET('(2)出場選手'!$B$2,$A462,W$1))</f>
        <v/>
      </c>
      <c r="X462" s="17" t="str">
        <f ca="1">IF($D462="","",OFFSET('(2)出場選手'!$B$2,$A462,X$1))</f>
        <v/>
      </c>
      <c r="Y462" s="17" t="str">
        <f ca="1">IF($D462="","",OFFSET('(2)出場選手'!$B$2,$A462,Y$1))</f>
        <v/>
      </c>
      <c r="Z462" s="17" t="str">
        <f ca="1">IF($D462="","",OFFSET('(2)出場選手'!$B$2,$A462,Z$1))</f>
        <v/>
      </c>
    </row>
    <row r="463" spans="1:26" x14ac:dyDescent="0.15">
      <c r="A463" s="17">
        <f>TRUNC((ROWS($D$3:D463)-2)/Max_Entry_Count)+1</f>
        <v>154</v>
      </c>
      <c r="B463" s="17" t="str">
        <f ca="1">IF($A463&gt;=ROWS(Entries)-2,"",IF(OFFSET('(2)出場選手'!$B$2,$A463,B$1+3*(MOD(ROWS($D$3:D463)-2,Max_Entry_Count)))="","",MOD(ROWS($D$3:D463)-2,Max_Entry_Count)))</f>
        <v/>
      </c>
      <c r="D463" s="26" t="str">
        <f ca="1">IF(OR($A463&gt;=ROWS(Entries)-2,$B463=""),"",'(1)鑑'!$E$6&amp;"-"&amp;OFFSET('(2)出場選手'!$B$2,$A463,D$1))</f>
        <v/>
      </c>
      <c r="E463" s="26" t="str">
        <f ca="1">IF($D463="","",OFFSET('(2)出場選手'!$B$2,$A463,E$1))</f>
        <v/>
      </c>
      <c r="F463" s="26" t="str">
        <f ca="1">IF($D463="","",IF(OFFSET('(2)出場選手'!$B$2,$A463,F$1)="","",OFFSET('(2)出場選手'!$B$2,$A463,F$1)))</f>
        <v/>
      </c>
      <c r="G463" s="26" t="str">
        <f t="shared" ca="1" si="32"/>
        <v/>
      </c>
      <c r="H463" s="26" t="str">
        <f t="shared" ca="1" si="36"/>
        <v/>
      </c>
      <c r="I463" s="26" t="str">
        <f ca="1">IF($D463="","",IF(OFFSET('(2)出場選手'!$B$2,$A463,I$1)="","",OFFSET('(2)出場選手'!$B$2,$A463,I$1)))</f>
        <v/>
      </c>
      <c r="J463" s="26" t="str">
        <f ca="1">IF($D463="","",IF(OFFSET('(2)出場選手'!$B$2,$A463,J$1)="",'(1)鑑'!$E$6,OFFSET('(2)出場選手'!$B$2,$A463,J$1)))</f>
        <v/>
      </c>
      <c r="K463" s="26" t="str">
        <f ca="1">IF($D463="","",TRIM(ASC(IF(OFFSET('(2)出場選手'!$B$2,$A463,K$1)="",'(1)鑑'!$E$7,OFFSET('(2)出場選手'!$B$2,$A463,K$1)))))</f>
        <v/>
      </c>
      <c r="L463" s="26" t="str">
        <f ca="1">IF($D463="","",SUBSTITUTE(SUBSTITUTE(SUBSTITUTE(IF(OFFSET('(2)出場選手'!$B$2,$A463,L$1)="",'(1)鑑'!$E$8,OFFSET('(2)出場選手'!$B$2,$A463,L$1)),"県",""),"府",""),"東京都","東京"))</f>
        <v/>
      </c>
      <c r="M463" s="57" t="str">
        <f ca="1">IF($D463="","",IF(OFFSET('(2)出場選手'!$B$2,$A463,M$1)="","",OFFSET('(2)出場選手'!$B$2,$A463,M$1)))</f>
        <v/>
      </c>
      <c r="N463" s="26" t="str">
        <f ca="1">IF($D463="","",OFFSET('(2)出場選手'!$B$2,$A463,N$1+3*$B463))</f>
        <v/>
      </c>
      <c r="O463" s="26" t="str">
        <f ca="1">IF($D463="","",IF(OFFSET('(2)出場選手'!$B$2,$A463,O$1+3*$B463)="","",OFFSET('(2)出場選手'!$B$2,$A463,O$1+3*$B463)))</f>
        <v/>
      </c>
      <c r="P463" s="26" t="str">
        <f ca="1">IF($D463="","",IF(OFFSET('(2)出場選手'!$B$2,$A463,P$1+3*$B463)="","",OFFSET('(2)出場選手'!$B$2,$A463,P$1+3*$B463)))</f>
        <v/>
      </c>
      <c r="Q463" s="43" t="str">
        <f ca="1">IF(D463="","",VLOOKUP(N463,OFFSET(Competition_Events,0,1),11,FALSE)*IF($S463="リレー",IF(COUNTIF($T$3:$T463,$T463)&gt;1,0,1),1))</f>
        <v/>
      </c>
      <c r="R463" s="26" t="str">
        <f t="shared" ca="1" si="33"/>
        <v/>
      </c>
      <c r="S463" s="26" t="str">
        <f t="shared" ca="1" si="34"/>
        <v/>
      </c>
      <c r="T463" s="26" t="str">
        <f t="shared" ca="1" si="35"/>
        <v/>
      </c>
      <c r="U463" s="26" t="str">
        <f t="shared" ca="1" si="31"/>
        <v/>
      </c>
      <c r="W463" s="17" t="str">
        <f ca="1">IF($D463="","",OFFSET('(2)出場選手'!$B$2,$A463,W$1))</f>
        <v/>
      </c>
      <c r="X463" s="17" t="str">
        <f ca="1">IF($D463="","",OFFSET('(2)出場選手'!$B$2,$A463,X$1))</f>
        <v/>
      </c>
      <c r="Y463" s="17" t="str">
        <f ca="1">IF($D463="","",OFFSET('(2)出場選手'!$B$2,$A463,Y$1))</f>
        <v/>
      </c>
      <c r="Z463" s="17" t="str">
        <f ca="1">IF($D463="","",OFFSET('(2)出場選手'!$B$2,$A463,Z$1))</f>
        <v/>
      </c>
    </row>
    <row r="464" spans="1:26" x14ac:dyDescent="0.15">
      <c r="A464" s="17">
        <f>TRUNC((ROWS($D$3:D464)-2)/Max_Entry_Count)+1</f>
        <v>154</v>
      </c>
      <c r="B464" s="17" t="str">
        <f ca="1">IF($A464&gt;=ROWS(Entries)-2,"",IF(OFFSET('(2)出場選手'!$B$2,$A464,B$1+3*(MOD(ROWS($D$3:D464)-2,Max_Entry_Count)))="","",MOD(ROWS($D$3:D464)-2,Max_Entry_Count)))</f>
        <v/>
      </c>
      <c r="D464" s="26" t="str">
        <f ca="1">IF(OR($A464&gt;=ROWS(Entries)-2,$B464=""),"",'(1)鑑'!$E$6&amp;"-"&amp;OFFSET('(2)出場選手'!$B$2,$A464,D$1))</f>
        <v/>
      </c>
      <c r="E464" s="26" t="str">
        <f ca="1">IF($D464="","",OFFSET('(2)出場選手'!$B$2,$A464,E$1))</f>
        <v/>
      </c>
      <c r="F464" s="26" t="str">
        <f ca="1">IF($D464="","",IF(OFFSET('(2)出場選手'!$B$2,$A464,F$1)="","",OFFSET('(2)出場選手'!$B$2,$A464,F$1)))</f>
        <v/>
      </c>
      <c r="G464" s="26" t="str">
        <f t="shared" ca="1" si="32"/>
        <v/>
      </c>
      <c r="H464" s="26" t="str">
        <f t="shared" ca="1" si="36"/>
        <v/>
      </c>
      <c r="I464" s="26" t="str">
        <f ca="1">IF($D464="","",IF(OFFSET('(2)出場選手'!$B$2,$A464,I$1)="","",OFFSET('(2)出場選手'!$B$2,$A464,I$1)))</f>
        <v/>
      </c>
      <c r="J464" s="26" t="str">
        <f ca="1">IF($D464="","",IF(OFFSET('(2)出場選手'!$B$2,$A464,J$1)="",'(1)鑑'!$E$6,OFFSET('(2)出場選手'!$B$2,$A464,J$1)))</f>
        <v/>
      </c>
      <c r="K464" s="26" t="str">
        <f ca="1">IF($D464="","",TRIM(ASC(IF(OFFSET('(2)出場選手'!$B$2,$A464,K$1)="",'(1)鑑'!$E$7,OFFSET('(2)出場選手'!$B$2,$A464,K$1)))))</f>
        <v/>
      </c>
      <c r="L464" s="26" t="str">
        <f ca="1">IF($D464="","",SUBSTITUTE(SUBSTITUTE(SUBSTITUTE(IF(OFFSET('(2)出場選手'!$B$2,$A464,L$1)="",'(1)鑑'!$E$8,OFFSET('(2)出場選手'!$B$2,$A464,L$1)),"県",""),"府",""),"東京都","東京"))</f>
        <v/>
      </c>
      <c r="M464" s="57" t="str">
        <f ca="1">IF($D464="","",IF(OFFSET('(2)出場選手'!$B$2,$A464,M$1)="","",OFFSET('(2)出場選手'!$B$2,$A464,M$1)))</f>
        <v/>
      </c>
      <c r="N464" s="26" t="str">
        <f ca="1">IF($D464="","",OFFSET('(2)出場選手'!$B$2,$A464,N$1+3*$B464))</f>
        <v/>
      </c>
      <c r="O464" s="26" t="str">
        <f ca="1">IF($D464="","",IF(OFFSET('(2)出場選手'!$B$2,$A464,O$1+3*$B464)="","",OFFSET('(2)出場選手'!$B$2,$A464,O$1+3*$B464)))</f>
        <v/>
      </c>
      <c r="P464" s="26" t="str">
        <f ca="1">IF($D464="","",IF(OFFSET('(2)出場選手'!$B$2,$A464,P$1+3*$B464)="","",OFFSET('(2)出場選手'!$B$2,$A464,P$1+3*$B464)))</f>
        <v/>
      </c>
      <c r="Q464" s="43" t="str">
        <f ca="1">IF(D464="","",VLOOKUP(N464,OFFSET(Competition_Events,0,1),11,FALSE)*IF($S464="リレー",IF(COUNTIF($T$3:$T464,$T464)&gt;1,0,1),1))</f>
        <v/>
      </c>
      <c r="R464" s="26" t="str">
        <f t="shared" ca="1" si="33"/>
        <v/>
      </c>
      <c r="S464" s="26" t="str">
        <f t="shared" ca="1" si="34"/>
        <v/>
      </c>
      <c r="T464" s="26" t="str">
        <f t="shared" ca="1" si="35"/>
        <v/>
      </c>
      <c r="U464" s="26" t="str">
        <f t="shared" ca="1" si="31"/>
        <v/>
      </c>
      <c r="W464" s="17" t="str">
        <f ca="1">IF($D464="","",OFFSET('(2)出場選手'!$B$2,$A464,W$1))</f>
        <v/>
      </c>
      <c r="X464" s="17" t="str">
        <f ca="1">IF($D464="","",OFFSET('(2)出場選手'!$B$2,$A464,X$1))</f>
        <v/>
      </c>
      <c r="Y464" s="17" t="str">
        <f ca="1">IF($D464="","",OFFSET('(2)出場選手'!$B$2,$A464,Y$1))</f>
        <v/>
      </c>
      <c r="Z464" s="17" t="str">
        <f ca="1">IF($D464="","",OFFSET('(2)出場選手'!$B$2,$A464,Z$1))</f>
        <v/>
      </c>
    </row>
    <row r="465" spans="1:26" x14ac:dyDescent="0.15">
      <c r="A465" s="17">
        <f>TRUNC((ROWS($D$3:D465)-2)/Max_Entry_Count)+1</f>
        <v>154</v>
      </c>
      <c r="B465" s="17" t="str">
        <f ca="1">IF($A465&gt;=ROWS(Entries)-2,"",IF(OFFSET('(2)出場選手'!$B$2,$A465,B$1+3*(MOD(ROWS($D$3:D465)-2,Max_Entry_Count)))="","",MOD(ROWS($D$3:D465)-2,Max_Entry_Count)))</f>
        <v/>
      </c>
      <c r="D465" s="26" t="str">
        <f ca="1">IF(OR($A465&gt;=ROWS(Entries)-2,$B465=""),"",'(1)鑑'!$E$6&amp;"-"&amp;OFFSET('(2)出場選手'!$B$2,$A465,D$1))</f>
        <v/>
      </c>
      <c r="E465" s="26" t="str">
        <f ca="1">IF($D465="","",OFFSET('(2)出場選手'!$B$2,$A465,E$1))</f>
        <v/>
      </c>
      <c r="F465" s="26" t="str">
        <f ca="1">IF($D465="","",IF(OFFSET('(2)出場選手'!$B$2,$A465,F$1)="","",OFFSET('(2)出場選手'!$B$2,$A465,F$1)))</f>
        <v/>
      </c>
      <c r="G465" s="26" t="str">
        <f t="shared" ca="1" si="32"/>
        <v/>
      </c>
      <c r="H465" s="26" t="str">
        <f t="shared" ca="1" si="36"/>
        <v/>
      </c>
      <c r="I465" s="26" t="str">
        <f ca="1">IF($D465="","",IF(OFFSET('(2)出場選手'!$B$2,$A465,I$1)="","",OFFSET('(2)出場選手'!$B$2,$A465,I$1)))</f>
        <v/>
      </c>
      <c r="J465" s="26" t="str">
        <f ca="1">IF($D465="","",IF(OFFSET('(2)出場選手'!$B$2,$A465,J$1)="",'(1)鑑'!$E$6,OFFSET('(2)出場選手'!$B$2,$A465,J$1)))</f>
        <v/>
      </c>
      <c r="K465" s="26" t="str">
        <f ca="1">IF($D465="","",TRIM(ASC(IF(OFFSET('(2)出場選手'!$B$2,$A465,K$1)="",'(1)鑑'!$E$7,OFFSET('(2)出場選手'!$B$2,$A465,K$1)))))</f>
        <v/>
      </c>
      <c r="L465" s="26" t="str">
        <f ca="1">IF($D465="","",SUBSTITUTE(SUBSTITUTE(SUBSTITUTE(IF(OFFSET('(2)出場選手'!$B$2,$A465,L$1)="",'(1)鑑'!$E$8,OFFSET('(2)出場選手'!$B$2,$A465,L$1)),"県",""),"府",""),"東京都","東京"))</f>
        <v/>
      </c>
      <c r="M465" s="57" t="str">
        <f ca="1">IF($D465="","",IF(OFFSET('(2)出場選手'!$B$2,$A465,M$1)="","",OFFSET('(2)出場選手'!$B$2,$A465,M$1)))</f>
        <v/>
      </c>
      <c r="N465" s="26" t="str">
        <f ca="1">IF($D465="","",OFFSET('(2)出場選手'!$B$2,$A465,N$1+3*$B465))</f>
        <v/>
      </c>
      <c r="O465" s="26" t="str">
        <f ca="1">IF($D465="","",IF(OFFSET('(2)出場選手'!$B$2,$A465,O$1+3*$B465)="","",OFFSET('(2)出場選手'!$B$2,$A465,O$1+3*$B465)))</f>
        <v/>
      </c>
      <c r="P465" s="26" t="str">
        <f ca="1">IF($D465="","",IF(OFFSET('(2)出場選手'!$B$2,$A465,P$1+3*$B465)="","",OFFSET('(2)出場選手'!$B$2,$A465,P$1+3*$B465)))</f>
        <v/>
      </c>
      <c r="Q465" s="43" t="str">
        <f ca="1">IF(D465="","",VLOOKUP(N465,OFFSET(Competition_Events,0,1),11,FALSE)*IF($S465="リレー",IF(COUNTIF($T$3:$T465,$T465)&gt;1,0,1),1))</f>
        <v/>
      </c>
      <c r="R465" s="26" t="str">
        <f t="shared" ca="1" si="33"/>
        <v/>
      </c>
      <c r="S465" s="26" t="str">
        <f t="shared" ca="1" si="34"/>
        <v/>
      </c>
      <c r="T465" s="26" t="str">
        <f t="shared" ca="1" si="35"/>
        <v/>
      </c>
      <c r="U465" s="26" t="str">
        <f t="shared" ca="1" si="31"/>
        <v/>
      </c>
      <c r="W465" s="17" t="str">
        <f ca="1">IF($D465="","",OFFSET('(2)出場選手'!$B$2,$A465,W$1))</f>
        <v/>
      </c>
      <c r="X465" s="17" t="str">
        <f ca="1">IF($D465="","",OFFSET('(2)出場選手'!$B$2,$A465,X$1))</f>
        <v/>
      </c>
      <c r="Y465" s="17" t="str">
        <f ca="1">IF($D465="","",OFFSET('(2)出場選手'!$B$2,$A465,Y$1))</f>
        <v/>
      </c>
      <c r="Z465" s="17" t="str">
        <f ca="1">IF($D465="","",OFFSET('(2)出場選手'!$B$2,$A465,Z$1))</f>
        <v/>
      </c>
    </row>
    <row r="466" spans="1:26" x14ac:dyDescent="0.15">
      <c r="A466" s="17">
        <f>TRUNC((ROWS($D$3:D466)-2)/Max_Entry_Count)+1</f>
        <v>155</v>
      </c>
      <c r="B466" s="17" t="str">
        <f ca="1">IF($A466&gt;=ROWS(Entries)-2,"",IF(OFFSET('(2)出場選手'!$B$2,$A466,B$1+3*(MOD(ROWS($D$3:D466)-2,Max_Entry_Count)))="","",MOD(ROWS($D$3:D466)-2,Max_Entry_Count)))</f>
        <v/>
      </c>
      <c r="D466" s="26" t="str">
        <f ca="1">IF(OR($A466&gt;=ROWS(Entries)-2,$B466=""),"",'(1)鑑'!$E$6&amp;"-"&amp;OFFSET('(2)出場選手'!$B$2,$A466,D$1))</f>
        <v/>
      </c>
      <c r="E466" s="26" t="str">
        <f ca="1">IF($D466="","",OFFSET('(2)出場選手'!$B$2,$A466,E$1))</f>
        <v/>
      </c>
      <c r="F466" s="26" t="str">
        <f ca="1">IF($D466="","",IF(OFFSET('(2)出場選手'!$B$2,$A466,F$1)="","",OFFSET('(2)出場選手'!$B$2,$A466,F$1)))</f>
        <v/>
      </c>
      <c r="G466" s="26" t="str">
        <f t="shared" ca="1" si="32"/>
        <v/>
      </c>
      <c r="H466" s="26" t="str">
        <f t="shared" ca="1" si="36"/>
        <v/>
      </c>
      <c r="I466" s="26" t="str">
        <f ca="1">IF($D466="","",IF(OFFSET('(2)出場選手'!$B$2,$A466,I$1)="","",OFFSET('(2)出場選手'!$B$2,$A466,I$1)))</f>
        <v/>
      </c>
      <c r="J466" s="26" t="str">
        <f ca="1">IF($D466="","",IF(OFFSET('(2)出場選手'!$B$2,$A466,J$1)="",'(1)鑑'!$E$6,OFFSET('(2)出場選手'!$B$2,$A466,J$1)))</f>
        <v/>
      </c>
      <c r="K466" s="26" t="str">
        <f ca="1">IF($D466="","",TRIM(ASC(IF(OFFSET('(2)出場選手'!$B$2,$A466,K$1)="",'(1)鑑'!$E$7,OFFSET('(2)出場選手'!$B$2,$A466,K$1)))))</f>
        <v/>
      </c>
      <c r="L466" s="26" t="str">
        <f ca="1">IF($D466="","",SUBSTITUTE(SUBSTITUTE(SUBSTITUTE(IF(OFFSET('(2)出場選手'!$B$2,$A466,L$1)="",'(1)鑑'!$E$8,OFFSET('(2)出場選手'!$B$2,$A466,L$1)),"県",""),"府",""),"東京都","東京"))</f>
        <v/>
      </c>
      <c r="M466" s="57" t="str">
        <f ca="1">IF($D466="","",IF(OFFSET('(2)出場選手'!$B$2,$A466,M$1)="","",OFFSET('(2)出場選手'!$B$2,$A466,M$1)))</f>
        <v/>
      </c>
      <c r="N466" s="26" t="str">
        <f ca="1">IF($D466="","",OFFSET('(2)出場選手'!$B$2,$A466,N$1+3*$B466))</f>
        <v/>
      </c>
      <c r="O466" s="26" t="str">
        <f ca="1">IF($D466="","",IF(OFFSET('(2)出場選手'!$B$2,$A466,O$1+3*$B466)="","",OFFSET('(2)出場選手'!$B$2,$A466,O$1+3*$B466)))</f>
        <v/>
      </c>
      <c r="P466" s="26" t="str">
        <f ca="1">IF($D466="","",IF(OFFSET('(2)出場選手'!$B$2,$A466,P$1+3*$B466)="","",OFFSET('(2)出場選手'!$B$2,$A466,P$1+3*$B466)))</f>
        <v/>
      </c>
      <c r="Q466" s="43" t="str">
        <f ca="1">IF(D466="","",VLOOKUP(N466,OFFSET(Competition_Events,0,1),11,FALSE)*IF($S466="リレー",IF(COUNTIF($T$3:$T466,$T466)&gt;1,0,1),1))</f>
        <v/>
      </c>
      <c r="R466" s="26" t="str">
        <f t="shared" ca="1" si="33"/>
        <v/>
      </c>
      <c r="S466" s="26" t="str">
        <f t="shared" ca="1" si="34"/>
        <v/>
      </c>
      <c r="T466" s="26" t="str">
        <f t="shared" ca="1" si="35"/>
        <v/>
      </c>
      <c r="U466" s="26" t="str">
        <f t="shared" ca="1" si="31"/>
        <v/>
      </c>
      <c r="W466" s="17" t="str">
        <f ca="1">IF($D466="","",OFFSET('(2)出場選手'!$B$2,$A466,W$1))</f>
        <v/>
      </c>
      <c r="X466" s="17" t="str">
        <f ca="1">IF($D466="","",OFFSET('(2)出場選手'!$B$2,$A466,X$1))</f>
        <v/>
      </c>
      <c r="Y466" s="17" t="str">
        <f ca="1">IF($D466="","",OFFSET('(2)出場選手'!$B$2,$A466,Y$1))</f>
        <v/>
      </c>
      <c r="Z466" s="17" t="str">
        <f ca="1">IF($D466="","",OFFSET('(2)出場選手'!$B$2,$A466,Z$1))</f>
        <v/>
      </c>
    </row>
    <row r="467" spans="1:26" x14ac:dyDescent="0.15">
      <c r="A467" s="17">
        <f>TRUNC((ROWS($D$3:D467)-2)/Max_Entry_Count)+1</f>
        <v>155</v>
      </c>
      <c r="B467" s="17" t="str">
        <f ca="1">IF($A467&gt;=ROWS(Entries)-2,"",IF(OFFSET('(2)出場選手'!$B$2,$A467,B$1+3*(MOD(ROWS($D$3:D467)-2,Max_Entry_Count)))="","",MOD(ROWS($D$3:D467)-2,Max_Entry_Count)))</f>
        <v/>
      </c>
      <c r="D467" s="26" t="str">
        <f ca="1">IF(OR($A467&gt;=ROWS(Entries)-2,$B467=""),"",'(1)鑑'!$E$6&amp;"-"&amp;OFFSET('(2)出場選手'!$B$2,$A467,D$1))</f>
        <v/>
      </c>
      <c r="E467" s="26" t="str">
        <f ca="1">IF($D467="","",OFFSET('(2)出場選手'!$B$2,$A467,E$1))</f>
        <v/>
      </c>
      <c r="F467" s="26" t="str">
        <f ca="1">IF($D467="","",IF(OFFSET('(2)出場選手'!$B$2,$A467,F$1)="","",OFFSET('(2)出場選手'!$B$2,$A467,F$1)))</f>
        <v/>
      </c>
      <c r="G467" s="26" t="str">
        <f t="shared" ca="1" si="32"/>
        <v/>
      </c>
      <c r="H467" s="26" t="str">
        <f t="shared" ca="1" si="36"/>
        <v/>
      </c>
      <c r="I467" s="26" t="str">
        <f ca="1">IF($D467="","",IF(OFFSET('(2)出場選手'!$B$2,$A467,I$1)="","",OFFSET('(2)出場選手'!$B$2,$A467,I$1)))</f>
        <v/>
      </c>
      <c r="J467" s="26" t="str">
        <f ca="1">IF($D467="","",IF(OFFSET('(2)出場選手'!$B$2,$A467,J$1)="",'(1)鑑'!$E$6,OFFSET('(2)出場選手'!$B$2,$A467,J$1)))</f>
        <v/>
      </c>
      <c r="K467" s="26" t="str">
        <f ca="1">IF($D467="","",TRIM(ASC(IF(OFFSET('(2)出場選手'!$B$2,$A467,K$1)="",'(1)鑑'!$E$7,OFFSET('(2)出場選手'!$B$2,$A467,K$1)))))</f>
        <v/>
      </c>
      <c r="L467" s="26" t="str">
        <f ca="1">IF($D467="","",SUBSTITUTE(SUBSTITUTE(SUBSTITUTE(IF(OFFSET('(2)出場選手'!$B$2,$A467,L$1)="",'(1)鑑'!$E$8,OFFSET('(2)出場選手'!$B$2,$A467,L$1)),"県",""),"府",""),"東京都","東京"))</f>
        <v/>
      </c>
      <c r="M467" s="57" t="str">
        <f ca="1">IF($D467="","",IF(OFFSET('(2)出場選手'!$B$2,$A467,M$1)="","",OFFSET('(2)出場選手'!$B$2,$A467,M$1)))</f>
        <v/>
      </c>
      <c r="N467" s="26" t="str">
        <f ca="1">IF($D467="","",OFFSET('(2)出場選手'!$B$2,$A467,N$1+3*$B467))</f>
        <v/>
      </c>
      <c r="O467" s="26" t="str">
        <f ca="1">IF($D467="","",IF(OFFSET('(2)出場選手'!$B$2,$A467,O$1+3*$B467)="","",OFFSET('(2)出場選手'!$B$2,$A467,O$1+3*$B467)))</f>
        <v/>
      </c>
      <c r="P467" s="26" t="str">
        <f ca="1">IF($D467="","",IF(OFFSET('(2)出場選手'!$B$2,$A467,P$1+3*$B467)="","",OFFSET('(2)出場選手'!$B$2,$A467,P$1+3*$B467)))</f>
        <v/>
      </c>
      <c r="Q467" s="43" t="str">
        <f ca="1">IF(D467="","",VLOOKUP(N467,OFFSET(Competition_Events,0,1),11,FALSE)*IF($S467="リレー",IF(COUNTIF($T$3:$T467,$T467)&gt;1,0,1),1))</f>
        <v/>
      </c>
      <c r="R467" s="26" t="str">
        <f t="shared" ca="1" si="33"/>
        <v/>
      </c>
      <c r="S467" s="26" t="str">
        <f t="shared" ca="1" si="34"/>
        <v/>
      </c>
      <c r="T467" s="26" t="str">
        <f t="shared" ca="1" si="35"/>
        <v/>
      </c>
      <c r="U467" s="26" t="str">
        <f t="shared" ca="1" si="31"/>
        <v/>
      </c>
      <c r="W467" s="17" t="str">
        <f ca="1">IF($D467="","",OFFSET('(2)出場選手'!$B$2,$A467,W$1))</f>
        <v/>
      </c>
      <c r="X467" s="17" t="str">
        <f ca="1">IF($D467="","",OFFSET('(2)出場選手'!$B$2,$A467,X$1))</f>
        <v/>
      </c>
      <c r="Y467" s="17" t="str">
        <f ca="1">IF($D467="","",OFFSET('(2)出場選手'!$B$2,$A467,Y$1))</f>
        <v/>
      </c>
      <c r="Z467" s="17" t="str">
        <f ca="1">IF($D467="","",OFFSET('(2)出場選手'!$B$2,$A467,Z$1))</f>
        <v/>
      </c>
    </row>
    <row r="468" spans="1:26" x14ac:dyDescent="0.15">
      <c r="A468" s="17">
        <f>TRUNC((ROWS($D$3:D468)-2)/Max_Entry_Count)+1</f>
        <v>155</v>
      </c>
      <c r="B468" s="17" t="str">
        <f ca="1">IF($A468&gt;=ROWS(Entries)-2,"",IF(OFFSET('(2)出場選手'!$B$2,$A468,B$1+3*(MOD(ROWS($D$3:D468)-2,Max_Entry_Count)))="","",MOD(ROWS($D$3:D468)-2,Max_Entry_Count)))</f>
        <v/>
      </c>
      <c r="D468" s="26" t="str">
        <f ca="1">IF(OR($A468&gt;=ROWS(Entries)-2,$B468=""),"",'(1)鑑'!$E$6&amp;"-"&amp;OFFSET('(2)出場選手'!$B$2,$A468,D$1))</f>
        <v/>
      </c>
      <c r="E468" s="26" t="str">
        <f ca="1">IF($D468="","",OFFSET('(2)出場選手'!$B$2,$A468,E$1))</f>
        <v/>
      </c>
      <c r="F468" s="26" t="str">
        <f ca="1">IF($D468="","",IF(OFFSET('(2)出場選手'!$B$2,$A468,F$1)="","",OFFSET('(2)出場選手'!$B$2,$A468,F$1)))</f>
        <v/>
      </c>
      <c r="G468" s="26" t="str">
        <f t="shared" ca="1" si="32"/>
        <v/>
      </c>
      <c r="H468" s="26" t="str">
        <f t="shared" ca="1" si="36"/>
        <v/>
      </c>
      <c r="I468" s="26" t="str">
        <f ca="1">IF($D468="","",IF(OFFSET('(2)出場選手'!$B$2,$A468,I$1)="","",OFFSET('(2)出場選手'!$B$2,$A468,I$1)))</f>
        <v/>
      </c>
      <c r="J468" s="26" t="str">
        <f ca="1">IF($D468="","",IF(OFFSET('(2)出場選手'!$B$2,$A468,J$1)="",'(1)鑑'!$E$6,OFFSET('(2)出場選手'!$B$2,$A468,J$1)))</f>
        <v/>
      </c>
      <c r="K468" s="26" t="str">
        <f ca="1">IF($D468="","",TRIM(ASC(IF(OFFSET('(2)出場選手'!$B$2,$A468,K$1)="",'(1)鑑'!$E$7,OFFSET('(2)出場選手'!$B$2,$A468,K$1)))))</f>
        <v/>
      </c>
      <c r="L468" s="26" t="str">
        <f ca="1">IF($D468="","",SUBSTITUTE(SUBSTITUTE(SUBSTITUTE(IF(OFFSET('(2)出場選手'!$B$2,$A468,L$1)="",'(1)鑑'!$E$8,OFFSET('(2)出場選手'!$B$2,$A468,L$1)),"県",""),"府",""),"東京都","東京"))</f>
        <v/>
      </c>
      <c r="M468" s="57" t="str">
        <f ca="1">IF($D468="","",IF(OFFSET('(2)出場選手'!$B$2,$A468,M$1)="","",OFFSET('(2)出場選手'!$B$2,$A468,M$1)))</f>
        <v/>
      </c>
      <c r="N468" s="26" t="str">
        <f ca="1">IF($D468="","",OFFSET('(2)出場選手'!$B$2,$A468,N$1+3*$B468))</f>
        <v/>
      </c>
      <c r="O468" s="26" t="str">
        <f ca="1">IF($D468="","",IF(OFFSET('(2)出場選手'!$B$2,$A468,O$1+3*$B468)="","",OFFSET('(2)出場選手'!$B$2,$A468,O$1+3*$B468)))</f>
        <v/>
      </c>
      <c r="P468" s="26" t="str">
        <f ca="1">IF($D468="","",IF(OFFSET('(2)出場選手'!$B$2,$A468,P$1+3*$B468)="","",OFFSET('(2)出場選手'!$B$2,$A468,P$1+3*$B468)))</f>
        <v/>
      </c>
      <c r="Q468" s="43" t="str">
        <f ca="1">IF(D468="","",VLOOKUP(N468,OFFSET(Competition_Events,0,1),11,FALSE)*IF($S468="リレー",IF(COUNTIF($T$3:$T468,$T468)&gt;1,0,1),1))</f>
        <v/>
      </c>
      <c r="R468" s="26" t="str">
        <f t="shared" ca="1" si="33"/>
        <v/>
      </c>
      <c r="S468" s="26" t="str">
        <f t="shared" ca="1" si="34"/>
        <v/>
      </c>
      <c r="T468" s="26" t="str">
        <f t="shared" ca="1" si="35"/>
        <v/>
      </c>
      <c r="U468" s="26" t="str">
        <f t="shared" ca="1" si="31"/>
        <v/>
      </c>
      <c r="W468" s="17" t="str">
        <f ca="1">IF($D468="","",OFFSET('(2)出場選手'!$B$2,$A468,W$1))</f>
        <v/>
      </c>
      <c r="X468" s="17" t="str">
        <f ca="1">IF($D468="","",OFFSET('(2)出場選手'!$B$2,$A468,X$1))</f>
        <v/>
      </c>
      <c r="Y468" s="17" t="str">
        <f ca="1">IF($D468="","",OFFSET('(2)出場選手'!$B$2,$A468,Y$1))</f>
        <v/>
      </c>
      <c r="Z468" s="17" t="str">
        <f ca="1">IF($D468="","",OFFSET('(2)出場選手'!$B$2,$A468,Z$1))</f>
        <v/>
      </c>
    </row>
    <row r="469" spans="1:26" x14ac:dyDescent="0.15">
      <c r="A469" s="17">
        <f>TRUNC((ROWS($D$3:D469)-2)/Max_Entry_Count)+1</f>
        <v>156</v>
      </c>
      <c r="B469" s="17" t="str">
        <f ca="1">IF($A469&gt;=ROWS(Entries)-2,"",IF(OFFSET('(2)出場選手'!$B$2,$A469,B$1+3*(MOD(ROWS($D$3:D469)-2,Max_Entry_Count)))="","",MOD(ROWS($D$3:D469)-2,Max_Entry_Count)))</f>
        <v/>
      </c>
      <c r="D469" s="26" t="str">
        <f ca="1">IF(OR($A469&gt;=ROWS(Entries)-2,$B469=""),"",'(1)鑑'!$E$6&amp;"-"&amp;OFFSET('(2)出場選手'!$B$2,$A469,D$1))</f>
        <v/>
      </c>
      <c r="E469" s="26" t="str">
        <f ca="1">IF($D469="","",OFFSET('(2)出場選手'!$B$2,$A469,E$1))</f>
        <v/>
      </c>
      <c r="F469" s="26" t="str">
        <f ca="1">IF($D469="","",IF(OFFSET('(2)出場選手'!$B$2,$A469,F$1)="","",OFFSET('(2)出場選手'!$B$2,$A469,F$1)))</f>
        <v/>
      </c>
      <c r="G469" s="26" t="str">
        <f t="shared" ca="1" si="32"/>
        <v/>
      </c>
      <c r="H469" s="26" t="str">
        <f t="shared" ca="1" si="36"/>
        <v/>
      </c>
      <c r="I469" s="26" t="str">
        <f ca="1">IF($D469="","",IF(OFFSET('(2)出場選手'!$B$2,$A469,I$1)="","",OFFSET('(2)出場選手'!$B$2,$A469,I$1)))</f>
        <v/>
      </c>
      <c r="J469" s="26" t="str">
        <f ca="1">IF($D469="","",IF(OFFSET('(2)出場選手'!$B$2,$A469,J$1)="",'(1)鑑'!$E$6,OFFSET('(2)出場選手'!$B$2,$A469,J$1)))</f>
        <v/>
      </c>
      <c r="K469" s="26" t="str">
        <f ca="1">IF($D469="","",TRIM(ASC(IF(OFFSET('(2)出場選手'!$B$2,$A469,K$1)="",'(1)鑑'!$E$7,OFFSET('(2)出場選手'!$B$2,$A469,K$1)))))</f>
        <v/>
      </c>
      <c r="L469" s="26" t="str">
        <f ca="1">IF($D469="","",SUBSTITUTE(SUBSTITUTE(SUBSTITUTE(IF(OFFSET('(2)出場選手'!$B$2,$A469,L$1)="",'(1)鑑'!$E$8,OFFSET('(2)出場選手'!$B$2,$A469,L$1)),"県",""),"府",""),"東京都","東京"))</f>
        <v/>
      </c>
      <c r="M469" s="57" t="str">
        <f ca="1">IF($D469="","",IF(OFFSET('(2)出場選手'!$B$2,$A469,M$1)="","",OFFSET('(2)出場選手'!$B$2,$A469,M$1)))</f>
        <v/>
      </c>
      <c r="N469" s="26" t="str">
        <f ca="1">IF($D469="","",OFFSET('(2)出場選手'!$B$2,$A469,N$1+3*$B469))</f>
        <v/>
      </c>
      <c r="O469" s="26" t="str">
        <f ca="1">IF($D469="","",IF(OFFSET('(2)出場選手'!$B$2,$A469,O$1+3*$B469)="","",OFFSET('(2)出場選手'!$B$2,$A469,O$1+3*$B469)))</f>
        <v/>
      </c>
      <c r="P469" s="26" t="str">
        <f ca="1">IF($D469="","",IF(OFFSET('(2)出場選手'!$B$2,$A469,P$1+3*$B469)="","",OFFSET('(2)出場選手'!$B$2,$A469,P$1+3*$B469)))</f>
        <v/>
      </c>
      <c r="Q469" s="43" t="str">
        <f ca="1">IF(D469="","",VLOOKUP(N469,OFFSET(Competition_Events,0,1),11,FALSE)*IF($S469="リレー",IF(COUNTIF($T$3:$T469,$T469)&gt;1,0,1),1))</f>
        <v/>
      </c>
      <c r="R469" s="26" t="str">
        <f t="shared" ca="1" si="33"/>
        <v/>
      </c>
      <c r="S469" s="26" t="str">
        <f t="shared" ca="1" si="34"/>
        <v/>
      </c>
      <c r="T469" s="26" t="str">
        <f t="shared" ca="1" si="35"/>
        <v/>
      </c>
      <c r="U469" s="26" t="str">
        <f t="shared" ca="1" si="31"/>
        <v/>
      </c>
      <c r="W469" s="17" t="str">
        <f ca="1">IF($D469="","",OFFSET('(2)出場選手'!$B$2,$A469,W$1))</f>
        <v/>
      </c>
      <c r="X469" s="17" t="str">
        <f ca="1">IF($D469="","",OFFSET('(2)出場選手'!$B$2,$A469,X$1))</f>
        <v/>
      </c>
      <c r="Y469" s="17" t="str">
        <f ca="1">IF($D469="","",OFFSET('(2)出場選手'!$B$2,$A469,Y$1))</f>
        <v/>
      </c>
      <c r="Z469" s="17" t="str">
        <f ca="1">IF($D469="","",OFFSET('(2)出場選手'!$B$2,$A469,Z$1))</f>
        <v/>
      </c>
    </row>
    <row r="470" spans="1:26" x14ac:dyDescent="0.15">
      <c r="A470" s="17">
        <f>TRUNC((ROWS($D$3:D470)-2)/Max_Entry_Count)+1</f>
        <v>156</v>
      </c>
      <c r="B470" s="17" t="str">
        <f ca="1">IF($A470&gt;=ROWS(Entries)-2,"",IF(OFFSET('(2)出場選手'!$B$2,$A470,B$1+3*(MOD(ROWS($D$3:D470)-2,Max_Entry_Count)))="","",MOD(ROWS($D$3:D470)-2,Max_Entry_Count)))</f>
        <v/>
      </c>
      <c r="D470" s="26" t="str">
        <f ca="1">IF(OR($A470&gt;=ROWS(Entries)-2,$B470=""),"",'(1)鑑'!$E$6&amp;"-"&amp;OFFSET('(2)出場選手'!$B$2,$A470,D$1))</f>
        <v/>
      </c>
      <c r="E470" s="26" t="str">
        <f ca="1">IF($D470="","",OFFSET('(2)出場選手'!$B$2,$A470,E$1))</f>
        <v/>
      </c>
      <c r="F470" s="26" t="str">
        <f ca="1">IF($D470="","",IF(OFFSET('(2)出場選手'!$B$2,$A470,F$1)="","",OFFSET('(2)出場選手'!$B$2,$A470,F$1)))</f>
        <v/>
      </c>
      <c r="G470" s="26" t="str">
        <f t="shared" ca="1" si="32"/>
        <v/>
      </c>
      <c r="H470" s="26" t="str">
        <f t="shared" ca="1" si="36"/>
        <v/>
      </c>
      <c r="I470" s="26" t="str">
        <f ca="1">IF($D470="","",IF(OFFSET('(2)出場選手'!$B$2,$A470,I$1)="","",OFFSET('(2)出場選手'!$B$2,$A470,I$1)))</f>
        <v/>
      </c>
      <c r="J470" s="26" t="str">
        <f ca="1">IF($D470="","",IF(OFFSET('(2)出場選手'!$B$2,$A470,J$1)="",'(1)鑑'!$E$6,OFFSET('(2)出場選手'!$B$2,$A470,J$1)))</f>
        <v/>
      </c>
      <c r="K470" s="26" t="str">
        <f ca="1">IF($D470="","",TRIM(ASC(IF(OFFSET('(2)出場選手'!$B$2,$A470,K$1)="",'(1)鑑'!$E$7,OFFSET('(2)出場選手'!$B$2,$A470,K$1)))))</f>
        <v/>
      </c>
      <c r="L470" s="26" t="str">
        <f ca="1">IF($D470="","",SUBSTITUTE(SUBSTITUTE(SUBSTITUTE(IF(OFFSET('(2)出場選手'!$B$2,$A470,L$1)="",'(1)鑑'!$E$8,OFFSET('(2)出場選手'!$B$2,$A470,L$1)),"県",""),"府",""),"東京都","東京"))</f>
        <v/>
      </c>
      <c r="M470" s="57" t="str">
        <f ca="1">IF($D470="","",IF(OFFSET('(2)出場選手'!$B$2,$A470,M$1)="","",OFFSET('(2)出場選手'!$B$2,$A470,M$1)))</f>
        <v/>
      </c>
      <c r="N470" s="26" t="str">
        <f ca="1">IF($D470="","",OFFSET('(2)出場選手'!$B$2,$A470,N$1+3*$B470))</f>
        <v/>
      </c>
      <c r="O470" s="26" t="str">
        <f ca="1">IF($D470="","",IF(OFFSET('(2)出場選手'!$B$2,$A470,O$1+3*$B470)="","",OFFSET('(2)出場選手'!$B$2,$A470,O$1+3*$B470)))</f>
        <v/>
      </c>
      <c r="P470" s="26" t="str">
        <f ca="1">IF($D470="","",IF(OFFSET('(2)出場選手'!$B$2,$A470,P$1+3*$B470)="","",OFFSET('(2)出場選手'!$B$2,$A470,P$1+3*$B470)))</f>
        <v/>
      </c>
      <c r="Q470" s="43" t="str">
        <f ca="1">IF(D470="","",VLOOKUP(N470,OFFSET(Competition_Events,0,1),11,FALSE)*IF($S470="リレー",IF(COUNTIF($T$3:$T470,$T470)&gt;1,0,1),1))</f>
        <v/>
      </c>
      <c r="R470" s="26" t="str">
        <f t="shared" ca="1" si="33"/>
        <v/>
      </c>
      <c r="S470" s="26" t="str">
        <f t="shared" ca="1" si="34"/>
        <v/>
      </c>
      <c r="T470" s="26" t="str">
        <f t="shared" ca="1" si="35"/>
        <v/>
      </c>
      <c r="U470" s="26" t="str">
        <f t="shared" ca="1" si="31"/>
        <v/>
      </c>
      <c r="W470" s="17" t="str">
        <f ca="1">IF($D470="","",OFFSET('(2)出場選手'!$B$2,$A470,W$1))</f>
        <v/>
      </c>
      <c r="X470" s="17" t="str">
        <f ca="1">IF($D470="","",OFFSET('(2)出場選手'!$B$2,$A470,X$1))</f>
        <v/>
      </c>
      <c r="Y470" s="17" t="str">
        <f ca="1">IF($D470="","",OFFSET('(2)出場選手'!$B$2,$A470,Y$1))</f>
        <v/>
      </c>
      <c r="Z470" s="17" t="str">
        <f ca="1">IF($D470="","",OFFSET('(2)出場選手'!$B$2,$A470,Z$1))</f>
        <v/>
      </c>
    </row>
    <row r="471" spans="1:26" x14ac:dyDescent="0.15">
      <c r="A471" s="17">
        <f>TRUNC((ROWS($D$3:D471)-2)/Max_Entry_Count)+1</f>
        <v>156</v>
      </c>
      <c r="B471" s="17" t="str">
        <f ca="1">IF($A471&gt;=ROWS(Entries)-2,"",IF(OFFSET('(2)出場選手'!$B$2,$A471,B$1+3*(MOD(ROWS($D$3:D471)-2,Max_Entry_Count)))="","",MOD(ROWS($D$3:D471)-2,Max_Entry_Count)))</f>
        <v/>
      </c>
      <c r="D471" s="26" t="str">
        <f ca="1">IF(OR($A471&gt;=ROWS(Entries)-2,$B471=""),"",'(1)鑑'!$E$6&amp;"-"&amp;OFFSET('(2)出場選手'!$B$2,$A471,D$1))</f>
        <v/>
      </c>
      <c r="E471" s="26" t="str">
        <f ca="1">IF($D471="","",OFFSET('(2)出場選手'!$B$2,$A471,E$1))</f>
        <v/>
      </c>
      <c r="F471" s="26" t="str">
        <f ca="1">IF($D471="","",IF(OFFSET('(2)出場選手'!$B$2,$A471,F$1)="","",OFFSET('(2)出場選手'!$B$2,$A471,F$1)))</f>
        <v/>
      </c>
      <c r="G471" s="26" t="str">
        <f t="shared" ca="1" si="32"/>
        <v/>
      </c>
      <c r="H471" s="26" t="str">
        <f t="shared" ca="1" si="36"/>
        <v/>
      </c>
      <c r="I471" s="26" t="str">
        <f ca="1">IF($D471="","",IF(OFFSET('(2)出場選手'!$B$2,$A471,I$1)="","",OFFSET('(2)出場選手'!$B$2,$A471,I$1)))</f>
        <v/>
      </c>
      <c r="J471" s="26" t="str">
        <f ca="1">IF($D471="","",IF(OFFSET('(2)出場選手'!$B$2,$A471,J$1)="",'(1)鑑'!$E$6,OFFSET('(2)出場選手'!$B$2,$A471,J$1)))</f>
        <v/>
      </c>
      <c r="K471" s="26" t="str">
        <f ca="1">IF($D471="","",TRIM(ASC(IF(OFFSET('(2)出場選手'!$B$2,$A471,K$1)="",'(1)鑑'!$E$7,OFFSET('(2)出場選手'!$B$2,$A471,K$1)))))</f>
        <v/>
      </c>
      <c r="L471" s="26" t="str">
        <f ca="1">IF($D471="","",SUBSTITUTE(SUBSTITUTE(SUBSTITUTE(IF(OFFSET('(2)出場選手'!$B$2,$A471,L$1)="",'(1)鑑'!$E$8,OFFSET('(2)出場選手'!$B$2,$A471,L$1)),"県",""),"府",""),"東京都","東京"))</f>
        <v/>
      </c>
      <c r="M471" s="57" t="str">
        <f ca="1">IF($D471="","",IF(OFFSET('(2)出場選手'!$B$2,$A471,M$1)="","",OFFSET('(2)出場選手'!$B$2,$A471,M$1)))</f>
        <v/>
      </c>
      <c r="N471" s="26" t="str">
        <f ca="1">IF($D471="","",OFFSET('(2)出場選手'!$B$2,$A471,N$1+3*$B471))</f>
        <v/>
      </c>
      <c r="O471" s="26" t="str">
        <f ca="1">IF($D471="","",IF(OFFSET('(2)出場選手'!$B$2,$A471,O$1+3*$B471)="","",OFFSET('(2)出場選手'!$B$2,$A471,O$1+3*$B471)))</f>
        <v/>
      </c>
      <c r="P471" s="26" t="str">
        <f ca="1">IF($D471="","",IF(OFFSET('(2)出場選手'!$B$2,$A471,P$1+3*$B471)="","",OFFSET('(2)出場選手'!$B$2,$A471,P$1+3*$B471)))</f>
        <v/>
      </c>
      <c r="Q471" s="43" t="str">
        <f ca="1">IF(D471="","",VLOOKUP(N471,OFFSET(Competition_Events,0,1),11,FALSE)*IF($S471="リレー",IF(COUNTIF($T$3:$T471,$T471)&gt;1,0,1),1))</f>
        <v/>
      </c>
      <c r="R471" s="26" t="str">
        <f t="shared" ca="1" si="33"/>
        <v/>
      </c>
      <c r="S471" s="26" t="str">
        <f t="shared" ca="1" si="34"/>
        <v/>
      </c>
      <c r="T471" s="26" t="str">
        <f t="shared" ca="1" si="35"/>
        <v/>
      </c>
      <c r="U471" s="26" t="str">
        <f t="shared" ca="1" si="31"/>
        <v/>
      </c>
      <c r="W471" s="17" t="str">
        <f ca="1">IF($D471="","",OFFSET('(2)出場選手'!$B$2,$A471,W$1))</f>
        <v/>
      </c>
      <c r="X471" s="17" t="str">
        <f ca="1">IF($D471="","",OFFSET('(2)出場選手'!$B$2,$A471,X$1))</f>
        <v/>
      </c>
      <c r="Y471" s="17" t="str">
        <f ca="1">IF($D471="","",OFFSET('(2)出場選手'!$B$2,$A471,Y$1))</f>
        <v/>
      </c>
      <c r="Z471" s="17" t="str">
        <f ca="1">IF($D471="","",OFFSET('(2)出場選手'!$B$2,$A471,Z$1))</f>
        <v/>
      </c>
    </row>
    <row r="472" spans="1:26" x14ac:dyDescent="0.15">
      <c r="A472" s="17">
        <f>TRUNC((ROWS($D$3:D472)-2)/Max_Entry_Count)+1</f>
        <v>157</v>
      </c>
      <c r="B472" s="17" t="str">
        <f ca="1">IF($A472&gt;=ROWS(Entries)-2,"",IF(OFFSET('(2)出場選手'!$B$2,$A472,B$1+3*(MOD(ROWS($D$3:D472)-2,Max_Entry_Count)))="","",MOD(ROWS($D$3:D472)-2,Max_Entry_Count)))</f>
        <v/>
      </c>
      <c r="D472" s="26" t="str">
        <f ca="1">IF(OR($A472&gt;=ROWS(Entries)-2,$B472=""),"",'(1)鑑'!$E$6&amp;"-"&amp;OFFSET('(2)出場選手'!$B$2,$A472,D$1))</f>
        <v/>
      </c>
      <c r="E472" s="26" t="str">
        <f ca="1">IF($D472="","",OFFSET('(2)出場選手'!$B$2,$A472,E$1))</f>
        <v/>
      </c>
      <c r="F472" s="26" t="str">
        <f ca="1">IF($D472="","",IF(OFFSET('(2)出場選手'!$B$2,$A472,F$1)="","",OFFSET('(2)出場選手'!$B$2,$A472,F$1)))</f>
        <v/>
      </c>
      <c r="G472" s="26" t="str">
        <f t="shared" ca="1" si="32"/>
        <v/>
      </c>
      <c r="H472" s="26" t="str">
        <f t="shared" ca="1" si="36"/>
        <v/>
      </c>
      <c r="I472" s="26" t="str">
        <f ca="1">IF($D472="","",IF(OFFSET('(2)出場選手'!$B$2,$A472,I$1)="","",OFFSET('(2)出場選手'!$B$2,$A472,I$1)))</f>
        <v/>
      </c>
      <c r="J472" s="26" t="str">
        <f ca="1">IF($D472="","",IF(OFFSET('(2)出場選手'!$B$2,$A472,J$1)="",'(1)鑑'!$E$6,OFFSET('(2)出場選手'!$B$2,$A472,J$1)))</f>
        <v/>
      </c>
      <c r="K472" s="26" t="str">
        <f ca="1">IF($D472="","",TRIM(ASC(IF(OFFSET('(2)出場選手'!$B$2,$A472,K$1)="",'(1)鑑'!$E$7,OFFSET('(2)出場選手'!$B$2,$A472,K$1)))))</f>
        <v/>
      </c>
      <c r="L472" s="26" t="str">
        <f ca="1">IF($D472="","",SUBSTITUTE(SUBSTITUTE(SUBSTITUTE(IF(OFFSET('(2)出場選手'!$B$2,$A472,L$1)="",'(1)鑑'!$E$8,OFFSET('(2)出場選手'!$B$2,$A472,L$1)),"県",""),"府",""),"東京都","東京"))</f>
        <v/>
      </c>
      <c r="M472" s="57" t="str">
        <f ca="1">IF($D472="","",IF(OFFSET('(2)出場選手'!$B$2,$A472,M$1)="","",OFFSET('(2)出場選手'!$B$2,$A472,M$1)))</f>
        <v/>
      </c>
      <c r="N472" s="26" t="str">
        <f ca="1">IF($D472="","",OFFSET('(2)出場選手'!$B$2,$A472,N$1+3*$B472))</f>
        <v/>
      </c>
      <c r="O472" s="26" t="str">
        <f ca="1">IF($D472="","",IF(OFFSET('(2)出場選手'!$B$2,$A472,O$1+3*$B472)="","",OFFSET('(2)出場選手'!$B$2,$A472,O$1+3*$B472)))</f>
        <v/>
      </c>
      <c r="P472" s="26" t="str">
        <f ca="1">IF($D472="","",IF(OFFSET('(2)出場選手'!$B$2,$A472,P$1+3*$B472)="","",OFFSET('(2)出場選手'!$B$2,$A472,P$1+3*$B472)))</f>
        <v/>
      </c>
      <c r="Q472" s="43" t="str">
        <f ca="1">IF(D472="","",VLOOKUP(N472,OFFSET(Competition_Events,0,1),11,FALSE)*IF($S472="リレー",IF(COUNTIF($T$3:$T472,$T472)&gt;1,0,1),1))</f>
        <v/>
      </c>
      <c r="R472" s="26" t="str">
        <f t="shared" ca="1" si="33"/>
        <v/>
      </c>
      <c r="S472" s="26" t="str">
        <f t="shared" ca="1" si="34"/>
        <v/>
      </c>
      <c r="T472" s="26" t="str">
        <f t="shared" ca="1" si="35"/>
        <v/>
      </c>
      <c r="U472" s="26" t="str">
        <f t="shared" ca="1" si="31"/>
        <v/>
      </c>
      <c r="W472" s="17" t="str">
        <f ca="1">IF($D472="","",OFFSET('(2)出場選手'!$B$2,$A472,W$1))</f>
        <v/>
      </c>
      <c r="X472" s="17" t="str">
        <f ca="1">IF($D472="","",OFFSET('(2)出場選手'!$B$2,$A472,X$1))</f>
        <v/>
      </c>
      <c r="Y472" s="17" t="str">
        <f ca="1">IF($D472="","",OFFSET('(2)出場選手'!$B$2,$A472,Y$1))</f>
        <v/>
      </c>
      <c r="Z472" s="17" t="str">
        <f ca="1">IF($D472="","",OFFSET('(2)出場選手'!$B$2,$A472,Z$1))</f>
        <v/>
      </c>
    </row>
    <row r="473" spans="1:26" x14ac:dyDescent="0.15">
      <c r="A473" s="17">
        <f>TRUNC((ROWS($D$3:D473)-2)/Max_Entry_Count)+1</f>
        <v>157</v>
      </c>
      <c r="B473" s="17" t="str">
        <f ca="1">IF($A473&gt;=ROWS(Entries)-2,"",IF(OFFSET('(2)出場選手'!$B$2,$A473,B$1+3*(MOD(ROWS($D$3:D473)-2,Max_Entry_Count)))="","",MOD(ROWS($D$3:D473)-2,Max_Entry_Count)))</f>
        <v/>
      </c>
      <c r="D473" s="26" t="str">
        <f ca="1">IF(OR($A473&gt;=ROWS(Entries)-2,$B473=""),"",'(1)鑑'!$E$6&amp;"-"&amp;OFFSET('(2)出場選手'!$B$2,$A473,D$1))</f>
        <v/>
      </c>
      <c r="E473" s="26" t="str">
        <f ca="1">IF($D473="","",OFFSET('(2)出場選手'!$B$2,$A473,E$1))</f>
        <v/>
      </c>
      <c r="F473" s="26" t="str">
        <f ca="1">IF($D473="","",IF(OFFSET('(2)出場選手'!$B$2,$A473,F$1)="","",OFFSET('(2)出場選手'!$B$2,$A473,F$1)))</f>
        <v/>
      </c>
      <c r="G473" s="26" t="str">
        <f t="shared" ca="1" si="32"/>
        <v/>
      </c>
      <c r="H473" s="26" t="str">
        <f t="shared" ca="1" si="36"/>
        <v/>
      </c>
      <c r="I473" s="26" t="str">
        <f ca="1">IF($D473="","",IF(OFFSET('(2)出場選手'!$B$2,$A473,I$1)="","",OFFSET('(2)出場選手'!$B$2,$A473,I$1)))</f>
        <v/>
      </c>
      <c r="J473" s="26" t="str">
        <f ca="1">IF($D473="","",IF(OFFSET('(2)出場選手'!$B$2,$A473,J$1)="",'(1)鑑'!$E$6,OFFSET('(2)出場選手'!$B$2,$A473,J$1)))</f>
        <v/>
      </c>
      <c r="K473" s="26" t="str">
        <f ca="1">IF($D473="","",TRIM(ASC(IF(OFFSET('(2)出場選手'!$B$2,$A473,K$1)="",'(1)鑑'!$E$7,OFFSET('(2)出場選手'!$B$2,$A473,K$1)))))</f>
        <v/>
      </c>
      <c r="L473" s="26" t="str">
        <f ca="1">IF($D473="","",SUBSTITUTE(SUBSTITUTE(SUBSTITUTE(IF(OFFSET('(2)出場選手'!$B$2,$A473,L$1)="",'(1)鑑'!$E$8,OFFSET('(2)出場選手'!$B$2,$A473,L$1)),"県",""),"府",""),"東京都","東京"))</f>
        <v/>
      </c>
      <c r="M473" s="57" t="str">
        <f ca="1">IF($D473="","",IF(OFFSET('(2)出場選手'!$B$2,$A473,M$1)="","",OFFSET('(2)出場選手'!$B$2,$A473,M$1)))</f>
        <v/>
      </c>
      <c r="N473" s="26" t="str">
        <f ca="1">IF($D473="","",OFFSET('(2)出場選手'!$B$2,$A473,N$1+3*$B473))</f>
        <v/>
      </c>
      <c r="O473" s="26" t="str">
        <f ca="1">IF($D473="","",IF(OFFSET('(2)出場選手'!$B$2,$A473,O$1+3*$B473)="","",OFFSET('(2)出場選手'!$B$2,$A473,O$1+3*$B473)))</f>
        <v/>
      </c>
      <c r="P473" s="26" t="str">
        <f ca="1">IF($D473="","",IF(OFFSET('(2)出場選手'!$B$2,$A473,P$1+3*$B473)="","",OFFSET('(2)出場選手'!$B$2,$A473,P$1+3*$B473)))</f>
        <v/>
      </c>
      <c r="Q473" s="43" t="str">
        <f ca="1">IF(D473="","",VLOOKUP(N473,OFFSET(Competition_Events,0,1),11,FALSE)*IF($S473="リレー",IF(COUNTIF($T$3:$T473,$T473)&gt;1,0,1),1))</f>
        <v/>
      </c>
      <c r="R473" s="26" t="str">
        <f t="shared" ca="1" si="33"/>
        <v/>
      </c>
      <c r="S473" s="26" t="str">
        <f t="shared" ca="1" si="34"/>
        <v/>
      </c>
      <c r="T473" s="26" t="str">
        <f t="shared" ca="1" si="35"/>
        <v/>
      </c>
      <c r="U473" s="26" t="str">
        <f t="shared" ca="1" si="31"/>
        <v/>
      </c>
      <c r="W473" s="17" t="str">
        <f ca="1">IF($D473="","",OFFSET('(2)出場選手'!$B$2,$A473,W$1))</f>
        <v/>
      </c>
      <c r="X473" s="17" t="str">
        <f ca="1">IF($D473="","",OFFSET('(2)出場選手'!$B$2,$A473,X$1))</f>
        <v/>
      </c>
      <c r="Y473" s="17" t="str">
        <f ca="1">IF($D473="","",OFFSET('(2)出場選手'!$B$2,$A473,Y$1))</f>
        <v/>
      </c>
      <c r="Z473" s="17" t="str">
        <f ca="1">IF($D473="","",OFFSET('(2)出場選手'!$B$2,$A473,Z$1))</f>
        <v/>
      </c>
    </row>
    <row r="474" spans="1:26" x14ac:dyDescent="0.15">
      <c r="A474" s="17">
        <f>TRUNC((ROWS($D$3:D474)-2)/Max_Entry_Count)+1</f>
        <v>157</v>
      </c>
      <c r="B474" s="17" t="str">
        <f ca="1">IF($A474&gt;=ROWS(Entries)-2,"",IF(OFFSET('(2)出場選手'!$B$2,$A474,B$1+3*(MOD(ROWS($D$3:D474)-2,Max_Entry_Count)))="","",MOD(ROWS($D$3:D474)-2,Max_Entry_Count)))</f>
        <v/>
      </c>
      <c r="D474" s="26" t="str">
        <f ca="1">IF(OR($A474&gt;=ROWS(Entries)-2,$B474=""),"",'(1)鑑'!$E$6&amp;"-"&amp;OFFSET('(2)出場選手'!$B$2,$A474,D$1))</f>
        <v/>
      </c>
      <c r="E474" s="26" t="str">
        <f ca="1">IF($D474="","",OFFSET('(2)出場選手'!$B$2,$A474,E$1))</f>
        <v/>
      </c>
      <c r="F474" s="26" t="str">
        <f ca="1">IF($D474="","",IF(OFFSET('(2)出場選手'!$B$2,$A474,F$1)="","",OFFSET('(2)出場選手'!$B$2,$A474,F$1)))</f>
        <v/>
      </c>
      <c r="G474" s="26" t="str">
        <f t="shared" ca="1" si="32"/>
        <v/>
      </c>
      <c r="H474" s="26" t="str">
        <f t="shared" ca="1" si="36"/>
        <v/>
      </c>
      <c r="I474" s="26" t="str">
        <f ca="1">IF($D474="","",IF(OFFSET('(2)出場選手'!$B$2,$A474,I$1)="","",OFFSET('(2)出場選手'!$B$2,$A474,I$1)))</f>
        <v/>
      </c>
      <c r="J474" s="26" t="str">
        <f ca="1">IF($D474="","",IF(OFFSET('(2)出場選手'!$B$2,$A474,J$1)="",'(1)鑑'!$E$6,OFFSET('(2)出場選手'!$B$2,$A474,J$1)))</f>
        <v/>
      </c>
      <c r="K474" s="26" t="str">
        <f ca="1">IF($D474="","",TRIM(ASC(IF(OFFSET('(2)出場選手'!$B$2,$A474,K$1)="",'(1)鑑'!$E$7,OFFSET('(2)出場選手'!$B$2,$A474,K$1)))))</f>
        <v/>
      </c>
      <c r="L474" s="26" t="str">
        <f ca="1">IF($D474="","",SUBSTITUTE(SUBSTITUTE(SUBSTITUTE(IF(OFFSET('(2)出場選手'!$B$2,$A474,L$1)="",'(1)鑑'!$E$8,OFFSET('(2)出場選手'!$B$2,$A474,L$1)),"県",""),"府",""),"東京都","東京"))</f>
        <v/>
      </c>
      <c r="M474" s="57" t="str">
        <f ca="1">IF($D474="","",IF(OFFSET('(2)出場選手'!$B$2,$A474,M$1)="","",OFFSET('(2)出場選手'!$B$2,$A474,M$1)))</f>
        <v/>
      </c>
      <c r="N474" s="26" t="str">
        <f ca="1">IF($D474="","",OFFSET('(2)出場選手'!$B$2,$A474,N$1+3*$B474))</f>
        <v/>
      </c>
      <c r="O474" s="26" t="str">
        <f ca="1">IF($D474="","",IF(OFFSET('(2)出場選手'!$B$2,$A474,O$1+3*$B474)="","",OFFSET('(2)出場選手'!$B$2,$A474,O$1+3*$B474)))</f>
        <v/>
      </c>
      <c r="P474" s="26" t="str">
        <f ca="1">IF($D474="","",IF(OFFSET('(2)出場選手'!$B$2,$A474,P$1+3*$B474)="","",OFFSET('(2)出場選手'!$B$2,$A474,P$1+3*$B474)))</f>
        <v/>
      </c>
      <c r="Q474" s="43" t="str">
        <f ca="1">IF(D474="","",VLOOKUP(N474,OFFSET(Competition_Events,0,1),11,FALSE)*IF($S474="リレー",IF(COUNTIF($T$3:$T474,$T474)&gt;1,0,1),1))</f>
        <v/>
      </c>
      <c r="R474" s="26" t="str">
        <f t="shared" ca="1" si="33"/>
        <v/>
      </c>
      <c r="S474" s="26" t="str">
        <f t="shared" ca="1" si="34"/>
        <v/>
      </c>
      <c r="T474" s="26" t="str">
        <f t="shared" ca="1" si="35"/>
        <v/>
      </c>
      <c r="U474" s="26" t="str">
        <f t="shared" ca="1" si="31"/>
        <v/>
      </c>
      <c r="W474" s="17" t="str">
        <f ca="1">IF($D474="","",OFFSET('(2)出場選手'!$B$2,$A474,W$1))</f>
        <v/>
      </c>
      <c r="X474" s="17" t="str">
        <f ca="1">IF($D474="","",OFFSET('(2)出場選手'!$B$2,$A474,X$1))</f>
        <v/>
      </c>
      <c r="Y474" s="17" t="str">
        <f ca="1">IF($D474="","",OFFSET('(2)出場選手'!$B$2,$A474,Y$1))</f>
        <v/>
      </c>
      <c r="Z474" s="17" t="str">
        <f ca="1">IF($D474="","",OFFSET('(2)出場選手'!$B$2,$A474,Z$1))</f>
        <v/>
      </c>
    </row>
    <row r="475" spans="1:26" x14ac:dyDescent="0.15">
      <c r="A475" s="17">
        <f>TRUNC((ROWS($D$3:D475)-2)/Max_Entry_Count)+1</f>
        <v>158</v>
      </c>
      <c r="B475" s="17" t="str">
        <f ca="1">IF($A475&gt;=ROWS(Entries)-2,"",IF(OFFSET('(2)出場選手'!$B$2,$A475,B$1+3*(MOD(ROWS($D$3:D475)-2,Max_Entry_Count)))="","",MOD(ROWS($D$3:D475)-2,Max_Entry_Count)))</f>
        <v/>
      </c>
      <c r="D475" s="26" t="str">
        <f ca="1">IF(OR($A475&gt;=ROWS(Entries)-2,$B475=""),"",'(1)鑑'!$E$6&amp;"-"&amp;OFFSET('(2)出場選手'!$B$2,$A475,D$1))</f>
        <v/>
      </c>
      <c r="E475" s="26" t="str">
        <f ca="1">IF($D475="","",OFFSET('(2)出場選手'!$B$2,$A475,E$1))</f>
        <v/>
      </c>
      <c r="F475" s="26" t="str">
        <f ca="1">IF($D475="","",IF(OFFSET('(2)出場選手'!$B$2,$A475,F$1)="","",OFFSET('(2)出場選手'!$B$2,$A475,F$1)))</f>
        <v/>
      </c>
      <c r="G475" s="26" t="str">
        <f t="shared" ca="1" si="32"/>
        <v/>
      </c>
      <c r="H475" s="26" t="str">
        <f t="shared" ca="1" si="36"/>
        <v/>
      </c>
      <c r="I475" s="26" t="str">
        <f ca="1">IF($D475="","",IF(OFFSET('(2)出場選手'!$B$2,$A475,I$1)="","",OFFSET('(2)出場選手'!$B$2,$A475,I$1)))</f>
        <v/>
      </c>
      <c r="J475" s="26" t="str">
        <f ca="1">IF($D475="","",IF(OFFSET('(2)出場選手'!$B$2,$A475,J$1)="",'(1)鑑'!$E$6,OFFSET('(2)出場選手'!$B$2,$A475,J$1)))</f>
        <v/>
      </c>
      <c r="K475" s="26" t="str">
        <f ca="1">IF($D475="","",TRIM(ASC(IF(OFFSET('(2)出場選手'!$B$2,$A475,K$1)="",'(1)鑑'!$E$7,OFFSET('(2)出場選手'!$B$2,$A475,K$1)))))</f>
        <v/>
      </c>
      <c r="L475" s="26" t="str">
        <f ca="1">IF($D475="","",SUBSTITUTE(SUBSTITUTE(SUBSTITUTE(IF(OFFSET('(2)出場選手'!$B$2,$A475,L$1)="",'(1)鑑'!$E$8,OFFSET('(2)出場選手'!$B$2,$A475,L$1)),"県",""),"府",""),"東京都","東京"))</f>
        <v/>
      </c>
      <c r="M475" s="57" t="str">
        <f ca="1">IF($D475="","",IF(OFFSET('(2)出場選手'!$B$2,$A475,M$1)="","",OFFSET('(2)出場選手'!$B$2,$A475,M$1)))</f>
        <v/>
      </c>
      <c r="N475" s="26" t="str">
        <f ca="1">IF($D475="","",OFFSET('(2)出場選手'!$B$2,$A475,N$1+3*$B475))</f>
        <v/>
      </c>
      <c r="O475" s="26" t="str">
        <f ca="1">IF($D475="","",IF(OFFSET('(2)出場選手'!$B$2,$A475,O$1+3*$B475)="","",OFFSET('(2)出場選手'!$B$2,$A475,O$1+3*$B475)))</f>
        <v/>
      </c>
      <c r="P475" s="26" t="str">
        <f ca="1">IF($D475="","",IF(OFFSET('(2)出場選手'!$B$2,$A475,P$1+3*$B475)="","",OFFSET('(2)出場選手'!$B$2,$A475,P$1+3*$B475)))</f>
        <v/>
      </c>
      <c r="Q475" s="43" t="str">
        <f ca="1">IF(D475="","",VLOOKUP(N475,OFFSET(Competition_Events,0,1),11,FALSE)*IF($S475="リレー",IF(COUNTIF($T$3:$T475,$T475)&gt;1,0,1),1))</f>
        <v/>
      </c>
      <c r="R475" s="26" t="str">
        <f t="shared" ca="1" si="33"/>
        <v/>
      </c>
      <c r="S475" s="26" t="str">
        <f t="shared" ca="1" si="34"/>
        <v/>
      </c>
      <c r="T475" s="26" t="str">
        <f t="shared" ca="1" si="35"/>
        <v/>
      </c>
      <c r="U475" s="26" t="str">
        <f t="shared" ca="1" si="31"/>
        <v/>
      </c>
      <c r="W475" s="17" t="str">
        <f ca="1">IF($D475="","",OFFSET('(2)出場選手'!$B$2,$A475,W$1))</f>
        <v/>
      </c>
      <c r="X475" s="17" t="str">
        <f ca="1">IF($D475="","",OFFSET('(2)出場選手'!$B$2,$A475,X$1))</f>
        <v/>
      </c>
      <c r="Y475" s="17" t="str">
        <f ca="1">IF($D475="","",OFFSET('(2)出場選手'!$B$2,$A475,Y$1))</f>
        <v/>
      </c>
      <c r="Z475" s="17" t="str">
        <f ca="1">IF($D475="","",OFFSET('(2)出場選手'!$B$2,$A475,Z$1))</f>
        <v/>
      </c>
    </row>
    <row r="476" spans="1:26" x14ac:dyDescent="0.15">
      <c r="A476" s="17">
        <f>TRUNC((ROWS($D$3:D476)-2)/Max_Entry_Count)+1</f>
        <v>158</v>
      </c>
      <c r="B476" s="17" t="str">
        <f ca="1">IF($A476&gt;=ROWS(Entries)-2,"",IF(OFFSET('(2)出場選手'!$B$2,$A476,B$1+3*(MOD(ROWS($D$3:D476)-2,Max_Entry_Count)))="","",MOD(ROWS($D$3:D476)-2,Max_Entry_Count)))</f>
        <v/>
      </c>
      <c r="D476" s="26" t="str">
        <f ca="1">IF(OR($A476&gt;=ROWS(Entries)-2,$B476=""),"",'(1)鑑'!$E$6&amp;"-"&amp;OFFSET('(2)出場選手'!$B$2,$A476,D$1))</f>
        <v/>
      </c>
      <c r="E476" s="26" t="str">
        <f ca="1">IF($D476="","",OFFSET('(2)出場選手'!$B$2,$A476,E$1))</f>
        <v/>
      </c>
      <c r="F476" s="26" t="str">
        <f ca="1">IF($D476="","",IF(OFFSET('(2)出場選手'!$B$2,$A476,F$1)="","",OFFSET('(2)出場選手'!$B$2,$A476,F$1)))</f>
        <v/>
      </c>
      <c r="G476" s="26" t="str">
        <f t="shared" ca="1" si="32"/>
        <v/>
      </c>
      <c r="H476" s="26" t="str">
        <f t="shared" ca="1" si="36"/>
        <v/>
      </c>
      <c r="I476" s="26" t="str">
        <f ca="1">IF($D476="","",IF(OFFSET('(2)出場選手'!$B$2,$A476,I$1)="","",OFFSET('(2)出場選手'!$B$2,$A476,I$1)))</f>
        <v/>
      </c>
      <c r="J476" s="26" t="str">
        <f ca="1">IF($D476="","",IF(OFFSET('(2)出場選手'!$B$2,$A476,J$1)="",'(1)鑑'!$E$6,OFFSET('(2)出場選手'!$B$2,$A476,J$1)))</f>
        <v/>
      </c>
      <c r="K476" s="26" t="str">
        <f ca="1">IF($D476="","",TRIM(ASC(IF(OFFSET('(2)出場選手'!$B$2,$A476,K$1)="",'(1)鑑'!$E$7,OFFSET('(2)出場選手'!$B$2,$A476,K$1)))))</f>
        <v/>
      </c>
      <c r="L476" s="26" t="str">
        <f ca="1">IF($D476="","",SUBSTITUTE(SUBSTITUTE(SUBSTITUTE(IF(OFFSET('(2)出場選手'!$B$2,$A476,L$1)="",'(1)鑑'!$E$8,OFFSET('(2)出場選手'!$B$2,$A476,L$1)),"県",""),"府",""),"東京都","東京"))</f>
        <v/>
      </c>
      <c r="M476" s="57" t="str">
        <f ca="1">IF($D476="","",IF(OFFSET('(2)出場選手'!$B$2,$A476,M$1)="","",OFFSET('(2)出場選手'!$B$2,$A476,M$1)))</f>
        <v/>
      </c>
      <c r="N476" s="26" t="str">
        <f ca="1">IF($D476="","",OFFSET('(2)出場選手'!$B$2,$A476,N$1+3*$B476))</f>
        <v/>
      </c>
      <c r="O476" s="26" t="str">
        <f ca="1">IF($D476="","",IF(OFFSET('(2)出場選手'!$B$2,$A476,O$1+3*$B476)="","",OFFSET('(2)出場選手'!$B$2,$A476,O$1+3*$B476)))</f>
        <v/>
      </c>
      <c r="P476" s="26" t="str">
        <f ca="1">IF($D476="","",IF(OFFSET('(2)出場選手'!$B$2,$A476,P$1+3*$B476)="","",OFFSET('(2)出場選手'!$B$2,$A476,P$1+3*$B476)))</f>
        <v/>
      </c>
      <c r="Q476" s="43" t="str">
        <f ca="1">IF(D476="","",VLOOKUP(N476,OFFSET(Competition_Events,0,1),11,FALSE)*IF($S476="リレー",IF(COUNTIF($T$3:$T476,$T476)&gt;1,0,1),1))</f>
        <v/>
      </c>
      <c r="R476" s="26" t="str">
        <f t="shared" ca="1" si="33"/>
        <v/>
      </c>
      <c r="S476" s="26" t="str">
        <f t="shared" ca="1" si="34"/>
        <v/>
      </c>
      <c r="T476" s="26" t="str">
        <f t="shared" ca="1" si="35"/>
        <v/>
      </c>
      <c r="U476" s="26" t="str">
        <f t="shared" ca="1" si="31"/>
        <v/>
      </c>
      <c r="W476" s="17" t="str">
        <f ca="1">IF($D476="","",OFFSET('(2)出場選手'!$B$2,$A476,W$1))</f>
        <v/>
      </c>
      <c r="X476" s="17" t="str">
        <f ca="1">IF($D476="","",OFFSET('(2)出場選手'!$B$2,$A476,X$1))</f>
        <v/>
      </c>
      <c r="Y476" s="17" t="str">
        <f ca="1">IF($D476="","",OFFSET('(2)出場選手'!$B$2,$A476,Y$1))</f>
        <v/>
      </c>
      <c r="Z476" s="17" t="str">
        <f ca="1">IF($D476="","",OFFSET('(2)出場選手'!$B$2,$A476,Z$1))</f>
        <v/>
      </c>
    </row>
    <row r="477" spans="1:26" x14ac:dyDescent="0.15">
      <c r="A477" s="17">
        <f>TRUNC((ROWS($D$3:D477)-2)/Max_Entry_Count)+1</f>
        <v>158</v>
      </c>
      <c r="B477" s="17" t="str">
        <f ca="1">IF($A477&gt;=ROWS(Entries)-2,"",IF(OFFSET('(2)出場選手'!$B$2,$A477,B$1+3*(MOD(ROWS($D$3:D477)-2,Max_Entry_Count)))="","",MOD(ROWS($D$3:D477)-2,Max_Entry_Count)))</f>
        <v/>
      </c>
      <c r="D477" s="26" t="str">
        <f ca="1">IF(OR($A477&gt;=ROWS(Entries)-2,$B477=""),"",'(1)鑑'!$E$6&amp;"-"&amp;OFFSET('(2)出場選手'!$B$2,$A477,D$1))</f>
        <v/>
      </c>
      <c r="E477" s="26" t="str">
        <f ca="1">IF($D477="","",OFFSET('(2)出場選手'!$B$2,$A477,E$1))</f>
        <v/>
      </c>
      <c r="F477" s="26" t="str">
        <f ca="1">IF($D477="","",IF(OFFSET('(2)出場選手'!$B$2,$A477,F$1)="","",OFFSET('(2)出場選手'!$B$2,$A477,F$1)))</f>
        <v/>
      </c>
      <c r="G477" s="26" t="str">
        <f t="shared" ca="1" si="32"/>
        <v/>
      </c>
      <c r="H477" s="26" t="str">
        <f t="shared" ca="1" si="36"/>
        <v/>
      </c>
      <c r="I477" s="26" t="str">
        <f ca="1">IF($D477="","",IF(OFFSET('(2)出場選手'!$B$2,$A477,I$1)="","",OFFSET('(2)出場選手'!$B$2,$A477,I$1)))</f>
        <v/>
      </c>
      <c r="J477" s="26" t="str">
        <f ca="1">IF($D477="","",IF(OFFSET('(2)出場選手'!$B$2,$A477,J$1)="",'(1)鑑'!$E$6,OFFSET('(2)出場選手'!$B$2,$A477,J$1)))</f>
        <v/>
      </c>
      <c r="K477" s="26" t="str">
        <f ca="1">IF($D477="","",TRIM(ASC(IF(OFFSET('(2)出場選手'!$B$2,$A477,K$1)="",'(1)鑑'!$E$7,OFFSET('(2)出場選手'!$B$2,$A477,K$1)))))</f>
        <v/>
      </c>
      <c r="L477" s="26" t="str">
        <f ca="1">IF($D477="","",SUBSTITUTE(SUBSTITUTE(SUBSTITUTE(IF(OFFSET('(2)出場選手'!$B$2,$A477,L$1)="",'(1)鑑'!$E$8,OFFSET('(2)出場選手'!$B$2,$A477,L$1)),"県",""),"府",""),"東京都","東京"))</f>
        <v/>
      </c>
      <c r="M477" s="57" t="str">
        <f ca="1">IF($D477="","",IF(OFFSET('(2)出場選手'!$B$2,$A477,M$1)="","",OFFSET('(2)出場選手'!$B$2,$A477,M$1)))</f>
        <v/>
      </c>
      <c r="N477" s="26" t="str">
        <f ca="1">IF($D477="","",OFFSET('(2)出場選手'!$B$2,$A477,N$1+3*$B477))</f>
        <v/>
      </c>
      <c r="O477" s="26" t="str">
        <f ca="1">IF($D477="","",IF(OFFSET('(2)出場選手'!$B$2,$A477,O$1+3*$B477)="","",OFFSET('(2)出場選手'!$B$2,$A477,O$1+3*$B477)))</f>
        <v/>
      </c>
      <c r="P477" s="26" t="str">
        <f ca="1">IF($D477="","",IF(OFFSET('(2)出場選手'!$B$2,$A477,P$1+3*$B477)="","",OFFSET('(2)出場選手'!$B$2,$A477,P$1+3*$B477)))</f>
        <v/>
      </c>
      <c r="Q477" s="43" t="str">
        <f ca="1">IF(D477="","",VLOOKUP(N477,OFFSET(Competition_Events,0,1),11,FALSE)*IF($S477="リレー",IF(COUNTIF($T$3:$T477,$T477)&gt;1,0,1),1))</f>
        <v/>
      </c>
      <c r="R477" s="26" t="str">
        <f t="shared" ca="1" si="33"/>
        <v/>
      </c>
      <c r="S477" s="26" t="str">
        <f t="shared" ca="1" si="34"/>
        <v/>
      </c>
      <c r="T477" s="26" t="str">
        <f t="shared" ca="1" si="35"/>
        <v/>
      </c>
      <c r="U477" s="26" t="str">
        <f t="shared" ca="1" si="31"/>
        <v/>
      </c>
      <c r="W477" s="17" t="str">
        <f ca="1">IF($D477="","",OFFSET('(2)出場選手'!$B$2,$A477,W$1))</f>
        <v/>
      </c>
      <c r="X477" s="17" t="str">
        <f ca="1">IF($D477="","",OFFSET('(2)出場選手'!$B$2,$A477,X$1))</f>
        <v/>
      </c>
      <c r="Y477" s="17" t="str">
        <f ca="1">IF($D477="","",OFFSET('(2)出場選手'!$B$2,$A477,Y$1))</f>
        <v/>
      </c>
      <c r="Z477" s="17" t="str">
        <f ca="1">IF($D477="","",OFFSET('(2)出場選手'!$B$2,$A477,Z$1))</f>
        <v/>
      </c>
    </row>
    <row r="478" spans="1:26" x14ac:dyDescent="0.15">
      <c r="A478" s="17">
        <f>TRUNC((ROWS($D$3:D478)-2)/Max_Entry_Count)+1</f>
        <v>159</v>
      </c>
      <c r="B478" s="17" t="str">
        <f ca="1">IF($A478&gt;=ROWS(Entries)-2,"",IF(OFFSET('(2)出場選手'!$B$2,$A478,B$1+3*(MOD(ROWS($D$3:D478)-2,Max_Entry_Count)))="","",MOD(ROWS($D$3:D478)-2,Max_Entry_Count)))</f>
        <v/>
      </c>
      <c r="D478" s="26" t="str">
        <f ca="1">IF(OR($A478&gt;=ROWS(Entries)-2,$B478=""),"",'(1)鑑'!$E$6&amp;"-"&amp;OFFSET('(2)出場選手'!$B$2,$A478,D$1))</f>
        <v/>
      </c>
      <c r="E478" s="26" t="str">
        <f ca="1">IF($D478="","",OFFSET('(2)出場選手'!$B$2,$A478,E$1))</f>
        <v/>
      </c>
      <c r="F478" s="26" t="str">
        <f ca="1">IF($D478="","",IF(OFFSET('(2)出場選手'!$B$2,$A478,F$1)="","",OFFSET('(2)出場選手'!$B$2,$A478,F$1)))</f>
        <v/>
      </c>
      <c r="G478" s="26" t="str">
        <f t="shared" ca="1" si="32"/>
        <v/>
      </c>
      <c r="H478" s="26" t="str">
        <f t="shared" ca="1" si="36"/>
        <v/>
      </c>
      <c r="I478" s="26" t="str">
        <f ca="1">IF($D478="","",IF(OFFSET('(2)出場選手'!$B$2,$A478,I$1)="","",OFFSET('(2)出場選手'!$B$2,$A478,I$1)))</f>
        <v/>
      </c>
      <c r="J478" s="26" t="str">
        <f ca="1">IF($D478="","",IF(OFFSET('(2)出場選手'!$B$2,$A478,J$1)="",'(1)鑑'!$E$6,OFFSET('(2)出場選手'!$B$2,$A478,J$1)))</f>
        <v/>
      </c>
      <c r="K478" s="26" t="str">
        <f ca="1">IF($D478="","",TRIM(ASC(IF(OFFSET('(2)出場選手'!$B$2,$A478,K$1)="",'(1)鑑'!$E$7,OFFSET('(2)出場選手'!$B$2,$A478,K$1)))))</f>
        <v/>
      </c>
      <c r="L478" s="26" t="str">
        <f ca="1">IF($D478="","",SUBSTITUTE(SUBSTITUTE(SUBSTITUTE(IF(OFFSET('(2)出場選手'!$B$2,$A478,L$1)="",'(1)鑑'!$E$8,OFFSET('(2)出場選手'!$B$2,$A478,L$1)),"県",""),"府",""),"東京都","東京"))</f>
        <v/>
      </c>
      <c r="M478" s="57" t="str">
        <f ca="1">IF($D478="","",IF(OFFSET('(2)出場選手'!$B$2,$A478,M$1)="","",OFFSET('(2)出場選手'!$B$2,$A478,M$1)))</f>
        <v/>
      </c>
      <c r="N478" s="26" t="str">
        <f ca="1">IF($D478="","",OFFSET('(2)出場選手'!$B$2,$A478,N$1+3*$B478))</f>
        <v/>
      </c>
      <c r="O478" s="26" t="str">
        <f ca="1">IF($D478="","",IF(OFFSET('(2)出場選手'!$B$2,$A478,O$1+3*$B478)="","",OFFSET('(2)出場選手'!$B$2,$A478,O$1+3*$B478)))</f>
        <v/>
      </c>
      <c r="P478" s="26" t="str">
        <f ca="1">IF($D478="","",IF(OFFSET('(2)出場選手'!$B$2,$A478,P$1+3*$B478)="","",OFFSET('(2)出場選手'!$B$2,$A478,P$1+3*$B478)))</f>
        <v/>
      </c>
      <c r="Q478" s="43" t="str">
        <f ca="1">IF(D478="","",VLOOKUP(N478,OFFSET(Competition_Events,0,1),11,FALSE)*IF($S478="リレー",IF(COUNTIF($T$3:$T478,$T478)&gt;1,0,1),1))</f>
        <v/>
      </c>
      <c r="R478" s="26" t="str">
        <f t="shared" ca="1" si="33"/>
        <v/>
      </c>
      <c r="S478" s="26" t="str">
        <f t="shared" ca="1" si="34"/>
        <v/>
      </c>
      <c r="T478" s="26" t="str">
        <f t="shared" ca="1" si="35"/>
        <v/>
      </c>
      <c r="U478" s="26" t="str">
        <f t="shared" ca="1" si="31"/>
        <v/>
      </c>
      <c r="W478" s="17" t="str">
        <f ca="1">IF($D478="","",OFFSET('(2)出場選手'!$B$2,$A478,W$1))</f>
        <v/>
      </c>
      <c r="X478" s="17" t="str">
        <f ca="1">IF($D478="","",OFFSET('(2)出場選手'!$B$2,$A478,X$1))</f>
        <v/>
      </c>
      <c r="Y478" s="17" t="str">
        <f ca="1">IF($D478="","",OFFSET('(2)出場選手'!$B$2,$A478,Y$1))</f>
        <v/>
      </c>
      <c r="Z478" s="17" t="str">
        <f ca="1">IF($D478="","",OFFSET('(2)出場選手'!$B$2,$A478,Z$1))</f>
        <v/>
      </c>
    </row>
    <row r="479" spans="1:26" x14ac:dyDescent="0.15">
      <c r="A479" s="17">
        <f>TRUNC((ROWS($D$3:D479)-2)/Max_Entry_Count)+1</f>
        <v>159</v>
      </c>
      <c r="B479" s="17" t="str">
        <f ca="1">IF($A479&gt;=ROWS(Entries)-2,"",IF(OFFSET('(2)出場選手'!$B$2,$A479,B$1+3*(MOD(ROWS($D$3:D479)-2,Max_Entry_Count)))="","",MOD(ROWS($D$3:D479)-2,Max_Entry_Count)))</f>
        <v/>
      </c>
      <c r="D479" s="26" t="str">
        <f ca="1">IF(OR($A479&gt;=ROWS(Entries)-2,$B479=""),"",'(1)鑑'!$E$6&amp;"-"&amp;OFFSET('(2)出場選手'!$B$2,$A479,D$1))</f>
        <v/>
      </c>
      <c r="E479" s="26" t="str">
        <f ca="1">IF($D479="","",OFFSET('(2)出場選手'!$B$2,$A479,E$1))</f>
        <v/>
      </c>
      <c r="F479" s="26" t="str">
        <f ca="1">IF($D479="","",IF(OFFSET('(2)出場選手'!$B$2,$A479,F$1)="","",OFFSET('(2)出場選手'!$B$2,$A479,F$1)))</f>
        <v/>
      </c>
      <c r="G479" s="26" t="str">
        <f t="shared" ca="1" si="32"/>
        <v/>
      </c>
      <c r="H479" s="26" t="str">
        <f t="shared" ca="1" si="36"/>
        <v/>
      </c>
      <c r="I479" s="26" t="str">
        <f ca="1">IF($D479="","",IF(OFFSET('(2)出場選手'!$B$2,$A479,I$1)="","",OFFSET('(2)出場選手'!$B$2,$A479,I$1)))</f>
        <v/>
      </c>
      <c r="J479" s="26" t="str">
        <f ca="1">IF($D479="","",IF(OFFSET('(2)出場選手'!$B$2,$A479,J$1)="",'(1)鑑'!$E$6,OFFSET('(2)出場選手'!$B$2,$A479,J$1)))</f>
        <v/>
      </c>
      <c r="K479" s="26" t="str">
        <f ca="1">IF($D479="","",TRIM(ASC(IF(OFFSET('(2)出場選手'!$B$2,$A479,K$1)="",'(1)鑑'!$E$7,OFFSET('(2)出場選手'!$B$2,$A479,K$1)))))</f>
        <v/>
      </c>
      <c r="L479" s="26" t="str">
        <f ca="1">IF($D479="","",SUBSTITUTE(SUBSTITUTE(SUBSTITUTE(IF(OFFSET('(2)出場選手'!$B$2,$A479,L$1)="",'(1)鑑'!$E$8,OFFSET('(2)出場選手'!$B$2,$A479,L$1)),"県",""),"府",""),"東京都","東京"))</f>
        <v/>
      </c>
      <c r="M479" s="57" t="str">
        <f ca="1">IF($D479="","",IF(OFFSET('(2)出場選手'!$B$2,$A479,M$1)="","",OFFSET('(2)出場選手'!$B$2,$A479,M$1)))</f>
        <v/>
      </c>
      <c r="N479" s="26" t="str">
        <f ca="1">IF($D479="","",OFFSET('(2)出場選手'!$B$2,$A479,N$1+3*$B479))</f>
        <v/>
      </c>
      <c r="O479" s="26" t="str">
        <f ca="1">IF($D479="","",IF(OFFSET('(2)出場選手'!$B$2,$A479,O$1+3*$B479)="","",OFFSET('(2)出場選手'!$B$2,$A479,O$1+3*$B479)))</f>
        <v/>
      </c>
      <c r="P479" s="26" t="str">
        <f ca="1">IF($D479="","",IF(OFFSET('(2)出場選手'!$B$2,$A479,P$1+3*$B479)="","",OFFSET('(2)出場選手'!$B$2,$A479,P$1+3*$B479)))</f>
        <v/>
      </c>
      <c r="Q479" s="43" t="str">
        <f ca="1">IF(D479="","",VLOOKUP(N479,OFFSET(Competition_Events,0,1),11,FALSE)*IF($S479="リレー",IF(COUNTIF($T$3:$T479,$T479)&gt;1,0,1),1))</f>
        <v/>
      </c>
      <c r="R479" s="26" t="str">
        <f t="shared" ca="1" si="33"/>
        <v/>
      </c>
      <c r="S479" s="26" t="str">
        <f t="shared" ca="1" si="34"/>
        <v/>
      </c>
      <c r="T479" s="26" t="str">
        <f t="shared" ca="1" si="35"/>
        <v/>
      </c>
      <c r="U479" s="26" t="str">
        <f t="shared" ca="1" si="31"/>
        <v/>
      </c>
      <c r="W479" s="17" t="str">
        <f ca="1">IF($D479="","",OFFSET('(2)出場選手'!$B$2,$A479,W$1))</f>
        <v/>
      </c>
      <c r="X479" s="17" t="str">
        <f ca="1">IF($D479="","",OFFSET('(2)出場選手'!$B$2,$A479,X$1))</f>
        <v/>
      </c>
      <c r="Y479" s="17" t="str">
        <f ca="1">IF($D479="","",OFFSET('(2)出場選手'!$B$2,$A479,Y$1))</f>
        <v/>
      </c>
      <c r="Z479" s="17" t="str">
        <f ca="1">IF($D479="","",OFFSET('(2)出場選手'!$B$2,$A479,Z$1))</f>
        <v/>
      </c>
    </row>
    <row r="480" spans="1:26" x14ac:dyDescent="0.15">
      <c r="A480" s="17">
        <f>TRUNC((ROWS($D$3:D480)-2)/Max_Entry_Count)+1</f>
        <v>159</v>
      </c>
      <c r="B480" s="17" t="str">
        <f ca="1">IF($A480&gt;=ROWS(Entries)-2,"",IF(OFFSET('(2)出場選手'!$B$2,$A480,B$1+3*(MOD(ROWS($D$3:D480)-2,Max_Entry_Count)))="","",MOD(ROWS($D$3:D480)-2,Max_Entry_Count)))</f>
        <v/>
      </c>
      <c r="D480" s="26" t="str">
        <f ca="1">IF(OR($A480&gt;=ROWS(Entries)-2,$B480=""),"",'(1)鑑'!$E$6&amp;"-"&amp;OFFSET('(2)出場選手'!$B$2,$A480,D$1))</f>
        <v/>
      </c>
      <c r="E480" s="26" t="str">
        <f ca="1">IF($D480="","",OFFSET('(2)出場選手'!$B$2,$A480,E$1))</f>
        <v/>
      </c>
      <c r="F480" s="26" t="str">
        <f ca="1">IF($D480="","",IF(OFFSET('(2)出場選手'!$B$2,$A480,F$1)="","",OFFSET('(2)出場選手'!$B$2,$A480,F$1)))</f>
        <v/>
      </c>
      <c r="G480" s="26" t="str">
        <f t="shared" ca="1" si="32"/>
        <v/>
      </c>
      <c r="H480" s="26" t="str">
        <f t="shared" ca="1" si="36"/>
        <v/>
      </c>
      <c r="I480" s="26" t="str">
        <f ca="1">IF($D480="","",IF(OFFSET('(2)出場選手'!$B$2,$A480,I$1)="","",OFFSET('(2)出場選手'!$B$2,$A480,I$1)))</f>
        <v/>
      </c>
      <c r="J480" s="26" t="str">
        <f ca="1">IF($D480="","",IF(OFFSET('(2)出場選手'!$B$2,$A480,J$1)="",'(1)鑑'!$E$6,OFFSET('(2)出場選手'!$B$2,$A480,J$1)))</f>
        <v/>
      </c>
      <c r="K480" s="26" t="str">
        <f ca="1">IF($D480="","",TRIM(ASC(IF(OFFSET('(2)出場選手'!$B$2,$A480,K$1)="",'(1)鑑'!$E$7,OFFSET('(2)出場選手'!$B$2,$A480,K$1)))))</f>
        <v/>
      </c>
      <c r="L480" s="26" t="str">
        <f ca="1">IF($D480="","",SUBSTITUTE(SUBSTITUTE(SUBSTITUTE(IF(OFFSET('(2)出場選手'!$B$2,$A480,L$1)="",'(1)鑑'!$E$8,OFFSET('(2)出場選手'!$B$2,$A480,L$1)),"県",""),"府",""),"東京都","東京"))</f>
        <v/>
      </c>
      <c r="M480" s="57" t="str">
        <f ca="1">IF($D480="","",IF(OFFSET('(2)出場選手'!$B$2,$A480,M$1)="","",OFFSET('(2)出場選手'!$B$2,$A480,M$1)))</f>
        <v/>
      </c>
      <c r="N480" s="26" t="str">
        <f ca="1">IF($D480="","",OFFSET('(2)出場選手'!$B$2,$A480,N$1+3*$B480))</f>
        <v/>
      </c>
      <c r="O480" s="26" t="str">
        <f ca="1">IF($D480="","",IF(OFFSET('(2)出場選手'!$B$2,$A480,O$1+3*$B480)="","",OFFSET('(2)出場選手'!$B$2,$A480,O$1+3*$B480)))</f>
        <v/>
      </c>
      <c r="P480" s="26" t="str">
        <f ca="1">IF($D480="","",IF(OFFSET('(2)出場選手'!$B$2,$A480,P$1+3*$B480)="","",OFFSET('(2)出場選手'!$B$2,$A480,P$1+3*$B480)))</f>
        <v/>
      </c>
      <c r="Q480" s="43" t="str">
        <f ca="1">IF(D480="","",VLOOKUP(N480,OFFSET(Competition_Events,0,1),11,FALSE)*IF($S480="リレー",IF(COUNTIF($T$3:$T480,$T480)&gt;1,0,1),1))</f>
        <v/>
      </c>
      <c r="R480" s="26" t="str">
        <f t="shared" ca="1" si="33"/>
        <v/>
      </c>
      <c r="S480" s="26" t="str">
        <f t="shared" ca="1" si="34"/>
        <v/>
      </c>
      <c r="T480" s="26" t="str">
        <f t="shared" ca="1" si="35"/>
        <v/>
      </c>
      <c r="U480" s="26" t="str">
        <f t="shared" ca="1" si="31"/>
        <v/>
      </c>
      <c r="W480" s="17" t="str">
        <f ca="1">IF($D480="","",OFFSET('(2)出場選手'!$B$2,$A480,W$1))</f>
        <v/>
      </c>
      <c r="X480" s="17" t="str">
        <f ca="1">IF($D480="","",OFFSET('(2)出場選手'!$B$2,$A480,X$1))</f>
        <v/>
      </c>
      <c r="Y480" s="17" t="str">
        <f ca="1">IF($D480="","",OFFSET('(2)出場選手'!$B$2,$A480,Y$1))</f>
        <v/>
      </c>
      <c r="Z480" s="17" t="str">
        <f ca="1">IF($D480="","",OFFSET('(2)出場選手'!$B$2,$A480,Z$1))</f>
        <v/>
      </c>
    </row>
    <row r="481" spans="1:26" x14ac:dyDescent="0.15">
      <c r="A481" s="17">
        <f>TRUNC((ROWS($D$3:D481)-2)/Max_Entry_Count)+1</f>
        <v>160</v>
      </c>
      <c r="B481" s="17" t="str">
        <f ca="1">IF($A481&gt;=ROWS(Entries)-2,"",IF(OFFSET('(2)出場選手'!$B$2,$A481,B$1+3*(MOD(ROWS($D$3:D481)-2,Max_Entry_Count)))="","",MOD(ROWS($D$3:D481)-2,Max_Entry_Count)))</f>
        <v/>
      </c>
      <c r="D481" s="26" t="str">
        <f ca="1">IF(OR($A481&gt;=ROWS(Entries)-2,$B481=""),"",'(1)鑑'!$E$6&amp;"-"&amp;OFFSET('(2)出場選手'!$B$2,$A481,D$1))</f>
        <v/>
      </c>
      <c r="E481" s="26" t="str">
        <f ca="1">IF($D481="","",OFFSET('(2)出場選手'!$B$2,$A481,E$1))</f>
        <v/>
      </c>
      <c r="F481" s="26" t="str">
        <f ca="1">IF($D481="","",IF(OFFSET('(2)出場選手'!$B$2,$A481,F$1)="","",OFFSET('(2)出場選手'!$B$2,$A481,F$1)))</f>
        <v/>
      </c>
      <c r="G481" s="26" t="str">
        <f t="shared" ca="1" si="32"/>
        <v/>
      </c>
      <c r="H481" s="26" t="str">
        <f t="shared" ca="1" si="36"/>
        <v/>
      </c>
      <c r="I481" s="26" t="str">
        <f ca="1">IF($D481="","",IF(OFFSET('(2)出場選手'!$B$2,$A481,I$1)="","",OFFSET('(2)出場選手'!$B$2,$A481,I$1)))</f>
        <v/>
      </c>
      <c r="J481" s="26" t="str">
        <f ca="1">IF($D481="","",IF(OFFSET('(2)出場選手'!$B$2,$A481,J$1)="",'(1)鑑'!$E$6,OFFSET('(2)出場選手'!$B$2,$A481,J$1)))</f>
        <v/>
      </c>
      <c r="K481" s="26" t="str">
        <f ca="1">IF($D481="","",TRIM(ASC(IF(OFFSET('(2)出場選手'!$B$2,$A481,K$1)="",'(1)鑑'!$E$7,OFFSET('(2)出場選手'!$B$2,$A481,K$1)))))</f>
        <v/>
      </c>
      <c r="L481" s="26" t="str">
        <f ca="1">IF($D481="","",SUBSTITUTE(SUBSTITUTE(SUBSTITUTE(IF(OFFSET('(2)出場選手'!$B$2,$A481,L$1)="",'(1)鑑'!$E$8,OFFSET('(2)出場選手'!$B$2,$A481,L$1)),"県",""),"府",""),"東京都","東京"))</f>
        <v/>
      </c>
      <c r="M481" s="57" t="str">
        <f ca="1">IF($D481="","",IF(OFFSET('(2)出場選手'!$B$2,$A481,M$1)="","",OFFSET('(2)出場選手'!$B$2,$A481,M$1)))</f>
        <v/>
      </c>
      <c r="N481" s="26" t="str">
        <f ca="1">IF($D481="","",OFFSET('(2)出場選手'!$B$2,$A481,N$1+3*$B481))</f>
        <v/>
      </c>
      <c r="O481" s="26" t="str">
        <f ca="1">IF($D481="","",IF(OFFSET('(2)出場選手'!$B$2,$A481,O$1+3*$B481)="","",OFFSET('(2)出場選手'!$B$2,$A481,O$1+3*$B481)))</f>
        <v/>
      </c>
      <c r="P481" s="26" t="str">
        <f ca="1">IF($D481="","",IF(OFFSET('(2)出場選手'!$B$2,$A481,P$1+3*$B481)="","",OFFSET('(2)出場選手'!$B$2,$A481,P$1+3*$B481)))</f>
        <v/>
      </c>
      <c r="Q481" s="43" t="str">
        <f ca="1">IF(D481="","",VLOOKUP(N481,OFFSET(Competition_Events,0,1),11,FALSE)*IF($S481="リレー",IF(COUNTIF($T$3:$T481,$T481)&gt;1,0,1),1))</f>
        <v/>
      </c>
      <c r="R481" s="26" t="str">
        <f t="shared" ca="1" si="33"/>
        <v/>
      </c>
      <c r="S481" s="26" t="str">
        <f t="shared" ca="1" si="34"/>
        <v/>
      </c>
      <c r="T481" s="26" t="str">
        <f t="shared" ca="1" si="35"/>
        <v/>
      </c>
      <c r="U481" s="26" t="str">
        <f t="shared" ca="1" si="31"/>
        <v/>
      </c>
      <c r="W481" s="17" t="str">
        <f ca="1">IF($D481="","",OFFSET('(2)出場選手'!$B$2,$A481,W$1))</f>
        <v/>
      </c>
      <c r="X481" s="17" t="str">
        <f ca="1">IF($D481="","",OFFSET('(2)出場選手'!$B$2,$A481,X$1))</f>
        <v/>
      </c>
      <c r="Y481" s="17" t="str">
        <f ca="1">IF($D481="","",OFFSET('(2)出場選手'!$B$2,$A481,Y$1))</f>
        <v/>
      </c>
      <c r="Z481" s="17" t="str">
        <f ca="1">IF($D481="","",OFFSET('(2)出場選手'!$B$2,$A481,Z$1))</f>
        <v/>
      </c>
    </row>
    <row r="482" spans="1:26" x14ac:dyDescent="0.15">
      <c r="A482" s="17">
        <f>TRUNC((ROWS($D$3:D482)-2)/Max_Entry_Count)+1</f>
        <v>160</v>
      </c>
      <c r="B482" s="17" t="str">
        <f ca="1">IF($A482&gt;=ROWS(Entries)-2,"",IF(OFFSET('(2)出場選手'!$B$2,$A482,B$1+3*(MOD(ROWS($D$3:D482)-2,Max_Entry_Count)))="","",MOD(ROWS($D$3:D482)-2,Max_Entry_Count)))</f>
        <v/>
      </c>
      <c r="D482" s="26" t="str">
        <f ca="1">IF(OR($A482&gt;=ROWS(Entries)-2,$B482=""),"",'(1)鑑'!$E$6&amp;"-"&amp;OFFSET('(2)出場選手'!$B$2,$A482,D$1))</f>
        <v/>
      </c>
      <c r="E482" s="26" t="str">
        <f ca="1">IF($D482="","",OFFSET('(2)出場選手'!$B$2,$A482,E$1))</f>
        <v/>
      </c>
      <c r="F482" s="26" t="str">
        <f ca="1">IF($D482="","",IF(OFFSET('(2)出場選手'!$B$2,$A482,F$1)="","",OFFSET('(2)出場選手'!$B$2,$A482,F$1)))</f>
        <v/>
      </c>
      <c r="G482" s="26" t="str">
        <f t="shared" ca="1" si="32"/>
        <v/>
      </c>
      <c r="H482" s="26" t="str">
        <f t="shared" ca="1" si="36"/>
        <v/>
      </c>
      <c r="I482" s="26" t="str">
        <f ca="1">IF($D482="","",IF(OFFSET('(2)出場選手'!$B$2,$A482,I$1)="","",OFFSET('(2)出場選手'!$B$2,$A482,I$1)))</f>
        <v/>
      </c>
      <c r="J482" s="26" t="str">
        <f ca="1">IF($D482="","",IF(OFFSET('(2)出場選手'!$B$2,$A482,J$1)="",'(1)鑑'!$E$6,OFFSET('(2)出場選手'!$B$2,$A482,J$1)))</f>
        <v/>
      </c>
      <c r="K482" s="26" t="str">
        <f ca="1">IF($D482="","",TRIM(ASC(IF(OFFSET('(2)出場選手'!$B$2,$A482,K$1)="",'(1)鑑'!$E$7,OFFSET('(2)出場選手'!$B$2,$A482,K$1)))))</f>
        <v/>
      </c>
      <c r="L482" s="26" t="str">
        <f ca="1">IF($D482="","",SUBSTITUTE(SUBSTITUTE(SUBSTITUTE(IF(OFFSET('(2)出場選手'!$B$2,$A482,L$1)="",'(1)鑑'!$E$8,OFFSET('(2)出場選手'!$B$2,$A482,L$1)),"県",""),"府",""),"東京都","東京"))</f>
        <v/>
      </c>
      <c r="M482" s="57" t="str">
        <f ca="1">IF($D482="","",IF(OFFSET('(2)出場選手'!$B$2,$A482,M$1)="","",OFFSET('(2)出場選手'!$B$2,$A482,M$1)))</f>
        <v/>
      </c>
      <c r="N482" s="26" t="str">
        <f ca="1">IF($D482="","",OFFSET('(2)出場選手'!$B$2,$A482,N$1+3*$B482))</f>
        <v/>
      </c>
      <c r="O482" s="26" t="str">
        <f ca="1">IF($D482="","",IF(OFFSET('(2)出場選手'!$B$2,$A482,O$1+3*$B482)="","",OFFSET('(2)出場選手'!$B$2,$A482,O$1+3*$B482)))</f>
        <v/>
      </c>
      <c r="P482" s="26" t="str">
        <f ca="1">IF($D482="","",IF(OFFSET('(2)出場選手'!$B$2,$A482,P$1+3*$B482)="","",OFFSET('(2)出場選手'!$B$2,$A482,P$1+3*$B482)))</f>
        <v/>
      </c>
      <c r="Q482" s="43" t="str">
        <f ca="1">IF(D482="","",VLOOKUP(N482,OFFSET(Competition_Events,0,1),11,FALSE)*IF($S482="リレー",IF(COUNTIF($T$3:$T482,$T482)&gt;1,0,1),1))</f>
        <v/>
      </c>
      <c r="R482" s="26" t="str">
        <f t="shared" ca="1" si="33"/>
        <v/>
      </c>
      <c r="S482" s="26" t="str">
        <f t="shared" ca="1" si="34"/>
        <v/>
      </c>
      <c r="T482" s="26" t="str">
        <f t="shared" ca="1" si="35"/>
        <v/>
      </c>
      <c r="U482" s="26" t="str">
        <f t="shared" ca="1" si="31"/>
        <v/>
      </c>
      <c r="W482" s="17" t="str">
        <f ca="1">IF($D482="","",OFFSET('(2)出場選手'!$B$2,$A482,W$1))</f>
        <v/>
      </c>
      <c r="X482" s="17" t="str">
        <f ca="1">IF($D482="","",OFFSET('(2)出場選手'!$B$2,$A482,X$1))</f>
        <v/>
      </c>
      <c r="Y482" s="17" t="str">
        <f ca="1">IF($D482="","",OFFSET('(2)出場選手'!$B$2,$A482,Y$1))</f>
        <v/>
      </c>
      <c r="Z482" s="17" t="str">
        <f ca="1">IF($D482="","",OFFSET('(2)出場選手'!$B$2,$A482,Z$1))</f>
        <v/>
      </c>
    </row>
    <row r="483" spans="1:26" x14ac:dyDescent="0.15">
      <c r="A483" s="17">
        <f>TRUNC((ROWS($D$3:D483)-2)/Max_Entry_Count)+1</f>
        <v>160</v>
      </c>
      <c r="B483" s="17" t="str">
        <f ca="1">IF($A483&gt;=ROWS(Entries)-2,"",IF(OFFSET('(2)出場選手'!$B$2,$A483,B$1+3*(MOD(ROWS($D$3:D483)-2,Max_Entry_Count)))="","",MOD(ROWS($D$3:D483)-2,Max_Entry_Count)))</f>
        <v/>
      </c>
      <c r="D483" s="26" t="str">
        <f ca="1">IF(OR($A483&gt;=ROWS(Entries)-2,$B483=""),"",'(1)鑑'!$E$6&amp;"-"&amp;OFFSET('(2)出場選手'!$B$2,$A483,D$1))</f>
        <v/>
      </c>
      <c r="E483" s="26" t="str">
        <f ca="1">IF($D483="","",OFFSET('(2)出場選手'!$B$2,$A483,E$1))</f>
        <v/>
      </c>
      <c r="F483" s="26" t="str">
        <f ca="1">IF($D483="","",IF(OFFSET('(2)出場選手'!$B$2,$A483,F$1)="","",OFFSET('(2)出場選手'!$B$2,$A483,F$1)))</f>
        <v/>
      </c>
      <c r="G483" s="26" t="str">
        <f t="shared" ca="1" si="32"/>
        <v/>
      </c>
      <c r="H483" s="26" t="str">
        <f t="shared" ca="1" si="36"/>
        <v/>
      </c>
      <c r="I483" s="26" t="str">
        <f ca="1">IF($D483="","",IF(OFFSET('(2)出場選手'!$B$2,$A483,I$1)="","",OFFSET('(2)出場選手'!$B$2,$A483,I$1)))</f>
        <v/>
      </c>
      <c r="J483" s="26" t="str">
        <f ca="1">IF($D483="","",IF(OFFSET('(2)出場選手'!$B$2,$A483,J$1)="",'(1)鑑'!$E$6,OFFSET('(2)出場選手'!$B$2,$A483,J$1)))</f>
        <v/>
      </c>
      <c r="K483" s="26" t="str">
        <f ca="1">IF($D483="","",TRIM(ASC(IF(OFFSET('(2)出場選手'!$B$2,$A483,K$1)="",'(1)鑑'!$E$7,OFFSET('(2)出場選手'!$B$2,$A483,K$1)))))</f>
        <v/>
      </c>
      <c r="L483" s="26" t="str">
        <f ca="1">IF($D483="","",SUBSTITUTE(SUBSTITUTE(SUBSTITUTE(IF(OFFSET('(2)出場選手'!$B$2,$A483,L$1)="",'(1)鑑'!$E$8,OFFSET('(2)出場選手'!$B$2,$A483,L$1)),"県",""),"府",""),"東京都","東京"))</f>
        <v/>
      </c>
      <c r="M483" s="57" t="str">
        <f ca="1">IF($D483="","",IF(OFFSET('(2)出場選手'!$B$2,$A483,M$1)="","",OFFSET('(2)出場選手'!$B$2,$A483,M$1)))</f>
        <v/>
      </c>
      <c r="N483" s="26" t="str">
        <f ca="1">IF($D483="","",OFFSET('(2)出場選手'!$B$2,$A483,N$1+3*$B483))</f>
        <v/>
      </c>
      <c r="O483" s="26" t="str">
        <f ca="1">IF($D483="","",IF(OFFSET('(2)出場選手'!$B$2,$A483,O$1+3*$B483)="","",OFFSET('(2)出場選手'!$B$2,$A483,O$1+3*$B483)))</f>
        <v/>
      </c>
      <c r="P483" s="26" t="str">
        <f ca="1">IF($D483="","",IF(OFFSET('(2)出場選手'!$B$2,$A483,P$1+3*$B483)="","",OFFSET('(2)出場選手'!$B$2,$A483,P$1+3*$B483)))</f>
        <v/>
      </c>
      <c r="Q483" s="43" t="str">
        <f ca="1">IF(D483="","",VLOOKUP(N483,OFFSET(Competition_Events,0,1),11,FALSE)*IF($S483="リレー",IF(COUNTIF($T$3:$T483,$T483)&gt;1,0,1),1))</f>
        <v/>
      </c>
      <c r="R483" s="26" t="str">
        <f t="shared" ca="1" si="33"/>
        <v/>
      </c>
      <c r="S483" s="26" t="str">
        <f t="shared" ca="1" si="34"/>
        <v/>
      </c>
      <c r="T483" s="26" t="str">
        <f t="shared" ca="1" si="35"/>
        <v/>
      </c>
      <c r="U483" s="26" t="str">
        <f t="shared" ca="1" si="31"/>
        <v/>
      </c>
      <c r="W483" s="17" t="str">
        <f ca="1">IF($D483="","",OFFSET('(2)出場選手'!$B$2,$A483,W$1))</f>
        <v/>
      </c>
      <c r="X483" s="17" t="str">
        <f ca="1">IF($D483="","",OFFSET('(2)出場選手'!$B$2,$A483,X$1))</f>
        <v/>
      </c>
      <c r="Y483" s="17" t="str">
        <f ca="1">IF($D483="","",OFFSET('(2)出場選手'!$B$2,$A483,Y$1))</f>
        <v/>
      </c>
      <c r="Z483" s="17" t="str">
        <f ca="1">IF($D483="","",OFFSET('(2)出場選手'!$B$2,$A483,Z$1))</f>
        <v/>
      </c>
    </row>
    <row r="484" spans="1:26" x14ac:dyDescent="0.15">
      <c r="A484" s="17">
        <f>TRUNC((ROWS($D$3:D484)-2)/Max_Entry_Count)+1</f>
        <v>161</v>
      </c>
      <c r="B484" s="17" t="str">
        <f ca="1">IF($A484&gt;=ROWS(Entries)-2,"",IF(OFFSET('(2)出場選手'!$B$2,$A484,B$1+3*(MOD(ROWS($D$3:D484)-2,Max_Entry_Count)))="","",MOD(ROWS($D$3:D484)-2,Max_Entry_Count)))</f>
        <v/>
      </c>
      <c r="D484" s="26" t="str">
        <f ca="1">IF(OR($A484&gt;=ROWS(Entries)-2,$B484=""),"",'(1)鑑'!$E$6&amp;"-"&amp;OFFSET('(2)出場選手'!$B$2,$A484,D$1))</f>
        <v/>
      </c>
      <c r="E484" s="26" t="str">
        <f ca="1">IF($D484="","",OFFSET('(2)出場選手'!$B$2,$A484,E$1))</f>
        <v/>
      </c>
      <c r="F484" s="26" t="str">
        <f ca="1">IF($D484="","",IF(OFFSET('(2)出場選手'!$B$2,$A484,F$1)="","",OFFSET('(2)出場選手'!$B$2,$A484,F$1)))</f>
        <v/>
      </c>
      <c r="G484" s="26" t="str">
        <f t="shared" ca="1" si="32"/>
        <v/>
      </c>
      <c r="H484" s="26" t="str">
        <f t="shared" ca="1" si="36"/>
        <v/>
      </c>
      <c r="I484" s="26" t="str">
        <f ca="1">IF($D484="","",IF(OFFSET('(2)出場選手'!$B$2,$A484,I$1)="","",OFFSET('(2)出場選手'!$B$2,$A484,I$1)))</f>
        <v/>
      </c>
      <c r="J484" s="26" t="str">
        <f ca="1">IF($D484="","",IF(OFFSET('(2)出場選手'!$B$2,$A484,J$1)="",'(1)鑑'!$E$6,OFFSET('(2)出場選手'!$B$2,$A484,J$1)))</f>
        <v/>
      </c>
      <c r="K484" s="26" t="str">
        <f ca="1">IF($D484="","",TRIM(ASC(IF(OFFSET('(2)出場選手'!$B$2,$A484,K$1)="",'(1)鑑'!$E$7,OFFSET('(2)出場選手'!$B$2,$A484,K$1)))))</f>
        <v/>
      </c>
      <c r="L484" s="26" t="str">
        <f ca="1">IF($D484="","",SUBSTITUTE(SUBSTITUTE(SUBSTITUTE(IF(OFFSET('(2)出場選手'!$B$2,$A484,L$1)="",'(1)鑑'!$E$8,OFFSET('(2)出場選手'!$B$2,$A484,L$1)),"県",""),"府",""),"東京都","東京"))</f>
        <v/>
      </c>
      <c r="M484" s="57" t="str">
        <f ca="1">IF($D484="","",IF(OFFSET('(2)出場選手'!$B$2,$A484,M$1)="","",OFFSET('(2)出場選手'!$B$2,$A484,M$1)))</f>
        <v/>
      </c>
      <c r="N484" s="26" t="str">
        <f ca="1">IF($D484="","",OFFSET('(2)出場選手'!$B$2,$A484,N$1+3*$B484))</f>
        <v/>
      </c>
      <c r="O484" s="26" t="str">
        <f ca="1">IF($D484="","",IF(OFFSET('(2)出場選手'!$B$2,$A484,O$1+3*$B484)="","",OFFSET('(2)出場選手'!$B$2,$A484,O$1+3*$B484)))</f>
        <v/>
      </c>
      <c r="P484" s="26" t="str">
        <f ca="1">IF($D484="","",IF(OFFSET('(2)出場選手'!$B$2,$A484,P$1+3*$B484)="","",OFFSET('(2)出場選手'!$B$2,$A484,P$1+3*$B484)))</f>
        <v/>
      </c>
      <c r="Q484" s="43" t="str">
        <f ca="1">IF(D484="","",VLOOKUP(N484,OFFSET(Competition_Events,0,1),11,FALSE)*IF($S484="リレー",IF(COUNTIF($T$3:$T484,$T484)&gt;1,0,1),1))</f>
        <v/>
      </c>
      <c r="R484" s="26" t="str">
        <f t="shared" ca="1" si="33"/>
        <v/>
      </c>
      <c r="S484" s="26" t="str">
        <f t="shared" ca="1" si="34"/>
        <v/>
      </c>
      <c r="T484" s="26" t="str">
        <f t="shared" ca="1" si="35"/>
        <v/>
      </c>
      <c r="U484" s="26" t="str">
        <f t="shared" ca="1" si="31"/>
        <v/>
      </c>
      <c r="W484" s="17" t="str">
        <f ca="1">IF($D484="","",OFFSET('(2)出場選手'!$B$2,$A484,W$1))</f>
        <v/>
      </c>
      <c r="X484" s="17" t="str">
        <f ca="1">IF($D484="","",OFFSET('(2)出場選手'!$B$2,$A484,X$1))</f>
        <v/>
      </c>
      <c r="Y484" s="17" t="str">
        <f ca="1">IF($D484="","",OFFSET('(2)出場選手'!$B$2,$A484,Y$1))</f>
        <v/>
      </c>
      <c r="Z484" s="17" t="str">
        <f ca="1">IF($D484="","",OFFSET('(2)出場選手'!$B$2,$A484,Z$1))</f>
        <v/>
      </c>
    </row>
    <row r="485" spans="1:26" x14ac:dyDescent="0.15">
      <c r="A485" s="17">
        <f>TRUNC((ROWS($D$3:D485)-2)/Max_Entry_Count)+1</f>
        <v>161</v>
      </c>
      <c r="B485" s="17" t="str">
        <f ca="1">IF($A485&gt;=ROWS(Entries)-2,"",IF(OFFSET('(2)出場選手'!$B$2,$A485,B$1+3*(MOD(ROWS($D$3:D485)-2,Max_Entry_Count)))="","",MOD(ROWS($D$3:D485)-2,Max_Entry_Count)))</f>
        <v/>
      </c>
      <c r="D485" s="26" t="str">
        <f ca="1">IF(OR($A485&gt;=ROWS(Entries)-2,$B485=""),"",'(1)鑑'!$E$6&amp;"-"&amp;OFFSET('(2)出場選手'!$B$2,$A485,D$1))</f>
        <v/>
      </c>
      <c r="E485" s="26" t="str">
        <f ca="1">IF($D485="","",OFFSET('(2)出場選手'!$B$2,$A485,E$1))</f>
        <v/>
      </c>
      <c r="F485" s="26" t="str">
        <f ca="1">IF($D485="","",IF(OFFSET('(2)出場選手'!$B$2,$A485,F$1)="","",OFFSET('(2)出場選手'!$B$2,$A485,F$1)))</f>
        <v/>
      </c>
      <c r="G485" s="26" t="str">
        <f t="shared" ca="1" si="32"/>
        <v/>
      </c>
      <c r="H485" s="26" t="str">
        <f t="shared" ca="1" si="36"/>
        <v/>
      </c>
      <c r="I485" s="26" t="str">
        <f ca="1">IF($D485="","",IF(OFFSET('(2)出場選手'!$B$2,$A485,I$1)="","",OFFSET('(2)出場選手'!$B$2,$A485,I$1)))</f>
        <v/>
      </c>
      <c r="J485" s="26" t="str">
        <f ca="1">IF($D485="","",IF(OFFSET('(2)出場選手'!$B$2,$A485,J$1)="",'(1)鑑'!$E$6,OFFSET('(2)出場選手'!$B$2,$A485,J$1)))</f>
        <v/>
      </c>
      <c r="K485" s="26" t="str">
        <f ca="1">IF($D485="","",TRIM(ASC(IF(OFFSET('(2)出場選手'!$B$2,$A485,K$1)="",'(1)鑑'!$E$7,OFFSET('(2)出場選手'!$B$2,$A485,K$1)))))</f>
        <v/>
      </c>
      <c r="L485" s="26" t="str">
        <f ca="1">IF($D485="","",SUBSTITUTE(SUBSTITUTE(SUBSTITUTE(IF(OFFSET('(2)出場選手'!$B$2,$A485,L$1)="",'(1)鑑'!$E$8,OFFSET('(2)出場選手'!$B$2,$A485,L$1)),"県",""),"府",""),"東京都","東京"))</f>
        <v/>
      </c>
      <c r="M485" s="57" t="str">
        <f ca="1">IF($D485="","",IF(OFFSET('(2)出場選手'!$B$2,$A485,M$1)="","",OFFSET('(2)出場選手'!$B$2,$A485,M$1)))</f>
        <v/>
      </c>
      <c r="N485" s="26" t="str">
        <f ca="1">IF($D485="","",OFFSET('(2)出場選手'!$B$2,$A485,N$1+3*$B485))</f>
        <v/>
      </c>
      <c r="O485" s="26" t="str">
        <f ca="1">IF($D485="","",IF(OFFSET('(2)出場選手'!$B$2,$A485,O$1+3*$B485)="","",OFFSET('(2)出場選手'!$B$2,$A485,O$1+3*$B485)))</f>
        <v/>
      </c>
      <c r="P485" s="26" t="str">
        <f ca="1">IF($D485="","",IF(OFFSET('(2)出場選手'!$B$2,$A485,P$1+3*$B485)="","",OFFSET('(2)出場選手'!$B$2,$A485,P$1+3*$B485)))</f>
        <v/>
      </c>
      <c r="Q485" s="43" t="str">
        <f ca="1">IF(D485="","",VLOOKUP(N485,OFFSET(Competition_Events,0,1),11,FALSE)*IF($S485="リレー",IF(COUNTIF($T$3:$T485,$T485)&gt;1,0,1),1))</f>
        <v/>
      </c>
      <c r="R485" s="26" t="str">
        <f t="shared" ca="1" si="33"/>
        <v/>
      </c>
      <c r="S485" s="26" t="str">
        <f t="shared" ca="1" si="34"/>
        <v/>
      </c>
      <c r="T485" s="26" t="str">
        <f t="shared" ca="1" si="35"/>
        <v/>
      </c>
      <c r="U485" s="26" t="str">
        <f t="shared" ca="1" si="31"/>
        <v/>
      </c>
      <c r="W485" s="17" t="str">
        <f ca="1">IF($D485="","",OFFSET('(2)出場選手'!$B$2,$A485,W$1))</f>
        <v/>
      </c>
      <c r="X485" s="17" t="str">
        <f ca="1">IF($D485="","",OFFSET('(2)出場選手'!$B$2,$A485,X$1))</f>
        <v/>
      </c>
      <c r="Y485" s="17" t="str">
        <f ca="1">IF($D485="","",OFFSET('(2)出場選手'!$B$2,$A485,Y$1))</f>
        <v/>
      </c>
      <c r="Z485" s="17" t="str">
        <f ca="1">IF($D485="","",OFFSET('(2)出場選手'!$B$2,$A485,Z$1))</f>
        <v/>
      </c>
    </row>
    <row r="486" spans="1:26" x14ac:dyDescent="0.15">
      <c r="A486" s="17">
        <f>TRUNC((ROWS($D$3:D486)-2)/Max_Entry_Count)+1</f>
        <v>161</v>
      </c>
      <c r="B486" s="17" t="str">
        <f ca="1">IF($A486&gt;=ROWS(Entries)-2,"",IF(OFFSET('(2)出場選手'!$B$2,$A486,B$1+3*(MOD(ROWS($D$3:D486)-2,Max_Entry_Count)))="","",MOD(ROWS($D$3:D486)-2,Max_Entry_Count)))</f>
        <v/>
      </c>
      <c r="D486" s="26" t="str">
        <f ca="1">IF(OR($A486&gt;=ROWS(Entries)-2,$B486=""),"",'(1)鑑'!$E$6&amp;"-"&amp;OFFSET('(2)出場選手'!$B$2,$A486,D$1))</f>
        <v/>
      </c>
      <c r="E486" s="26" t="str">
        <f ca="1">IF($D486="","",OFFSET('(2)出場選手'!$B$2,$A486,E$1))</f>
        <v/>
      </c>
      <c r="F486" s="26" t="str">
        <f ca="1">IF($D486="","",IF(OFFSET('(2)出場選手'!$B$2,$A486,F$1)="","",OFFSET('(2)出場選手'!$B$2,$A486,F$1)))</f>
        <v/>
      </c>
      <c r="G486" s="26" t="str">
        <f t="shared" ca="1" si="32"/>
        <v/>
      </c>
      <c r="H486" s="26" t="str">
        <f t="shared" ca="1" si="36"/>
        <v/>
      </c>
      <c r="I486" s="26" t="str">
        <f ca="1">IF($D486="","",IF(OFFSET('(2)出場選手'!$B$2,$A486,I$1)="","",OFFSET('(2)出場選手'!$B$2,$A486,I$1)))</f>
        <v/>
      </c>
      <c r="J486" s="26" t="str">
        <f ca="1">IF($D486="","",IF(OFFSET('(2)出場選手'!$B$2,$A486,J$1)="",'(1)鑑'!$E$6,OFFSET('(2)出場選手'!$B$2,$A486,J$1)))</f>
        <v/>
      </c>
      <c r="K486" s="26" t="str">
        <f ca="1">IF($D486="","",TRIM(ASC(IF(OFFSET('(2)出場選手'!$B$2,$A486,K$1)="",'(1)鑑'!$E$7,OFFSET('(2)出場選手'!$B$2,$A486,K$1)))))</f>
        <v/>
      </c>
      <c r="L486" s="26" t="str">
        <f ca="1">IF($D486="","",SUBSTITUTE(SUBSTITUTE(SUBSTITUTE(IF(OFFSET('(2)出場選手'!$B$2,$A486,L$1)="",'(1)鑑'!$E$8,OFFSET('(2)出場選手'!$B$2,$A486,L$1)),"県",""),"府",""),"東京都","東京"))</f>
        <v/>
      </c>
      <c r="M486" s="57" t="str">
        <f ca="1">IF($D486="","",IF(OFFSET('(2)出場選手'!$B$2,$A486,M$1)="","",OFFSET('(2)出場選手'!$B$2,$A486,M$1)))</f>
        <v/>
      </c>
      <c r="N486" s="26" t="str">
        <f ca="1">IF($D486="","",OFFSET('(2)出場選手'!$B$2,$A486,N$1+3*$B486))</f>
        <v/>
      </c>
      <c r="O486" s="26" t="str">
        <f ca="1">IF($D486="","",IF(OFFSET('(2)出場選手'!$B$2,$A486,O$1+3*$B486)="","",OFFSET('(2)出場選手'!$B$2,$A486,O$1+3*$B486)))</f>
        <v/>
      </c>
      <c r="P486" s="26" t="str">
        <f ca="1">IF($D486="","",IF(OFFSET('(2)出場選手'!$B$2,$A486,P$1+3*$B486)="","",OFFSET('(2)出場選手'!$B$2,$A486,P$1+3*$B486)))</f>
        <v/>
      </c>
      <c r="Q486" s="43" t="str">
        <f ca="1">IF(D486="","",VLOOKUP(N486,OFFSET(Competition_Events,0,1),11,FALSE)*IF($S486="リレー",IF(COUNTIF($T$3:$T486,$T486)&gt;1,0,1),1))</f>
        <v/>
      </c>
      <c r="R486" s="26" t="str">
        <f t="shared" ca="1" si="33"/>
        <v/>
      </c>
      <c r="S486" s="26" t="str">
        <f t="shared" ca="1" si="34"/>
        <v/>
      </c>
      <c r="T486" s="26" t="str">
        <f t="shared" ca="1" si="35"/>
        <v/>
      </c>
      <c r="U486" s="26" t="str">
        <f t="shared" ca="1" si="31"/>
        <v/>
      </c>
      <c r="W486" s="17" t="str">
        <f ca="1">IF($D486="","",OFFSET('(2)出場選手'!$B$2,$A486,W$1))</f>
        <v/>
      </c>
      <c r="X486" s="17" t="str">
        <f ca="1">IF($D486="","",OFFSET('(2)出場選手'!$B$2,$A486,X$1))</f>
        <v/>
      </c>
      <c r="Y486" s="17" t="str">
        <f ca="1">IF($D486="","",OFFSET('(2)出場選手'!$B$2,$A486,Y$1))</f>
        <v/>
      </c>
      <c r="Z486" s="17" t="str">
        <f ca="1">IF($D486="","",OFFSET('(2)出場選手'!$B$2,$A486,Z$1))</f>
        <v/>
      </c>
    </row>
    <row r="487" spans="1:26" x14ac:dyDescent="0.15">
      <c r="A487" s="17">
        <f>TRUNC((ROWS($D$3:D487)-2)/Max_Entry_Count)+1</f>
        <v>162</v>
      </c>
      <c r="B487" s="17" t="str">
        <f ca="1">IF($A487&gt;=ROWS(Entries)-2,"",IF(OFFSET('(2)出場選手'!$B$2,$A487,B$1+3*(MOD(ROWS($D$3:D487)-2,Max_Entry_Count)))="","",MOD(ROWS($D$3:D487)-2,Max_Entry_Count)))</f>
        <v/>
      </c>
      <c r="D487" s="26" t="str">
        <f ca="1">IF(OR($A487&gt;=ROWS(Entries)-2,$B487=""),"",'(1)鑑'!$E$6&amp;"-"&amp;OFFSET('(2)出場選手'!$B$2,$A487,D$1))</f>
        <v/>
      </c>
      <c r="E487" s="26" t="str">
        <f ca="1">IF($D487="","",OFFSET('(2)出場選手'!$B$2,$A487,E$1))</f>
        <v/>
      </c>
      <c r="F487" s="26" t="str">
        <f ca="1">IF($D487="","",IF(OFFSET('(2)出場選手'!$B$2,$A487,F$1)="","",OFFSET('(2)出場選手'!$B$2,$A487,F$1)))</f>
        <v/>
      </c>
      <c r="G487" s="26" t="str">
        <f t="shared" ca="1" si="32"/>
        <v/>
      </c>
      <c r="H487" s="26" t="str">
        <f t="shared" ca="1" si="36"/>
        <v/>
      </c>
      <c r="I487" s="26" t="str">
        <f ca="1">IF($D487="","",IF(OFFSET('(2)出場選手'!$B$2,$A487,I$1)="","",OFFSET('(2)出場選手'!$B$2,$A487,I$1)))</f>
        <v/>
      </c>
      <c r="J487" s="26" t="str">
        <f ca="1">IF($D487="","",IF(OFFSET('(2)出場選手'!$B$2,$A487,J$1)="",'(1)鑑'!$E$6,OFFSET('(2)出場選手'!$B$2,$A487,J$1)))</f>
        <v/>
      </c>
      <c r="K487" s="26" t="str">
        <f ca="1">IF($D487="","",TRIM(ASC(IF(OFFSET('(2)出場選手'!$B$2,$A487,K$1)="",'(1)鑑'!$E$7,OFFSET('(2)出場選手'!$B$2,$A487,K$1)))))</f>
        <v/>
      </c>
      <c r="L487" s="26" t="str">
        <f ca="1">IF($D487="","",SUBSTITUTE(SUBSTITUTE(SUBSTITUTE(IF(OFFSET('(2)出場選手'!$B$2,$A487,L$1)="",'(1)鑑'!$E$8,OFFSET('(2)出場選手'!$B$2,$A487,L$1)),"県",""),"府",""),"東京都","東京"))</f>
        <v/>
      </c>
      <c r="M487" s="57" t="str">
        <f ca="1">IF($D487="","",IF(OFFSET('(2)出場選手'!$B$2,$A487,M$1)="","",OFFSET('(2)出場選手'!$B$2,$A487,M$1)))</f>
        <v/>
      </c>
      <c r="N487" s="26" t="str">
        <f ca="1">IF($D487="","",OFFSET('(2)出場選手'!$B$2,$A487,N$1+3*$B487))</f>
        <v/>
      </c>
      <c r="O487" s="26" t="str">
        <f ca="1">IF($D487="","",IF(OFFSET('(2)出場選手'!$B$2,$A487,O$1+3*$B487)="","",OFFSET('(2)出場選手'!$B$2,$A487,O$1+3*$B487)))</f>
        <v/>
      </c>
      <c r="P487" s="26" t="str">
        <f ca="1">IF($D487="","",IF(OFFSET('(2)出場選手'!$B$2,$A487,P$1+3*$B487)="","",OFFSET('(2)出場選手'!$B$2,$A487,P$1+3*$B487)))</f>
        <v/>
      </c>
      <c r="Q487" s="43" t="str">
        <f ca="1">IF(D487="","",VLOOKUP(N487,OFFSET(Competition_Events,0,1),11,FALSE)*IF($S487="リレー",IF(COUNTIF($T$3:$T487,$T487)&gt;1,0,1),1))</f>
        <v/>
      </c>
      <c r="R487" s="26" t="str">
        <f t="shared" ca="1" si="33"/>
        <v/>
      </c>
      <c r="S487" s="26" t="str">
        <f t="shared" ca="1" si="34"/>
        <v/>
      </c>
      <c r="T487" s="26" t="str">
        <f t="shared" ca="1" si="35"/>
        <v/>
      </c>
      <c r="U487" s="26" t="str">
        <f t="shared" ca="1" si="31"/>
        <v/>
      </c>
      <c r="W487" s="17" t="str">
        <f ca="1">IF($D487="","",OFFSET('(2)出場選手'!$B$2,$A487,W$1))</f>
        <v/>
      </c>
      <c r="X487" s="17" t="str">
        <f ca="1">IF($D487="","",OFFSET('(2)出場選手'!$B$2,$A487,X$1))</f>
        <v/>
      </c>
      <c r="Y487" s="17" t="str">
        <f ca="1">IF($D487="","",OFFSET('(2)出場選手'!$B$2,$A487,Y$1))</f>
        <v/>
      </c>
      <c r="Z487" s="17" t="str">
        <f ca="1">IF($D487="","",OFFSET('(2)出場選手'!$B$2,$A487,Z$1))</f>
        <v/>
      </c>
    </row>
    <row r="488" spans="1:26" x14ac:dyDescent="0.15">
      <c r="A488" s="17">
        <f>TRUNC((ROWS($D$3:D488)-2)/Max_Entry_Count)+1</f>
        <v>162</v>
      </c>
      <c r="B488" s="17" t="str">
        <f ca="1">IF($A488&gt;=ROWS(Entries)-2,"",IF(OFFSET('(2)出場選手'!$B$2,$A488,B$1+3*(MOD(ROWS($D$3:D488)-2,Max_Entry_Count)))="","",MOD(ROWS($D$3:D488)-2,Max_Entry_Count)))</f>
        <v/>
      </c>
      <c r="D488" s="26" t="str">
        <f ca="1">IF(OR($A488&gt;=ROWS(Entries)-2,$B488=""),"",'(1)鑑'!$E$6&amp;"-"&amp;OFFSET('(2)出場選手'!$B$2,$A488,D$1))</f>
        <v/>
      </c>
      <c r="E488" s="26" t="str">
        <f ca="1">IF($D488="","",OFFSET('(2)出場選手'!$B$2,$A488,E$1))</f>
        <v/>
      </c>
      <c r="F488" s="26" t="str">
        <f ca="1">IF($D488="","",IF(OFFSET('(2)出場選手'!$B$2,$A488,F$1)="","",OFFSET('(2)出場選手'!$B$2,$A488,F$1)))</f>
        <v/>
      </c>
      <c r="G488" s="26" t="str">
        <f t="shared" ca="1" si="32"/>
        <v/>
      </c>
      <c r="H488" s="26" t="str">
        <f t="shared" ca="1" si="36"/>
        <v/>
      </c>
      <c r="I488" s="26" t="str">
        <f ca="1">IF($D488="","",IF(OFFSET('(2)出場選手'!$B$2,$A488,I$1)="","",OFFSET('(2)出場選手'!$B$2,$A488,I$1)))</f>
        <v/>
      </c>
      <c r="J488" s="26" t="str">
        <f ca="1">IF($D488="","",IF(OFFSET('(2)出場選手'!$B$2,$A488,J$1)="",'(1)鑑'!$E$6,OFFSET('(2)出場選手'!$B$2,$A488,J$1)))</f>
        <v/>
      </c>
      <c r="K488" s="26" t="str">
        <f ca="1">IF($D488="","",TRIM(ASC(IF(OFFSET('(2)出場選手'!$B$2,$A488,K$1)="",'(1)鑑'!$E$7,OFFSET('(2)出場選手'!$B$2,$A488,K$1)))))</f>
        <v/>
      </c>
      <c r="L488" s="26" t="str">
        <f ca="1">IF($D488="","",SUBSTITUTE(SUBSTITUTE(SUBSTITUTE(IF(OFFSET('(2)出場選手'!$B$2,$A488,L$1)="",'(1)鑑'!$E$8,OFFSET('(2)出場選手'!$B$2,$A488,L$1)),"県",""),"府",""),"東京都","東京"))</f>
        <v/>
      </c>
      <c r="M488" s="57" t="str">
        <f ca="1">IF($D488="","",IF(OFFSET('(2)出場選手'!$B$2,$A488,M$1)="","",OFFSET('(2)出場選手'!$B$2,$A488,M$1)))</f>
        <v/>
      </c>
      <c r="N488" s="26" t="str">
        <f ca="1">IF($D488="","",OFFSET('(2)出場選手'!$B$2,$A488,N$1+3*$B488))</f>
        <v/>
      </c>
      <c r="O488" s="26" t="str">
        <f ca="1">IF($D488="","",IF(OFFSET('(2)出場選手'!$B$2,$A488,O$1+3*$B488)="","",OFFSET('(2)出場選手'!$B$2,$A488,O$1+3*$B488)))</f>
        <v/>
      </c>
      <c r="P488" s="26" t="str">
        <f ca="1">IF($D488="","",IF(OFFSET('(2)出場選手'!$B$2,$A488,P$1+3*$B488)="","",OFFSET('(2)出場選手'!$B$2,$A488,P$1+3*$B488)))</f>
        <v/>
      </c>
      <c r="Q488" s="43" t="str">
        <f ca="1">IF(D488="","",VLOOKUP(N488,OFFSET(Competition_Events,0,1),11,FALSE)*IF($S488="リレー",IF(COUNTIF($T$3:$T488,$T488)&gt;1,0,1),1))</f>
        <v/>
      </c>
      <c r="R488" s="26" t="str">
        <f t="shared" ca="1" si="33"/>
        <v/>
      </c>
      <c r="S488" s="26" t="str">
        <f t="shared" ca="1" si="34"/>
        <v/>
      </c>
      <c r="T488" s="26" t="str">
        <f t="shared" ca="1" si="35"/>
        <v/>
      </c>
      <c r="U488" s="26" t="str">
        <f t="shared" ca="1" si="31"/>
        <v/>
      </c>
      <c r="W488" s="17" t="str">
        <f ca="1">IF($D488="","",OFFSET('(2)出場選手'!$B$2,$A488,W$1))</f>
        <v/>
      </c>
      <c r="X488" s="17" t="str">
        <f ca="1">IF($D488="","",OFFSET('(2)出場選手'!$B$2,$A488,X$1))</f>
        <v/>
      </c>
      <c r="Y488" s="17" t="str">
        <f ca="1">IF($D488="","",OFFSET('(2)出場選手'!$B$2,$A488,Y$1))</f>
        <v/>
      </c>
      <c r="Z488" s="17" t="str">
        <f ca="1">IF($D488="","",OFFSET('(2)出場選手'!$B$2,$A488,Z$1))</f>
        <v/>
      </c>
    </row>
    <row r="489" spans="1:26" x14ac:dyDescent="0.15">
      <c r="A489" s="17">
        <f>TRUNC((ROWS($D$3:D489)-2)/Max_Entry_Count)+1</f>
        <v>162</v>
      </c>
      <c r="B489" s="17" t="str">
        <f ca="1">IF($A489&gt;=ROWS(Entries)-2,"",IF(OFFSET('(2)出場選手'!$B$2,$A489,B$1+3*(MOD(ROWS($D$3:D489)-2,Max_Entry_Count)))="","",MOD(ROWS($D$3:D489)-2,Max_Entry_Count)))</f>
        <v/>
      </c>
      <c r="D489" s="26" t="str">
        <f ca="1">IF(OR($A489&gt;=ROWS(Entries)-2,$B489=""),"",'(1)鑑'!$E$6&amp;"-"&amp;OFFSET('(2)出場選手'!$B$2,$A489,D$1))</f>
        <v/>
      </c>
      <c r="E489" s="26" t="str">
        <f ca="1">IF($D489="","",OFFSET('(2)出場選手'!$B$2,$A489,E$1))</f>
        <v/>
      </c>
      <c r="F489" s="26" t="str">
        <f ca="1">IF($D489="","",IF(OFFSET('(2)出場選手'!$B$2,$A489,F$1)="","",OFFSET('(2)出場選手'!$B$2,$A489,F$1)))</f>
        <v/>
      </c>
      <c r="G489" s="26" t="str">
        <f t="shared" ca="1" si="32"/>
        <v/>
      </c>
      <c r="H489" s="26" t="str">
        <f t="shared" ca="1" si="36"/>
        <v/>
      </c>
      <c r="I489" s="26" t="str">
        <f ca="1">IF($D489="","",IF(OFFSET('(2)出場選手'!$B$2,$A489,I$1)="","",OFFSET('(2)出場選手'!$B$2,$A489,I$1)))</f>
        <v/>
      </c>
      <c r="J489" s="26" t="str">
        <f ca="1">IF($D489="","",IF(OFFSET('(2)出場選手'!$B$2,$A489,J$1)="",'(1)鑑'!$E$6,OFFSET('(2)出場選手'!$B$2,$A489,J$1)))</f>
        <v/>
      </c>
      <c r="K489" s="26" t="str">
        <f ca="1">IF($D489="","",TRIM(ASC(IF(OFFSET('(2)出場選手'!$B$2,$A489,K$1)="",'(1)鑑'!$E$7,OFFSET('(2)出場選手'!$B$2,$A489,K$1)))))</f>
        <v/>
      </c>
      <c r="L489" s="26" t="str">
        <f ca="1">IF($D489="","",SUBSTITUTE(SUBSTITUTE(SUBSTITUTE(IF(OFFSET('(2)出場選手'!$B$2,$A489,L$1)="",'(1)鑑'!$E$8,OFFSET('(2)出場選手'!$B$2,$A489,L$1)),"県",""),"府",""),"東京都","東京"))</f>
        <v/>
      </c>
      <c r="M489" s="57" t="str">
        <f ca="1">IF($D489="","",IF(OFFSET('(2)出場選手'!$B$2,$A489,M$1)="","",OFFSET('(2)出場選手'!$B$2,$A489,M$1)))</f>
        <v/>
      </c>
      <c r="N489" s="26" t="str">
        <f ca="1">IF($D489="","",OFFSET('(2)出場選手'!$B$2,$A489,N$1+3*$B489))</f>
        <v/>
      </c>
      <c r="O489" s="26" t="str">
        <f ca="1">IF($D489="","",IF(OFFSET('(2)出場選手'!$B$2,$A489,O$1+3*$B489)="","",OFFSET('(2)出場選手'!$B$2,$A489,O$1+3*$B489)))</f>
        <v/>
      </c>
      <c r="P489" s="26" t="str">
        <f ca="1">IF($D489="","",IF(OFFSET('(2)出場選手'!$B$2,$A489,P$1+3*$B489)="","",OFFSET('(2)出場選手'!$B$2,$A489,P$1+3*$B489)))</f>
        <v/>
      </c>
      <c r="Q489" s="43" t="str">
        <f ca="1">IF(D489="","",VLOOKUP(N489,OFFSET(Competition_Events,0,1),11,FALSE)*IF($S489="リレー",IF(COUNTIF($T$3:$T489,$T489)&gt;1,0,1),1))</f>
        <v/>
      </c>
      <c r="R489" s="26" t="str">
        <f t="shared" ca="1" si="33"/>
        <v/>
      </c>
      <c r="S489" s="26" t="str">
        <f t="shared" ca="1" si="34"/>
        <v/>
      </c>
      <c r="T489" s="26" t="str">
        <f t="shared" ca="1" si="35"/>
        <v/>
      </c>
      <c r="U489" s="26" t="str">
        <f t="shared" ca="1" si="31"/>
        <v/>
      </c>
      <c r="W489" s="17" t="str">
        <f ca="1">IF($D489="","",OFFSET('(2)出場選手'!$B$2,$A489,W$1))</f>
        <v/>
      </c>
      <c r="X489" s="17" t="str">
        <f ca="1">IF($D489="","",OFFSET('(2)出場選手'!$B$2,$A489,X$1))</f>
        <v/>
      </c>
      <c r="Y489" s="17" t="str">
        <f ca="1">IF($D489="","",OFFSET('(2)出場選手'!$B$2,$A489,Y$1))</f>
        <v/>
      </c>
      <c r="Z489" s="17" t="str">
        <f ca="1">IF($D489="","",OFFSET('(2)出場選手'!$B$2,$A489,Z$1))</f>
        <v/>
      </c>
    </row>
    <row r="490" spans="1:26" x14ac:dyDescent="0.15">
      <c r="A490" s="17">
        <f>TRUNC((ROWS($D$3:D490)-2)/Max_Entry_Count)+1</f>
        <v>163</v>
      </c>
      <c r="B490" s="17" t="str">
        <f ca="1">IF($A490&gt;=ROWS(Entries)-2,"",IF(OFFSET('(2)出場選手'!$B$2,$A490,B$1+3*(MOD(ROWS($D$3:D490)-2,Max_Entry_Count)))="","",MOD(ROWS($D$3:D490)-2,Max_Entry_Count)))</f>
        <v/>
      </c>
      <c r="D490" s="26" t="str">
        <f ca="1">IF(OR($A490&gt;=ROWS(Entries)-2,$B490=""),"",'(1)鑑'!$E$6&amp;"-"&amp;OFFSET('(2)出場選手'!$B$2,$A490,D$1))</f>
        <v/>
      </c>
      <c r="E490" s="26" t="str">
        <f ca="1">IF($D490="","",OFFSET('(2)出場選手'!$B$2,$A490,E$1))</f>
        <v/>
      </c>
      <c r="F490" s="26" t="str">
        <f ca="1">IF($D490="","",IF(OFFSET('(2)出場選手'!$B$2,$A490,F$1)="","",OFFSET('(2)出場選手'!$B$2,$A490,F$1)))</f>
        <v/>
      </c>
      <c r="G490" s="26" t="str">
        <f t="shared" ca="1" si="32"/>
        <v/>
      </c>
      <c r="H490" s="26" t="str">
        <f t="shared" ca="1" si="36"/>
        <v/>
      </c>
      <c r="I490" s="26" t="str">
        <f ca="1">IF($D490="","",IF(OFFSET('(2)出場選手'!$B$2,$A490,I$1)="","",OFFSET('(2)出場選手'!$B$2,$A490,I$1)))</f>
        <v/>
      </c>
      <c r="J490" s="26" t="str">
        <f ca="1">IF($D490="","",IF(OFFSET('(2)出場選手'!$B$2,$A490,J$1)="",'(1)鑑'!$E$6,OFFSET('(2)出場選手'!$B$2,$A490,J$1)))</f>
        <v/>
      </c>
      <c r="K490" s="26" t="str">
        <f ca="1">IF($D490="","",TRIM(ASC(IF(OFFSET('(2)出場選手'!$B$2,$A490,K$1)="",'(1)鑑'!$E$7,OFFSET('(2)出場選手'!$B$2,$A490,K$1)))))</f>
        <v/>
      </c>
      <c r="L490" s="26" t="str">
        <f ca="1">IF($D490="","",SUBSTITUTE(SUBSTITUTE(SUBSTITUTE(IF(OFFSET('(2)出場選手'!$B$2,$A490,L$1)="",'(1)鑑'!$E$8,OFFSET('(2)出場選手'!$B$2,$A490,L$1)),"県",""),"府",""),"東京都","東京"))</f>
        <v/>
      </c>
      <c r="M490" s="57" t="str">
        <f ca="1">IF($D490="","",IF(OFFSET('(2)出場選手'!$B$2,$A490,M$1)="","",OFFSET('(2)出場選手'!$B$2,$A490,M$1)))</f>
        <v/>
      </c>
      <c r="N490" s="26" t="str">
        <f ca="1">IF($D490="","",OFFSET('(2)出場選手'!$B$2,$A490,N$1+3*$B490))</f>
        <v/>
      </c>
      <c r="O490" s="26" t="str">
        <f ca="1">IF($D490="","",IF(OFFSET('(2)出場選手'!$B$2,$A490,O$1+3*$B490)="","",OFFSET('(2)出場選手'!$B$2,$A490,O$1+3*$B490)))</f>
        <v/>
      </c>
      <c r="P490" s="26" t="str">
        <f ca="1">IF($D490="","",IF(OFFSET('(2)出場選手'!$B$2,$A490,P$1+3*$B490)="","",OFFSET('(2)出場選手'!$B$2,$A490,P$1+3*$B490)))</f>
        <v/>
      </c>
      <c r="Q490" s="43" t="str">
        <f ca="1">IF(D490="","",VLOOKUP(N490,OFFSET(Competition_Events,0,1),11,FALSE)*IF($S490="リレー",IF(COUNTIF($T$3:$T490,$T490)&gt;1,0,1),1))</f>
        <v/>
      </c>
      <c r="R490" s="26" t="str">
        <f t="shared" ca="1" si="33"/>
        <v/>
      </c>
      <c r="S490" s="26" t="str">
        <f t="shared" ca="1" si="34"/>
        <v/>
      </c>
      <c r="T490" s="26" t="str">
        <f t="shared" ca="1" si="35"/>
        <v/>
      </c>
      <c r="U490" s="26" t="str">
        <f t="shared" ca="1" si="31"/>
        <v/>
      </c>
      <c r="W490" s="17" t="str">
        <f ca="1">IF($D490="","",OFFSET('(2)出場選手'!$B$2,$A490,W$1))</f>
        <v/>
      </c>
      <c r="X490" s="17" t="str">
        <f ca="1">IF($D490="","",OFFSET('(2)出場選手'!$B$2,$A490,X$1))</f>
        <v/>
      </c>
      <c r="Y490" s="17" t="str">
        <f ca="1">IF($D490="","",OFFSET('(2)出場選手'!$B$2,$A490,Y$1))</f>
        <v/>
      </c>
      <c r="Z490" s="17" t="str">
        <f ca="1">IF($D490="","",OFFSET('(2)出場選手'!$B$2,$A490,Z$1))</f>
        <v/>
      </c>
    </row>
    <row r="491" spans="1:26" x14ac:dyDescent="0.15">
      <c r="A491" s="17">
        <f>TRUNC((ROWS($D$3:D491)-2)/Max_Entry_Count)+1</f>
        <v>163</v>
      </c>
      <c r="B491" s="17" t="str">
        <f ca="1">IF($A491&gt;=ROWS(Entries)-2,"",IF(OFFSET('(2)出場選手'!$B$2,$A491,B$1+3*(MOD(ROWS($D$3:D491)-2,Max_Entry_Count)))="","",MOD(ROWS($D$3:D491)-2,Max_Entry_Count)))</f>
        <v/>
      </c>
      <c r="D491" s="26" t="str">
        <f ca="1">IF(OR($A491&gt;=ROWS(Entries)-2,$B491=""),"",'(1)鑑'!$E$6&amp;"-"&amp;OFFSET('(2)出場選手'!$B$2,$A491,D$1))</f>
        <v/>
      </c>
      <c r="E491" s="26" t="str">
        <f ca="1">IF($D491="","",OFFSET('(2)出場選手'!$B$2,$A491,E$1))</f>
        <v/>
      </c>
      <c r="F491" s="26" t="str">
        <f ca="1">IF($D491="","",IF(OFFSET('(2)出場選手'!$B$2,$A491,F$1)="","",OFFSET('(2)出場選手'!$B$2,$A491,F$1)))</f>
        <v/>
      </c>
      <c r="G491" s="26" t="str">
        <f t="shared" ca="1" si="32"/>
        <v/>
      </c>
      <c r="H491" s="26" t="str">
        <f t="shared" ca="1" si="36"/>
        <v/>
      </c>
      <c r="I491" s="26" t="str">
        <f ca="1">IF($D491="","",IF(OFFSET('(2)出場選手'!$B$2,$A491,I$1)="","",OFFSET('(2)出場選手'!$B$2,$A491,I$1)))</f>
        <v/>
      </c>
      <c r="J491" s="26" t="str">
        <f ca="1">IF($D491="","",IF(OFFSET('(2)出場選手'!$B$2,$A491,J$1)="",'(1)鑑'!$E$6,OFFSET('(2)出場選手'!$B$2,$A491,J$1)))</f>
        <v/>
      </c>
      <c r="K491" s="26" t="str">
        <f ca="1">IF($D491="","",TRIM(ASC(IF(OFFSET('(2)出場選手'!$B$2,$A491,K$1)="",'(1)鑑'!$E$7,OFFSET('(2)出場選手'!$B$2,$A491,K$1)))))</f>
        <v/>
      </c>
      <c r="L491" s="26" t="str">
        <f ca="1">IF($D491="","",SUBSTITUTE(SUBSTITUTE(SUBSTITUTE(IF(OFFSET('(2)出場選手'!$B$2,$A491,L$1)="",'(1)鑑'!$E$8,OFFSET('(2)出場選手'!$B$2,$A491,L$1)),"県",""),"府",""),"東京都","東京"))</f>
        <v/>
      </c>
      <c r="M491" s="57" t="str">
        <f ca="1">IF($D491="","",IF(OFFSET('(2)出場選手'!$B$2,$A491,M$1)="","",OFFSET('(2)出場選手'!$B$2,$A491,M$1)))</f>
        <v/>
      </c>
      <c r="N491" s="26" t="str">
        <f ca="1">IF($D491="","",OFFSET('(2)出場選手'!$B$2,$A491,N$1+3*$B491))</f>
        <v/>
      </c>
      <c r="O491" s="26" t="str">
        <f ca="1">IF($D491="","",IF(OFFSET('(2)出場選手'!$B$2,$A491,O$1+3*$B491)="","",OFFSET('(2)出場選手'!$B$2,$A491,O$1+3*$B491)))</f>
        <v/>
      </c>
      <c r="P491" s="26" t="str">
        <f ca="1">IF($D491="","",IF(OFFSET('(2)出場選手'!$B$2,$A491,P$1+3*$B491)="","",OFFSET('(2)出場選手'!$B$2,$A491,P$1+3*$B491)))</f>
        <v/>
      </c>
      <c r="Q491" s="43" t="str">
        <f ca="1">IF(D491="","",VLOOKUP(N491,OFFSET(Competition_Events,0,1),11,FALSE)*IF($S491="リレー",IF(COUNTIF($T$3:$T491,$T491)&gt;1,0,1),1))</f>
        <v/>
      </c>
      <c r="R491" s="26" t="str">
        <f t="shared" ca="1" si="33"/>
        <v/>
      </c>
      <c r="S491" s="26" t="str">
        <f t="shared" ca="1" si="34"/>
        <v/>
      </c>
      <c r="T491" s="26" t="str">
        <f t="shared" ca="1" si="35"/>
        <v/>
      </c>
      <c r="U491" s="26" t="str">
        <f t="shared" ca="1" si="31"/>
        <v/>
      </c>
      <c r="W491" s="17" t="str">
        <f ca="1">IF($D491="","",OFFSET('(2)出場選手'!$B$2,$A491,W$1))</f>
        <v/>
      </c>
      <c r="X491" s="17" t="str">
        <f ca="1">IF($D491="","",OFFSET('(2)出場選手'!$B$2,$A491,X$1))</f>
        <v/>
      </c>
      <c r="Y491" s="17" t="str">
        <f ca="1">IF($D491="","",OFFSET('(2)出場選手'!$B$2,$A491,Y$1))</f>
        <v/>
      </c>
      <c r="Z491" s="17" t="str">
        <f ca="1">IF($D491="","",OFFSET('(2)出場選手'!$B$2,$A491,Z$1))</f>
        <v/>
      </c>
    </row>
    <row r="492" spans="1:26" x14ac:dyDescent="0.15">
      <c r="A492" s="17">
        <f>TRUNC((ROWS($D$3:D492)-2)/Max_Entry_Count)+1</f>
        <v>163</v>
      </c>
      <c r="B492" s="17" t="str">
        <f ca="1">IF($A492&gt;=ROWS(Entries)-2,"",IF(OFFSET('(2)出場選手'!$B$2,$A492,B$1+3*(MOD(ROWS($D$3:D492)-2,Max_Entry_Count)))="","",MOD(ROWS($D$3:D492)-2,Max_Entry_Count)))</f>
        <v/>
      </c>
      <c r="D492" s="26" t="str">
        <f ca="1">IF(OR($A492&gt;=ROWS(Entries)-2,$B492=""),"",'(1)鑑'!$E$6&amp;"-"&amp;OFFSET('(2)出場選手'!$B$2,$A492,D$1))</f>
        <v/>
      </c>
      <c r="E492" s="26" t="str">
        <f ca="1">IF($D492="","",OFFSET('(2)出場選手'!$B$2,$A492,E$1))</f>
        <v/>
      </c>
      <c r="F492" s="26" t="str">
        <f ca="1">IF($D492="","",IF(OFFSET('(2)出場選手'!$B$2,$A492,F$1)="","",OFFSET('(2)出場選手'!$B$2,$A492,F$1)))</f>
        <v/>
      </c>
      <c r="G492" s="26" t="str">
        <f t="shared" ca="1" si="32"/>
        <v/>
      </c>
      <c r="H492" s="26" t="str">
        <f t="shared" ca="1" si="36"/>
        <v/>
      </c>
      <c r="I492" s="26" t="str">
        <f ca="1">IF($D492="","",IF(OFFSET('(2)出場選手'!$B$2,$A492,I$1)="","",OFFSET('(2)出場選手'!$B$2,$A492,I$1)))</f>
        <v/>
      </c>
      <c r="J492" s="26" t="str">
        <f ca="1">IF($D492="","",IF(OFFSET('(2)出場選手'!$B$2,$A492,J$1)="",'(1)鑑'!$E$6,OFFSET('(2)出場選手'!$B$2,$A492,J$1)))</f>
        <v/>
      </c>
      <c r="K492" s="26" t="str">
        <f ca="1">IF($D492="","",TRIM(ASC(IF(OFFSET('(2)出場選手'!$B$2,$A492,K$1)="",'(1)鑑'!$E$7,OFFSET('(2)出場選手'!$B$2,$A492,K$1)))))</f>
        <v/>
      </c>
      <c r="L492" s="26" t="str">
        <f ca="1">IF($D492="","",SUBSTITUTE(SUBSTITUTE(SUBSTITUTE(IF(OFFSET('(2)出場選手'!$B$2,$A492,L$1)="",'(1)鑑'!$E$8,OFFSET('(2)出場選手'!$B$2,$A492,L$1)),"県",""),"府",""),"東京都","東京"))</f>
        <v/>
      </c>
      <c r="M492" s="57" t="str">
        <f ca="1">IF($D492="","",IF(OFFSET('(2)出場選手'!$B$2,$A492,M$1)="","",OFFSET('(2)出場選手'!$B$2,$A492,M$1)))</f>
        <v/>
      </c>
      <c r="N492" s="26" t="str">
        <f ca="1">IF($D492="","",OFFSET('(2)出場選手'!$B$2,$A492,N$1+3*$B492))</f>
        <v/>
      </c>
      <c r="O492" s="26" t="str">
        <f ca="1">IF($D492="","",IF(OFFSET('(2)出場選手'!$B$2,$A492,O$1+3*$B492)="","",OFFSET('(2)出場選手'!$B$2,$A492,O$1+3*$B492)))</f>
        <v/>
      </c>
      <c r="P492" s="26" t="str">
        <f ca="1">IF($D492="","",IF(OFFSET('(2)出場選手'!$B$2,$A492,P$1+3*$B492)="","",OFFSET('(2)出場選手'!$B$2,$A492,P$1+3*$B492)))</f>
        <v/>
      </c>
      <c r="Q492" s="43" t="str">
        <f ca="1">IF(D492="","",VLOOKUP(N492,OFFSET(Competition_Events,0,1),11,FALSE)*IF($S492="リレー",IF(COUNTIF($T$3:$T492,$T492)&gt;1,0,1),1))</f>
        <v/>
      </c>
      <c r="R492" s="26" t="str">
        <f t="shared" ca="1" si="33"/>
        <v/>
      </c>
      <c r="S492" s="26" t="str">
        <f t="shared" ca="1" si="34"/>
        <v/>
      </c>
      <c r="T492" s="26" t="str">
        <f t="shared" ca="1" si="35"/>
        <v/>
      </c>
      <c r="U492" s="26" t="str">
        <f t="shared" ca="1" si="31"/>
        <v/>
      </c>
      <c r="W492" s="17" t="str">
        <f ca="1">IF($D492="","",OFFSET('(2)出場選手'!$B$2,$A492,W$1))</f>
        <v/>
      </c>
      <c r="X492" s="17" t="str">
        <f ca="1">IF($D492="","",OFFSET('(2)出場選手'!$B$2,$A492,X$1))</f>
        <v/>
      </c>
      <c r="Y492" s="17" t="str">
        <f ca="1">IF($D492="","",OFFSET('(2)出場選手'!$B$2,$A492,Y$1))</f>
        <v/>
      </c>
      <c r="Z492" s="17" t="str">
        <f ca="1">IF($D492="","",OFFSET('(2)出場選手'!$B$2,$A492,Z$1))</f>
        <v/>
      </c>
    </row>
    <row r="493" spans="1:26" x14ac:dyDescent="0.15">
      <c r="A493" s="17">
        <f>TRUNC((ROWS($D$3:D493)-2)/Max_Entry_Count)+1</f>
        <v>164</v>
      </c>
      <c r="B493" s="17" t="str">
        <f ca="1">IF($A493&gt;=ROWS(Entries)-2,"",IF(OFFSET('(2)出場選手'!$B$2,$A493,B$1+3*(MOD(ROWS($D$3:D493)-2,Max_Entry_Count)))="","",MOD(ROWS($D$3:D493)-2,Max_Entry_Count)))</f>
        <v/>
      </c>
      <c r="D493" s="26" t="str">
        <f ca="1">IF(OR($A493&gt;=ROWS(Entries)-2,$B493=""),"",'(1)鑑'!$E$6&amp;"-"&amp;OFFSET('(2)出場選手'!$B$2,$A493,D$1))</f>
        <v/>
      </c>
      <c r="E493" s="26" t="str">
        <f ca="1">IF($D493="","",OFFSET('(2)出場選手'!$B$2,$A493,E$1))</f>
        <v/>
      </c>
      <c r="F493" s="26" t="str">
        <f ca="1">IF($D493="","",IF(OFFSET('(2)出場選手'!$B$2,$A493,F$1)="","",OFFSET('(2)出場選手'!$B$2,$A493,F$1)))</f>
        <v/>
      </c>
      <c r="G493" s="26" t="str">
        <f t="shared" ca="1" si="32"/>
        <v/>
      </c>
      <c r="H493" s="26" t="str">
        <f t="shared" ca="1" si="36"/>
        <v/>
      </c>
      <c r="I493" s="26" t="str">
        <f ca="1">IF($D493="","",IF(OFFSET('(2)出場選手'!$B$2,$A493,I$1)="","",OFFSET('(2)出場選手'!$B$2,$A493,I$1)))</f>
        <v/>
      </c>
      <c r="J493" s="26" t="str">
        <f ca="1">IF($D493="","",IF(OFFSET('(2)出場選手'!$B$2,$A493,J$1)="",'(1)鑑'!$E$6,OFFSET('(2)出場選手'!$B$2,$A493,J$1)))</f>
        <v/>
      </c>
      <c r="K493" s="26" t="str">
        <f ca="1">IF($D493="","",TRIM(ASC(IF(OFFSET('(2)出場選手'!$B$2,$A493,K$1)="",'(1)鑑'!$E$7,OFFSET('(2)出場選手'!$B$2,$A493,K$1)))))</f>
        <v/>
      </c>
      <c r="L493" s="26" t="str">
        <f ca="1">IF($D493="","",SUBSTITUTE(SUBSTITUTE(SUBSTITUTE(IF(OFFSET('(2)出場選手'!$B$2,$A493,L$1)="",'(1)鑑'!$E$8,OFFSET('(2)出場選手'!$B$2,$A493,L$1)),"県",""),"府",""),"東京都","東京"))</f>
        <v/>
      </c>
      <c r="M493" s="57" t="str">
        <f ca="1">IF($D493="","",IF(OFFSET('(2)出場選手'!$B$2,$A493,M$1)="","",OFFSET('(2)出場選手'!$B$2,$A493,M$1)))</f>
        <v/>
      </c>
      <c r="N493" s="26" t="str">
        <f ca="1">IF($D493="","",OFFSET('(2)出場選手'!$B$2,$A493,N$1+3*$B493))</f>
        <v/>
      </c>
      <c r="O493" s="26" t="str">
        <f ca="1">IF($D493="","",IF(OFFSET('(2)出場選手'!$B$2,$A493,O$1+3*$B493)="","",OFFSET('(2)出場選手'!$B$2,$A493,O$1+3*$B493)))</f>
        <v/>
      </c>
      <c r="P493" s="26" t="str">
        <f ca="1">IF($D493="","",IF(OFFSET('(2)出場選手'!$B$2,$A493,P$1+3*$B493)="","",OFFSET('(2)出場選手'!$B$2,$A493,P$1+3*$B493)))</f>
        <v/>
      </c>
      <c r="Q493" s="43" t="str">
        <f ca="1">IF(D493="","",VLOOKUP(N493,OFFSET(Competition_Events,0,1),11,FALSE)*IF($S493="リレー",IF(COUNTIF($T$3:$T493,$T493)&gt;1,0,1),1))</f>
        <v/>
      </c>
      <c r="R493" s="26" t="str">
        <f t="shared" ca="1" si="33"/>
        <v/>
      </c>
      <c r="S493" s="26" t="str">
        <f t="shared" ca="1" si="34"/>
        <v/>
      </c>
      <c r="T493" s="26" t="str">
        <f t="shared" ca="1" si="35"/>
        <v/>
      </c>
      <c r="U493" s="26" t="str">
        <f t="shared" ca="1" si="31"/>
        <v/>
      </c>
      <c r="W493" s="17" t="str">
        <f ca="1">IF($D493="","",OFFSET('(2)出場選手'!$B$2,$A493,W$1))</f>
        <v/>
      </c>
      <c r="X493" s="17" t="str">
        <f ca="1">IF($D493="","",OFFSET('(2)出場選手'!$B$2,$A493,X$1))</f>
        <v/>
      </c>
      <c r="Y493" s="17" t="str">
        <f ca="1">IF($D493="","",OFFSET('(2)出場選手'!$B$2,$A493,Y$1))</f>
        <v/>
      </c>
      <c r="Z493" s="17" t="str">
        <f ca="1">IF($D493="","",OFFSET('(2)出場選手'!$B$2,$A493,Z$1))</f>
        <v/>
      </c>
    </row>
    <row r="494" spans="1:26" x14ac:dyDescent="0.15">
      <c r="A494" s="17">
        <f>TRUNC((ROWS($D$3:D494)-2)/Max_Entry_Count)+1</f>
        <v>164</v>
      </c>
      <c r="B494" s="17" t="str">
        <f ca="1">IF($A494&gt;=ROWS(Entries)-2,"",IF(OFFSET('(2)出場選手'!$B$2,$A494,B$1+3*(MOD(ROWS($D$3:D494)-2,Max_Entry_Count)))="","",MOD(ROWS($D$3:D494)-2,Max_Entry_Count)))</f>
        <v/>
      </c>
      <c r="D494" s="26" t="str">
        <f ca="1">IF(OR($A494&gt;=ROWS(Entries)-2,$B494=""),"",'(1)鑑'!$E$6&amp;"-"&amp;OFFSET('(2)出場選手'!$B$2,$A494,D$1))</f>
        <v/>
      </c>
      <c r="E494" s="26" t="str">
        <f ca="1">IF($D494="","",OFFSET('(2)出場選手'!$B$2,$A494,E$1))</f>
        <v/>
      </c>
      <c r="F494" s="26" t="str">
        <f ca="1">IF($D494="","",IF(OFFSET('(2)出場選手'!$B$2,$A494,F$1)="","",OFFSET('(2)出場選手'!$B$2,$A494,F$1)))</f>
        <v/>
      </c>
      <c r="G494" s="26" t="str">
        <f t="shared" ca="1" si="32"/>
        <v/>
      </c>
      <c r="H494" s="26" t="str">
        <f t="shared" ca="1" si="36"/>
        <v/>
      </c>
      <c r="I494" s="26" t="str">
        <f ca="1">IF($D494="","",IF(OFFSET('(2)出場選手'!$B$2,$A494,I$1)="","",OFFSET('(2)出場選手'!$B$2,$A494,I$1)))</f>
        <v/>
      </c>
      <c r="J494" s="26" t="str">
        <f ca="1">IF($D494="","",IF(OFFSET('(2)出場選手'!$B$2,$A494,J$1)="",'(1)鑑'!$E$6,OFFSET('(2)出場選手'!$B$2,$A494,J$1)))</f>
        <v/>
      </c>
      <c r="K494" s="26" t="str">
        <f ca="1">IF($D494="","",TRIM(ASC(IF(OFFSET('(2)出場選手'!$B$2,$A494,K$1)="",'(1)鑑'!$E$7,OFFSET('(2)出場選手'!$B$2,$A494,K$1)))))</f>
        <v/>
      </c>
      <c r="L494" s="26" t="str">
        <f ca="1">IF($D494="","",SUBSTITUTE(SUBSTITUTE(SUBSTITUTE(IF(OFFSET('(2)出場選手'!$B$2,$A494,L$1)="",'(1)鑑'!$E$8,OFFSET('(2)出場選手'!$B$2,$A494,L$1)),"県",""),"府",""),"東京都","東京"))</f>
        <v/>
      </c>
      <c r="M494" s="57" t="str">
        <f ca="1">IF($D494="","",IF(OFFSET('(2)出場選手'!$B$2,$A494,M$1)="","",OFFSET('(2)出場選手'!$B$2,$A494,M$1)))</f>
        <v/>
      </c>
      <c r="N494" s="26" t="str">
        <f ca="1">IF($D494="","",OFFSET('(2)出場選手'!$B$2,$A494,N$1+3*$B494))</f>
        <v/>
      </c>
      <c r="O494" s="26" t="str">
        <f ca="1">IF($D494="","",IF(OFFSET('(2)出場選手'!$B$2,$A494,O$1+3*$B494)="","",OFFSET('(2)出場選手'!$B$2,$A494,O$1+3*$B494)))</f>
        <v/>
      </c>
      <c r="P494" s="26" t="str">
        <f ca="1">IF($D494="","",IF(OFFSET('(2)出場選手'!$B$2,$A494,P$1+3*$B494)="","",OFFSET('(2)出場選手'!$B$2,$A494,P$1+3*$B494)))</f>
        <v/>
      </c>
      <c r="Q494" s="43" t="str">
        <f ca="1">IF(D494="","",VLOOKUP(N494,OFFSET(Competition_Events,0,1),11,FALSE)*IF($S494="リレー",IF(COUNTIF($T$3:$T494,$T494)&gt;1,0,1),1))</f>
        <v/>
      </c>
      <c r="R494" s="26" t="str">
        <f t="shared" ca="1" si="33"/>
        <v/>
      </c>
      <c r="S494" s="26" t="str">
        <f t="shared" ca="1" si="34"/>
        <v/>
      </c>
      <c r="T494" s="26" t="str">
        <f t="shared" ca="1" si="35"/>
        <v/>
      </c>
      <c r="U494" s="26" t="str">
        <f t="shared" ca="1" si="31"/>
        <v/>
      </c>
      <c r="W494" s="17" t="str">
        <f ca="1">IF($D494="","",OFFSET('(2)出場選手'!$B$2,$A494,W$1))</f>
        <v/>
      </c>
      <c r="X494" s="17" t="str">
        <f ca="1">IF($D494="","",OFFSET('(2)出場選手'!$B$2,$A494,X$1))</f>
        <v/>
      </c>
      <c r="Y494" s="17" t="str">
        <f ca="1">IF($D494="","",OFFSET('(2)出場選手'!$B$2,$A494,Y$1))</f>
        <v/>
      </c>
      <c r="Z494" s="17" t="str">
        <f ca="1">IF($D494="","",OFFSET('(2)出場選手'!$B$2,$A494,Z$1))</f>
        <v/>
      </c>
    </row>
    <row r="495" spans="1:26" x14ac:dyDescent="0.15">
      <c r="A495" s="17">
        <f>TRUNC((ROWS($D$3:D495)-2)/Max_Entry_Count)+1</f>
        <v>164</v>
      </c>
      <c r="B495" s="17" t="str">
        <f ca="1">IF($A495&gt;=ROWS(Entries)-2,"",IF(OFFSET('(2)出場選手'!$B$2,$A495,B$1+3*(MOD(ROWS($D$3:D495)-2,Max_Entry_Count)))="","",MOD(ROWS($D$3:D495)-2,Max_Entry_Count)))</f>
        <v/>
      </c>
      <c r="D495" s="26" t="str">
        <f ca="1">IF(OR($A495&gt;=ROWS(Entries)-2,$B495=""),"",'(1)鑑'!$E$6&amp;"-"&amp;OFFSET('(2)出場選手'!$B$2,$A495,D$1))</f>
        <v/>
      </c>
      <c r="E495" s="26" t="str">
        <f ca="1">IF($D495="","",OFFSET('(2)出場選手'!$B$2,$A495,E$1))</f>
        <v/>
      </c>
      <c r="F495" s="26" t="str">
        <f ca="1">IF($D495="","",IF(OFFSET('(2)出場選手'!$B$2,$A495,F$1)="","",OFFSET('(2)出場選手'!$B$2,$A495,F$1)))</f>
        <v/>
      </c>
      <c r="G495" s="26" t="str">
        <f t="shared" ca="1" si="32"/>
        <v/>
      </c>
      <c r="H495" s="26" t="str">
        <f t="shared" ca="1" si="36"/>
        <v/>
      </c>
      <c r="I495" s="26" t="str">
        <f ca="1">IF($D495="","",IF(OFFSET('(2)出場選手'!$B$2,$A495,I$1)="","",OFFSET('(2)出場選手'!$B$2,$A495,I$1)))</f>
        <v/>
      </c>
      <c r="J495" s="26" t="str">
        <f ca="1">IF($D495="","",IF(OFFSET('(2)出場選手'!$B$2,$A495,J$1)="",'(1)鑑'!$E$6,OFFSET('(2)出場選手'!$B$2,$A495,J$1)))</f>
        <v/>
      </c>
      <c r="K495" s="26" t="str">
        <f ca="1">IF($D495="","",TRIM(ASC(IF(OFFSET('(2)出場選手'!$B$2,$A495,K$1)="",'(1)鑑'!$E$7,OFFSET('(2)出場選手'!$B$2,$A495,K$1)))))</f>
        <v/>
      </c>
      <c r="L495" s="26" t="str">
        <f ca="1">IF($D495="","",SUBSTITUTE(SUBSTITUTE(SUBSTITUTE(IF(OFFSET('(2)出場選手'!$B$2,$A495,L$1)="",'(1)鑑'!$E$8,OFFSET('(2)出場選手'!$B$2,$A495,L$1)),"県",""),"府",""),"東京都","東京"))</f>
        <v/>
      </c>
      <c r="M495" s="57" t="str">
        <f ca="1">IF($D495="","",IF(OFFSET('(2)出場選手'!$B$2,$A495,M$1)="","",OFFSET('(2)出場選手'!$B$2,$A495,M$1)))</f>
        <v/>
      </c>
      <c r="N495" s="26" t="str">
        <f ca="1">IF($D495="","",OFFSET('(2)出場選手'!$B$2,$A495,N$1+3*$B495))</f>
        <v/>
      </c>
      <c r="O495" s="26" t="str">
        <f ca="1">IF($D495="","",IF(OFFSET('(2)出場選手'!$B$2,$A495,O$1+3*$B495)="","",OFFSET('(2)出場選手'!$B$2,$A495,O$1+3*$B495)))</f>
        <v/>
      </c>
      <c r="P495" s="26" t="str">
        <f ca="1">IF($D495="","",IF(OFFSET('(2)出場選手'!$B$2,$A495,P$1+3*$B495)="","",OFFSET('(2)出場選手'!$B$2,$A495,P$1+3*$B495)))</f>
        <v/>
      </c>
      <c r="Q495" s="43" t="str">
        <f ca="1">IF(D495="","",VLOOKUP(N495,OFFSET(Competition_Events,0,1),11,FALSE)*IF($S495="リレー",IF(COUNTIF($T$3:$T495,$T495)&gt;1,0,1),1))</f>
        <v/>
      </c>
      <c r="R495" s="26" t="str">
        <f t="shared" ca="1" si="33"/>
        <v/>
      </c>
      <c r="S495" s="26" t="str">
        <f t="shared" ca="1" si="34"/>
        <v/>
      </c>
      <c r="T495" s="26" t="str">
        <f t="shared" ca="1" si="35"/>
        <v/>
      </c>
      <c r="U495" s="26" t="str">
        <f t="shared" ca="1" si="31"/>
        <v/>
      </c>
      <c r="W495" s="17" t="str">
        <f ca="1">IF($D495="","",OFFSET('(2)出場選手'!$B$2,$A495,W$1))</f>
        <v/>
      </c>
      <c r="X495" s="17" t="str">
        <f ca="1">IF($D495="","",OFFSET('(2)出場選手'!$B$2,$A495,X$1))</f>
        <v/>
      </c>
      <c r="Y495" s="17" t="str">
        <f ca="1">IF($D495="","",OFFSET('(2)出場選手'!$B$2,$A495,Y$1))</f>
        <v/>
      </c>
      <c r="Z495" s="17" t="str">
        <f ca="1">IF($D495="","",OFFSET('(2)出場選手'!$B$2,$A495,Z$1))</f>
        <v/>
      </c>
    </row>
    <row r="496" spans="1:26" x14ac:dyDescent="0.15">
      <c r="A496" s="17">
        <f>TRUNC((ROWS($D$3:D496)-2)/Max_Entry_Count)+1</f>
        <v>165</v>
      </c>
      <c r="B496" s="17" t="str">
        <f ca="1">IF($A496&gt;=ROWS(Entries)-2,"",IF(OFFSET('(2)出場選手'!$B$2,$A496,B$1+3*(MOD(ROWS($D$3:D496)-2,Max_Entry_Count)))="","",MOD(ROWS($D$3:D496)-2,Max_Entry_Count)))</f>
        <v/>
      </c>
      <c r="D496" s="26" t="str">
        <f ca="1">IF(OR($A496&gt;=ROWS(Entries)-2,$B496=""),"",'(1)鑑'!$E$6&amp;"-"&amp;OFFSET('(2)出場選手'!$B$2,$A496,D$1))</f>
        <v/>
      </c>
      <c r="E496" s="26" t="str">
        <f ca="1">IF($D496="","",OFFSET('(2)出場選手'!$B$2,$A496,E$1))</f>
        <v/>
      </c>
      <c r="F496" s="26" t="str">
        <f ca="1">IF($D496="","",IF(OFFSET('(2)出場選手'!$B$2,$A496,F$1)="","",OFFSET('(2)出場選手'!$B$2,$A496,F$1)))</f>
        <v/>
      </c>
      <c r="G496" s="26" t="str">
        <f t="shared" ca="1" si="32"/>
        <v/>
      </c>
      <c r="H496" s="26" t="str">
        <f t="shared" ca="1" si="36"/>
        <v/>
      </c>
      <c r="I496" s="26" t="str">
        <f ca="1">IF($D496="","",IF(OFFSET('(2)出場選手'!$B$2,$A496,I$1)="","",OFFSET('(2)出場選手'!$B$2,$A496,I$1)))</f>
        <v/>
      </c>
      <c r="J496" s="26" t="str">
        <f ca="1">IF($D496="","",IF(OFFSET('(2)出場選手'!$B$2,$A496,J$1)="",'(1)鑑'!$E$6,OFFSET('(2)出場選手'!$B$2,$A496,J$1)))</f>
        <v/>
      </c>
      <c r="K496" s="26" t="str">
        <f ca="1">IF($D496="","",TRIM(ASC(IF(OFFSET('(2)出場選手'!$B$2,$A496,K$1)="",'(1)鑑'!$E$7,OFFSET('(2)出場選手'!$B$2,$A496,K$1)))))</f>
        <v/>
      </c>
      <c r="L496" s="26" t="str">
        <f ca="1">IF($D496="","",SUBSTITUTE(SUBSTITUTE(SUBSTITUTE(IF(OFFSET('(2)出場選手'!$B$2,$A496,L$1)="",'(1)鑑'!$E$8,OFFSET('(2)出場選手'!$B$2,$A496,L$1)),"県",""),"府",""),"東京都","東京"))</f>
        <v/>
      </c>
      <c r="M496" s="57" t="str">
        <f ca="1">IF($D496="","",IF(OFFSET('(2)出場選手'!$B$2,$A496,M$1)="","",OFFSET('(2)出場選手'!$B$2,$A496,M$1)))</f>
        <v/>
      </c>
      <c r="N496" s="26" t="str">
        <f ca="1">IF($D496="","",OFFSET('(2)出場選手'!$B$2,$A496,N$1+3*$B496))</f>
        <v/>
      </c>
      <c r="O496" s="26" t="str">
        <f ca="1">IF($D496="","",IF(OFFSET('(2)出場選手'!$B$2,$A496,O$1+3*$B496)="","",OFFSET('(2)出場選手'!$B$2,$A496,O$1+3*$B496)))</f>
        <v/>
      </c>
      <c r="P496" s="26" t="str">
        <f ca="1">IF($D496="","",IF(OFFSET('(2)出場選手'!$B$2,$A496,P$1+3*$B496)="","",OFFSET('(2)出場選手'!$B$2,$A496,P$1+3*$B496)))</f>
        <v/>
      </c>
      <c r="Q496" s="43" t="str">
        <f ca="1">IF(D496="","",VLOOKUP(N496,OFFSET(Competition_Events,0,1),11,FALSE)*IF($S496="リレー",IF(COUNTIF($T$3:$T496,$T496)&gt;1,0,1),1))</f>
        <v/>
      </c>
      <c r="R496" s="26" t="str">
        <f t="shared" ca="1" si="33"/>
        <v/>
      </c>
      <c r="S496" s="26" t="str">
        <f t="shared" ca="1" si="34"/>
        <v/>
      </c>
      <c r="T496" s="26" t="str">
        <f t="shared" ca="1" si="35"/>
        <v/>
      </c>
      <c r="U496" s="26" t="str">
        <f t="shared" ca="1" si="31"/>
        <v/>
      </c>
      <c r="W496" s="17" t="str">
        <f ca="1">IF($D496="","",OFFSET('(2)出場選手'!$B$2,$A496,W$1))</f>
        <v/>
      </c>
      <c r="X496" s="17" t="str">
        <f ca="1">IF($D496="","",OFFSET('(2)出場選手'!$B$2,$A496,X$1))</f>
        <v/>
      </c>
      <c r="Y496" s="17" t="str">
        <f ca="1">IF($D496="","",OFFSET('(2)出場選手'!$B$2,$A496,Y$1))</f>
        <v/>
      </c>
      <c r="Z496" s="17" t="str">
        <f ca="1">IF($D496="","",OFFSET('(2)出場選手'!$B$2,$A496,Z$1))</f>
        <v/>
      </c>
    </row>
    <row r="497" spans="1:26" x14ac:dyDescent="0.15">
      <c r="A497" s="17">
        <f>TRUNC((ROWS($D$3:D497)-2)/Max_Entry_Count)+1</f>
        <v>165</v>
      </c>
      <c r="B497" s="17" t="str">
        <f ca="1">IF($A497&gt;=ROWS(Entries)-2,"",IF(OFFSET('(2)出場選手'!$B$2,$A497,B$1+3*(MOD(ROWS($D$3:D497)-2,Max_Entry_Count)))="","",MOD(ROWS($D$3:D497)-2,Max_Entry_Count)))</f>
        <v/>
      </c>
      <c r="D497" s="26" t="str">
        <f ca="1">IF(OR($A497&gt;=ROWS(Entries)-2,$B497=""),"",'(1)鑑'!$E$6&amp;"-"&amp;OFFSET('(2)出場選手'!$B$2,$A497,D$1))</f>
        <v/>
      </c>
      <c r="E497" s="26" t="str">
        <f ca="1">IF($D497="","",OFFSET('(2)出場選手'!$B$2,$A497,E$1))</f>
        <v/>
      </c>
      <c r="F497" s="26" t="str">
        <f ca="1">IF($D497="","",IF(OFFSET('(2)出場選手'!$B$2,$A497,F$1)="","",OFFSET('(2)出場選手'!$B$2,$A497,F$1)))</f>
        <v/>
      </c>
      <c r="G497" s="26" t="str">
        <f t="shared" ca="1" si="32"/>
        <v/>
      </c>
      <c r="H497" s="26" t="str">
        <f t="shared" ca="1" si="36"/>
        <v/>
      </c>
      <c r="I497" s="26" t="str">
        <f ca="1">IF($D497="","",IF(OFFSET('(2)出場選手'!$B$2,$A497,I$1)="","",OFFSET('(2)出場選手'!$B$2,$A497,I$1)))</f>
        <v/>
      </c>
      <c r="J497" s="26" t="str">
        <f ca="1">IF($D497="","",IF(OFFSET('(2)出場選手'!$B$2,$A497,J$1)="",'(1)鑑'!$E$6,OFFSET('(2)出場選手'!$B$2,$A497,J$1)))</f>
        <v/>
      </c>
      <c r="K497" s="26" t="str">
        <f ca="1">IF($D497="","",TRIM(ASC(IF(OFFSET('(2)出場選手'!$B$2,$A497,K$1)="",'(1)鑑'!$E$7,OFFSET('(2)出場選手'!$B$2,$A497,K$1)))))</f>
        <v/>
      </c>
      <c r="L497" s="26" t="str">
        <f ca="1">IF($D497="","",SUBSTITUTE(SUBSTITUTE(SUBSTITUTE(IF(OFFSET('(2)出場選手'!$B$2,$A497,L$1)="",'(1)鑑'!$E$8,OFFSET('(2)出場選手'!$B$2,$A497,L$1)),"県",""),"府",""),"東京都","東京"))</f>
        <v/>
      </c>
      <c r="M497" s="57" t="str">
        <f ca="1">IF($D497="","",IF(OFFSET('(2)出場選手'!$B$2,$A497,M$1)="","",OFFSET('(2)出場選手'!$B$2,$A497,M$1)))</f>
        <v/>
      </c>
      <c r="N497" s="26" t="str">
        <f ca="1">IF($D497="","",OFFSET('(2)出場選手'!$B$2,$A497,N$1+3*$B497))</f>
        <v/>
      </c>
      <c r="O497" s="26" t="str">
        <f ca="1">IF($D497="","",IF(OFFSET('(2)出場選手'!$B$2,$A497,O$1+3*$B497)="","",OFFSET('(2)出場選手'!$B$2,$A497,O$1+3*$B497)))</f>
        <v/>
      </c>
      <c r="P497" s="26" t="str">
        <f ca="1">IF($D497="","",IF(OFFSET('(2)出場選手'!$B$2,$A497,P$1+3*$B497)="","",OFFSET('(2)出場選手'!$B$2,$A497,P$1+3*$B497)))</f>
        <v/>
      </c>
      <c r="Q497" s="43" t="str">
        <f ca="1">IF(D497="","",VLOOKUP(N497,OFFSET(Competition_Events,0,1),11,FALSE)*IF($S497="リレー",IF(COUNTIF($T$3:$T497,$T497)&gt;1,0,1),1))</f>
        <v/>
      </c>
      <c r="R497" s="26" t="str">
        <f t="shared" ca="1" si="33"/>
        <v/>
      </c>
      <c r="S497" s="26" t="str">
        <f t="shared" ca="1" si="34"/>
        <v/>
      </c>
      <c r="T497" s="26" t="str">
        <f t="shared" ca="1" si="35"/>
        <v/>
      </c>
      <c r="U497" s="26" t="str">
        <f t="shared" ca="1" si="31"/>
        <v/>
      </c>
      <c r="W497" s="17" t="str">
        <f ca="1">IF($D497="","",OFFSET('(2)出場選手'!$B$2,$A497,W$1))</f>
        <v/>
      </c>
      <c r="X497" s="17" t="str">
        <f ca="1">IF($D497="","",OFFSET('(2)出場選手'!$B$2,$A497,X$1))</f>
        <v/>
      </c>
      <c r="Y497" s="17" t="str">
        <f ca="1">IF($D497="","",OFFSET('(2)出場選手'!$B$2,$A497,Y$1))</f>
        <v/>
      </c>
      <c r="Z497" s="17" t="str">
        <f ca="1">IF($D497="","",OFFSET('(2)出場選手'!$B$2,$A497,Z$1))</f>
        <v/>
      </c>
    </row>
    <row r="498" spans="1:26" x14ac:dyDescent="0.15">
      <c r="A498" s="17">
        <f>TRUNC((ROWS($D$3:D498)-2)/Max_Entry_Count)+1</f>
        <v>165</v>
      </c>
      <c r="B498" s="17" t="str">
        <f ca="1">IF($A498&gt;=ROWS(Entries)-2,"",IF(OFFSET('(2)出場選手'!$B$2,$A498,B$1+3*(MOD(ROWS($D$3:D498)-2,Max_Entry_Count)))="","",MOD(ROWS($D$3:D498)-2,Max_Entry_Count)))</f>
        <v/>
      </c>
      <c r="D498" s="26" t="str">
        <f ca="1">IF(OR($A498&gt;=ROWS(Entries)-2,$B498=""),"",'(1)鑑'!$E$6&amp;"-"&amp;OFFSET('(2)出場選手'!$B$2,$A498,D$1))</f>
        <v/>
      </c>
      <c r="E498" s="26" t="str">
        <f ca="1">IF($D498="","",OFFSET('(2)出場選手'!$B$2,$A498,E$1))</f>
        <v/>
      </c>
      <c r="F498" s="26" t="str">
        <f ca="1">IF($D498="","",IF(OFFSET('(2)出場選手'!$B$2,$A498,F$1)="","",OFFSET('(2)出場選手'!$B$2,$A498,F$1)))</f>
        <v/>
      </c>
      <c r="G498" s="26" t="str">
        <f t="shared" ca="1" si="32"/>
        <v/>
      </c>
      <c r="H498" s="26" t="str">
        <f t="shared" ca="1" si="36"/>
        <v/>
      </c>
      <c r="I498" s="26" t="str">
        <f ca="1">IF($D498="","",IF(OFFSET('(2)出場選手'!$B$2,$A498,I$1)="","",OFFSET('(2)出場選手'!$B$2,$A498,I$1)))</f>
        <v/>
      </c>
      <c r="J498" s="26" t="str">
        <f ca="1">IF($D498="","",IF(OFFSET('(2)出場選手'!$B$2,$A498,J$1)="",'(1)鑑'!$E$6,OFFSET('(2)出場選手'!$B$2,$A498,J$1)))</f>
        <v/>
      </c>
      <c r="K498" s="26" t="str">
        <f ca="1">IF($D498="","",TRIM(ASC(IF(OFFSET('(2)出場選手'!$B$2,$A498,K$1)="",'(1)鑑'!$E$7,OFFSET('(2)出場選手'!$B$2,$A498,K$1)))))</f>
        <v/>
      </c>
      <c r="L498" s="26" t="str">
        <f ca="1">IF($D498="","",SUBSTITUTE(SUBSTITUTE(SUBSTITUTE(IF(OFFSET('(2)出場選手'!$B$2,$A498,L$1)="",'(1)鑑'!$E$8,OFFSET('(2)出場選手'!$B$2,$A498,L$1)),"県",""),"府",""),"東京都","東京"))</f>
        <v/>
      </c>
      <c r="M498" s="57" t="str">
        <f ca="1">IF($D498="","",IF(OFFSET('(2)出場選手'!$B$2,$A498,M$1)="","",OFFSET('(2)出場選手'!$B$2,$A498,M$1)))</f>
        <v/>
      </c>
      <c r="N498" s="26" t="str">
        <f ca="1">IF($D498="","",OFFSET('(2)出場選手'!$B$2,$A498,N$1+3*$B498))</f>
        <v/>
      </c>
      <c r="O498" s="26" t="str">
        <f ca="1">IF($D498="","",IF(OFFSET('(2)出場選手'!$B$2,$A498,O$1+3*$B498)="","",OFFSET('(2)出場選手'!$B$2,$A498,O$1+3*$B498)))</f>
        <v/>
      </c>
      <c r="P498" s="26" t="str">
        <f ca="1">IF($D498="","",IF(OFFSET('(2)出場選手'!$B$2,$A498,P$1+3*$B498)="","",OFFSET('(2)出場選手'!$B$2,$A498,P$1+3*$B498)))</f>
        <v/>
      </c>
      <c r="Q498" s="43" t="str">
        <f ca="1">IF(D498="","",VLOOKUP(N498,OFFSET(Competition_Events,0,1),11,FALSE)*IF($S498="リレー",IF(COUNTIF($T$3:$T498,$T498)&gt;1,0,1),1))</f>
        <v/>
      </c>
      <c r="R498" s="26" t="str">
        <f t="shared" ca="1" si="33"/>
        <v/>
      </c>
      <c r="S498" s="26" t="str">
        <f t="shared" ca="1" si="34"/>
        <v/>
      </c>
      <c r="T498" s="26" t="str">
        <f t="shared" ca="1" si="35"/>
        <v/>
      </c>
      <c r="U498" s="26" t="str">
        <f t="shared" ca="1" si="31"/>
        <v/>
      </c>
      <c r="W498" s="17" t="str">
        <f ca="1">IF($D498="","",OFFSET('(2)出場選手'!$B$2,$A498,W$1))</f>
        <v/>
      </c>
      <c r="X498" s="17" t="str">
        <f ca="1">IF($D498="","",OFFSET('(2)出場選手'!$B$2,$A498,X$1))</f>
        <v/>
      </c>
      <c r="Y498" s="17" t="str">
        <f ca="1">IF($D498="","",OFFSET('(2)出場選手'!$B$2,$A498,Y$1))</f>
        <v/>
      </c>
      <c r="Z498" s="17" t="str">
        <f ca="1">IF($D498="","",OFFSET('(2)出場選手'!$B$2,$A498,Z$1))</f>
        <v/>
      </c>
    </row>
    <row r="499" spans="1:26" x14ac:dyDescent="0.15">
      <c r="A499" s="17">
        <f>TRUNC((ROWS($D$3:D499)-2)/Max_Entry_Count)+1</f>
        <v>166</v>
      </c>
      <c r="B499" s="17" t="str">
        <f ca="1">IF($A499&gt;=ROWS(Entries)-2,"",IF(OFFSET('(2)出場選手'!$B$2,$A499,B$1+3*(MOD(ROWS($D$3:D499)-2,Max_Entry_Count)))="","",MOD(ROWS($D$3:D499)-2,Max_Entry_Count)))</f>
        <v/>
      </c>
      <c r="D499" s="26" t="str">
        <f ca="1">IF(OR($A499&gt;=ROWS(Entries)-2,$B499=""),"",'(1)鑑'!$E$6&amp;"-"&amp;OFFSET('(2)出場選手'!$B$2,$A499,D$1))</f>
        <v/>
      </c>
      <c r="E499" s="26" t="str">
        <f ca="1">IF($D499="","",OFFSET('(2)出場選手'!$B$2,$A499,E$1))</f>
        <v/>
      </c>
      <c r="F499" s="26" t="str">
        <f ca="1">IF($D499="","",IF(OFFSET('(2)出場選手'!$B$2,$A499,F$1)="","",OFFSET('(2)出場選手'!$B$2,$A499,F$1)))</f>
        <v/>
      </c>
      <c r="G499" s="26" t="str">
        <f t="shared" ca="1" si="32"/>
        <v/>
      </c>
      <c r="H499" s="26" t="str">
        <f t="shared" ca="1" si="36"/>
        <v/>
      </c>
      <c r="I499" s="26" t="str">
        <f ca="1">IF($D499="","",IF(OFFSET('(2)出場選手'!$B$2,$A499,I$1)="","",OFFSET('(2)出場選手'!$B$2,$A499,I$1)))</f>
        <v/>
      </c>
      <c r="J499" s="26" t="str">
        <f ca="1">IF($D499="","",IF(OFFSET('(2)出場選手'!$B$2,$A499,J$1)="",'(1)鑑'!$E$6,OFFSET('(2)出場選手'!$B$2,$A499,J$1)))</f>
        <v/>
      </c>
      <c r="K499" s="26" t="str">
        <f ca="1">IF($D499="","",TRIM(ASC(IF(OFFSET('(2)出場選手'!$B$2,$A499,K$1)="",'(1)鑑'!$E$7,OFFSET('(2)出場選手'!$B$2,$A499,K$1)))))</f>
        <v/>
      </c>
      <c r="L499" s="26" t="str">
        <f ca="1">IF($D499="","",SUBSTITUTE(SUBSTITUTE(SUBSTITUTE(IF(OFFSET('(2)出場選手'!$B$2,$A499,L$1)="",'(1)鑑'!$E$8,OFFSET('(2)出場選手'!$B$2,$A499,L$1)),"県",""),"府",""),"東京都","東京"))</f>
        <v/>
      </c>
      <c r="M499" s="57" t="str">
        <f ca="1">IF($D499="","",IF(OFFSET('(2)出場選手'!$B$2,$A499,M$1)="","",OFFSET('(2)出場選手'!$B$2,$A499,M$1)))</f>
        <v/>
      </c>
      <c r="N499" s="26" t="str">
        <f ca="1">IF($D499="","",OFFSET('(2)出場選手'!$B$2,$A499,N$1+3*$B499))</f>
        <v/>
      </c>
      <c r="O499" s="26" t="str">
        <f ca="1">IF($D499="","",IF(OFFSET('(2)出場選手'!$B$2,$A499,O$1+3*$B499)="","",OFFSET('(2)出場選手'!$B$2,$A499,O$1+3*$B499)))</f>
        <v/>
      </c>
      <c r="P499" s="26" t="str">
        <f ca="1">IF($D499="","",IF(OFFSET('(2)出場選手'!$B$2,$A499,P$1+3*$B499)="","",OFFSET('(2)出場選手'!$B$2,$A499,P$1+3*$B499)))</f>
        <v/>
      </c>
      <c r="Q499" s="43" t="str">
        <f ca="1">IF(D499="","",VLOOKUP(N499,OFFSET(Competition_Events,0,1),11,FALSE)*IF($S499="リレー",IF(COUNTIF($T$3:$T499,$T499)&gt;1,0,1),1))</f>
        <v/>
      </c>
      <c r="R499" s="26" t="str">
        <f t="shared" ca="1" si="33"/>
        <v/>
      </c>
      <c r="S499" s="26" t="str">
        <f t="shared" ca="1" si="34"/>
        <v/>
      </c>
      <c r="T499" s="26" t="str">
        <f t="shared" ca="1" si="35"/>
        <v/>
      </c>
      <c r="U499" s="26" t="str">
        <f t="shared" ca="1" si="31"/>
        <v/>
      </c>
      <c r="W499" s="17" t="str">
        <f ca="1">IF($D499="","",OFFSET('(2)出場選手'!$B$2,$A499,W$1))</f>
        <v/>
      </c>
      <c r="X499" s="17" t="str">
        <f ca="1">IF($D499="","",OFFSET('(2)出場選手'!$B$2,$A499,X$1))</f>
        <v/>
      </c>
      <c r="Y499" s="17" t="str">
        <f ca="1">IF($D499="","",OFFSET('(2)出場選手'!$B$2,$A499,Y$1))</f>
        <v/>
      </c>
      <c r="Z499" s="17" t="str">
        <f ca="1">IF($D499="","",OFFSET('(2)出場選手'!$B$2,$A499,Z$1))</f>
        <v/>
      </c>
    </row>
    <row r="500" spans="1:26" x14ac:dyDescent="0.15">
      <c r="A500" s="17">
        <f>TRUNC((ROWS($D$3:D500)-2)/Max_Entry_Count)+1</f>
        <v>166</v>
      </c>
      <c r="B500" s="17" t="str">
        <f ca="1">IF($A500&gt;=ROWS(Entries)-2,"",IF(OFFSET('(2)出場選手'!$B$2,$A500,B$1+3*(MOD(ROWS($D$3:D500)-2,Max_Entry_Count)))="","",MOD(ROWS($D$3:D500)-2,Max_Entry_Count)))</f>
        <v/>
      </c>
      <c r="D500" s="26" t="str">
        <f ca="1">IF(OR($A500&gt;=ROWS(Entries)-2,$B500=""),"",'(1)鑑'!$E$6&amp;"-"&amp;OFFSET('(2)出場選手'!$B$2,$A500,D$1))</f>
        <v/>
      </c>
      <c r="E500" s="26" t="str">
        <f ca="1">IF($D500="","",OFFSET('(2)出場選手'!$B$2,$A500,E$1))</f>
        <v/>
      </c>
      <c r="F500" s="26" t="str">
        <f ca="1">IF($D500="","",IF(OFFSET('(2)出場選手'!$B$2,$A500,F$1)="","",OFFSET('(2)出場選手'!$B$2,$A500,F$1)))</f>
        <v/>
      </c>
      <c r="G500" s="26" t="str">
        <f t="shared" ca="1" si="32"/>
        <v/>
      </c>
      <c r="H500" s="26" t="str">
        <f t="shared" ca="1" si="36"/>
        <v/>
      </c>
      <c r="I500" s="26" t="str">
        <f ca="1">IF($D500="","",IF(OFFSET('(2)出場選手'!$B$2,$A500,I$1)="","",OFFSET('(2)出場選手'!$B$2,$A500,I$1)))</f>
        <v/>
      </c>
      <c r="J500" s="26" t="str">
        <f ca="1">IF($D500="","",IF(OFFSET('(2)出場選手'!$B$2,$A500,J$1)="",'(1)鑑'!$E$6,OFFSET('(2)出場選手'!$B$2,$A500,J$1)))</f>
        <v/>
      </c>
      <c r="K500" s="26" t="str">
        <f ca="1">IF($D500="","",TRIM(ASC(IF(OFFSET('(2)出場選手'!$B$2,$A500,K$1)="",'(1)鑑'!$E$7,OFFSET('(2)出場選手'!$B$2,$A500,K$1)))))</f>
        <v/>
      </c>
      <c r="L500" s="26" t="str">
        <f ca="1">IF($D500="","",SUBSTITUTE(SUBSTITUTE(SUBSTITUTE(IF(OFFSET('(2)出場選手'!$B$2,$A500,L$1)="",'(1)鑑'!$E$8,OFFSET('(2)出場選手'!$B$2,$A500,L$1)),"県",""),"府",""),"東京都","東京"))</f>
        <v/>
      </c>
      <c r="M500" s="57" t="str">
        <f ca="1">IF($D500="","",IF(OFFSET('(2)出場選手'!$B$2,$A500,M$1)="","",OFFSET('(2)出場選手'!$B$2,$A500,M$1)))</f>
        <v/>
      </c>
      <c r="N500" s="26" t="str">
        <f ca="1">IF($D500="","",OFFSET('(2)出場選手'!$B$2,$A500,N$1+3*$B500))</f>
        <v/>
      </c>
      <c r="O500" s="26" t="str">
        <f ca="1">IF($D500="","",IF(OFFSET('(2)出場選手'!$B$2,$A500,O$1+3*$B500)="","",OFFSET('(2)出場選手'!$B$2,$A500,O$1+3*$B500)))</f>
        <v/>
      </c>
      <c r="P500" s="26" t="str">
        <f ca="1">IF($D500="","",IF(OFFSET('(2)出場選手'!$B$2,$A500,P$1+3*$B500)="","",OFFSET('(2)出場選手'!$B$2,$A500,P$1+3*$B500)))</f>
        <v/>
      </c>
      <c r="Q500" s="43" t="str">
        <f ca="1">IF(D500="","",VLOOKUP(N500,OFFSET(Competition_Events,0,1),11,FALSE)*IF($S500="リレー",IF(COUNTIF($T$3:$T500,$T500)&gt;1,0,1),1))</f>
        <v/>
      </c>
      <c r="R500" s="26" t="str">
        <f t="shared" ca="1" si="33"/>
        <v/>
      </c>
      <c r="S500" s="26" t="str">
        <f t="shared" ca="1" si="34"/>
        <v/>
      </c>
      <c r="T500" s="26" t="str">
        <f t="shared" ca="1" si="35"/>
        <v/>
      </c>
      <c r="U500" s="26" t="str">
        <f t="shared" ca="1" si="31"/>
        <v/>
      </c>
      <c r="W500" s="17" t="str">
        <f ca="1">IF($D500="","",OFFSET('(2)出場選手'!$B$2,$A500,W$1))</f>
        <v/>
      </c>
      <c r="X500" s="17" t="str">
        <f ca="1">IF($D500="","",OFFSET('(2)出場選手'!$B$2,$A500,X$1))</f>
        <v/>
      </c>
      <c r="Y500" s="17" t="str">
        <f ca="1">IF($D500="","",OFFSET('(2)出場選手'!$B$2,$A500,Y$1))</f>
        <v/>
      </c>
      <c r="Z500" s="17" t="str">
        <f ca="1">IF($D500="","",OFFSET('(2)出場選手'!$B$2,$A500,Z$1))</f>
        <v/>
      </c>
    </row>
    <row r="501" spans="1:26" x14ac:dyDescent="0.15">
      <c r="A501" s="17">
        <f>TRUNC((ROWS($D$3:D501)-2)/Max_Entry_Count)+1</f>
        <v>166</v>
      </c>
      <c r="B501" s="17" t="str">
        <f ca="1">IF($A501&gt;=ROWS(Entries)-2,"",IF(OFFSET('(2)出場選手'!$B$2,$A501,B$1+3*(MOD(ROWS($D$3:D501)-2,Max_Entry_Count)))="","",MOD(ROWS($D$3:D501)-2,Max_Entry_Count)))</f>
        <v/>
      </c>
      <c r="D501" s="26" t="str">
        <f ca="1">IF(OR($A501&gt;=ROWS(Entries)-2,$B501=""),"",'(1)鑑'!$E$6&amp;"-"&amp;OFFSET('(2)出場選手'!$B$2,$A501,D$1))</f>
        <v/>
      </c>
      <c r="E501" s="26" t="str">
        <f ca="1">IF($D501="","",OFFSET('(2)出場選手'!$B$2,$A501,E$1))</f>
        <v/>
      </c>
      <c r="F501" s="26" t="str">
        <f ca="1">IF($D501="","",IF(OFFSET('(2)出場選手'!$B$2,$A501,F$1)="","",OFFSET('(2)出場選手'!$B$2,$A501,F$1)))</f>
        <v/>
      </c>
      <c r="G501" s="26" t="str">
        <f t="shared" ca="1" si="32"/>
        <v/>
      </c>
      <c r="H501" s="26" t="str">
        <f t="shared" ca="1" si="36"/>
        <v/>
      </c>
      <c r="I501" s="26" t="str">
        <f ca="1">IF($D501="","",IF(OFFSET('(2)出場選手'!$B$2,$A501,I$1)="","",OFFSET('(2)出場選手'!$B$2,$A501,I$1)))</f>
        <v/>
      </c>
      <c r="J501" s="26" t="str">
        <f ca="1">IF($D501="","",IF(OFFSET('(2)出場選手'!$B$2,$A501,J$1)="",'(1)鑑'!$E$6,OFFSET('(2)出場選手'!$B$2,$A501,J$1)))</f>
        <v/>
      </c>
      <c r="K501" s="26" t="str">
        <f ca="1">IF($D501="","",TRIM(ASC(IF(OFFSET('(2)出場選手'!$B$2,$A501,K$1)="",'(1)鑑'!$E$7,OFFSET('(2)出場選手'!$B$2,$A501,K$1)))))</f>
        <v/>
      </c>
      <c r="L501" s="26" t="str">
        <f ca="1">IF($D501="","",SUBSTITUTE(SUBSTITUTE(SUBSTITUTE(IF(OFFSET('(2)出場選手'!$B$2,$A501,L$1)="",'(1)鑑'!$E$8,OFFSET('(2)出場選手'!$B$2,$A501,L$1)),"県",""),"府",""),"東京都","東京"))</f>
        <v/>
      </c>
      <c r="M501" s="57" t="str">
        <f ca="1">IF($D501="","",IF(OFFSET('(2)出場選手'!$B$2,$A501,M$1)="","",OFFSET('(2)出場選手'!$B$2,$A501,M$1)))</f>
        <v/>
      </c>
      <c r="N501" s="26" t="str">
        <f ca="1">IF($D501="","",OFFSET('(2)出場選手'!$B$2,$A501,N$1+3*$B501))</f>
        <v/>
      </c>
      <c r="O501" s="26" t="str">
        <f ca="1">IF($D501="","",IF(OFFSET('(2)出場選手'!$B$2,$A501,O$1+3*$B501)="","",OFFSET('(2)出場選手'!$B$2,$A501,O$1+3*$B501)))</f>
        <v/>
      </c>
      <c r="P501" s="26" t="str">
        <f ca="1">IF($D501="","",IF(OFFSET('(2)出場選手'!$B$2,$A501,P$1+3*$B501)="","",OFFSET('(2)出場選手'!$B$2,$A501,P$1+3*$B501)))</f>
        <v/>
      </c>
      <c r="Q501" s="43" t="str">
        <f ca="1">IF(D501="","",VLOOKUP(N501,OFFSET(Competition_Events,0,1),11,FALSE)*IF($S501="リレー",IF(COUNTIF($T$3:$T501,$T501)&gt;1,0,1),1))</f>
        <v/>
      </c>
      <c r="R501" s="26" t="str">
        <f t="shared" ca="1" si="33"/>
        <v/>
      </c>
      <c r="S501" s="26" t="str">
        <f t="shared" ca="1" si="34"/>
        <v/>
      </c>
      <c r="T501" s="26" t="str">
        <f t="shared" ca="1" si="35"/>
        <v/>
      </c>
      <c r="U501" s="26" t="str">
        <f t="shared" ca="1" si="31"/>
        <v/>
      </c>
      <c r="W501" s="17" t="str">
        <f ca="1">IF($D501="","",OFFSET('(2)出場選手'!$B$2,$A501,W$1))</f>
        <v/>
      </c>
      <c r="X501" s="17" t="str">
        <f ca="1">IF($D501="","",OFFSET('(2)出場選手'!$B$2,$A501,X$1))</f>
        <v/>
      </c>
      <c r="Y501" s="17" t="str">
        <f ca="1">IF($D501="","",OFFSET('(2)出場選手'!$B$2,$A501,Y$1))</f>
        <v/>
      </c>
      <c r="Z501" s="17" t="str">
        <f ca="1">IF($D501="","",OFFSET('(2)出場選手'!$B$2,$A501,Z$1))</f>
        <v/>
      </c>
    </row>
    <row r="502" spans="1:26" x14ac:dyDescent="0.15">
      <c r="A502" s="17">
        <f>TRUNC((ROWS($D$3:D502)-2)/Max_Entry_Count)+1</f>
        <v>167</v>
      </c>
      <c r="B502" s="17" t="str">
        <f ca="1">IF($A502&gt;=ROWS(Entries)-2,"",IF(OFFSET('(2)出場選手'!$B$2,$A502,B$1+3*(MOD(ROWS($D$3:D502)-2,Max_Entry_Count)))="","",MOD(ROWS($D$3:D502)-2,Max_Entry_Count)))</f>
        <v/>
      </c>
      <c r="D502" s="26" t="str">
        <f ca="1">IF(OR($A502&gt;=ROWS(Entries)-2,$B502=""),"",'(1)鑑'!$E$6&amp;"-"&amp;OFFSET('(2)出場選手'!$B$2,$A502,D$1))</f>
        <v/>
      </c>
      <c r="E502" s="26" t="str">
        <f ca="1">IF($D502="","",OFFSET('(2)出場選手'!$B$2,$A502,E$1))</f>
        <v/>
      </c>
      <c r="F502" s="26" t="str">
        <f ca="1">IF($D502="","",IF(OFFSET('(2)出場選手'!$B$2,$A502,F$1)="","",OFFSET('(2)出場選手'!$B$2,$A502,F$1)))</f>
        <v/>
      </c>
      <c r="G502" s="26" t="str">
        <f t="shared" ca="1" si="32"/>
        <v/>
      </c>
      <c r="H502" s="26" t="str">
        <f t="shared" ca="1" si="36"/>
        <v/>
      </c>
      <c r="I502" s="26" t="str">
        <f ca="1">IF($D502="","",IF(OFFSET('(2)出場選手'!$B$2,$A502,I$1)="","",OFFSET('(2)出場選手'!$B$2,$A502,I$1)))</f>
        <v/>
      </c>
      <c r="J502" s="26" t="str">
        <f ca="1">IF($D502="","",IF(OFFSET('(2)出場選手'!$B$2,$A502,J$1)="",'(1)鑑'!$E$6,OFFSET('(2)出場選手'!$B$2,$A502,J$1)))</f>
        <v/>
      </c>
      <c r="K502" s="26" t="str">
        <f ca="1">IF($D502="","",TRIM(ASC(IF(OFFSET('(2)出場選手'!$B$2,$A502,K$1)="",'(1)鑑'!$E$7,OFFSET('(2)出場選手'!$B$2,$A502,K$1)))))</f>
        <v/>
      </c>
      <c r="L502" s="26" t="str">
        <f ca="1">IF($D502="","",SUBSTITUTE(SUBSTITUTE(SUBSTITUTE(IF(OFFSET('(2)出場選手'!$B$2,$A502,L$1)="",'(1)鑑'!$E$8,OFFSET('(2)出場選手'!$B$2,$A502,L$1)),"県",""),"府",""),"東京都","東京"))</f>
        <v/>
      </c>
      <c r="M502" s="57" t="str">
        <f ca="1">IF($D502="","",IF(OFFSET('(2)出場選手'!$B$2,$A502,M$1)="","",OFFSET('(2)出場選手'!$B$2,$A502,M$1)))</f>
        <v/>
      </c>
      <c r="N502" s="26" t="str">
        <f ca="1">IF($D502="","",OFFSET('(2)出場選手'!$B$2,$A502,N$1+3*$B502))</f>
        <v/>
      </c>
      <c r="O502" s="26" t="str">
        <f ca="1">IF($D502="","",IF(OFFSET('(2)出場選手'!$B$2,$A502,O$1+3*$B502)="","",OFFSET('(2)出場選手'!$B$2,$A502,O$1+3*$B502)))</f>
        <v/>
      </c>
      <c r="P502" s="26" t="str">
        <f ca="1">IF($D502="","",IF(OFFSET('(2)出場選手'!$B$2,$A502,P$1+3*$B502)="","",OFFSET('(2)出場選手'!$B$2,$A502,P$1+3*$B502)))</f>
        <v/>
      </c>
      <c r="Q502" s="43" t="str">
        <f ca="1">IF(D502="","",VLOOKUP(N502,OFFSET(Competition_Events,0,1),11,FALSE)*IF($S502="リレー",IF(COUNTIF($T$3:$T502,$T502)&gt;1,0,1),1))</f>
        <v/>
      </c>
      <c r="R502" s="26" t="str">
        <f t="shared" ca="1" si="33"/>
        <v/>
      </c>
      <c r="S502" s="26" t="str">
        <f t="shared" ca="1" si="34"/>
        <v/>
      </c>
      <c r="T502" s="26" t="str">
        <f t="shared" ca="1" si="35"/>
        <v/>
      </c>
      <c r="U502" s="26" t="str">
        <f t="shared" ca="1" si="31"/>
        <v/>
      </c>
      <c r="W502" s="17" t="str">
        <f ca="1">IF($D502="","",OFFSET('(2)出場選手'!$B$2,$A502,W$1))</f>
        <v/>
      </c>
      <c r="X502" s="17" t="str">
        <f ca="1">IF($D502="","",OFFSET('(2)出場選手'!$B$2,$A502,X$1))</f>
        <v/>
      </c>
      <c r="Y502" s="17" t="str">
        <f ca="1">IF($D502="","",OFFSET('(2)出場選手'!$B$2,$A502,Y$1))</f>
        <v/>
      </c>
      <c r="Z502" s="17" t="str">
        <f ca="1">IF($D502="","",OFFSET('(2)出場選手'!$B$2,$A502,Z$1))</f>
        <v/>
      </c>
    </row>
    <row r="503" spans="1:26" x14ac:dyDescent="0.15">
      <c r="A503" s="17">
        <f>TRUNC((ROWS($D$3:D503)-2)/Max_Entry_Count)+1</f>
        <v>167</v>
      </c>
      <c r="B503" s="17" t="str">
        <f ca="1">IF($A503&gt;=ROWS(Entries)-2,"",IF(OFFSET('(2)出場選手'!$B$2,$A503,B$1+3*(MOD(ROWS($D$3:D503)-2,Max_Entry_Count)))="","",MOD(ROWS($D$3:D503)-2,Max_Entry_Count)))</f>
        <v/>
      </c>
      <c r="D503" s="26" t="str">
        <f ca="1">IF(OR($A503&gt;=ROWS(Entries)-2,$B503=""),"",'(1)鑑'!$E$6&amp;"-"&amp;OFFSET('(2)出場選手'!$B$2,$A503,D$1))</f>
        <v/>
      </c>
      <c r="E503" s="26" t="str">
        <f ca="1">IF($D503="","",OFFSET('(2)出場選手'!$B$2,$A503,E$1))</f>
        <v/>
      </c>
      <c r="F503" s="26" t="str">
        <f ca="1">IF($D503="","",IF(OFFSET('(2)出場選手'!$B$2,$A503,F$1)="","",OFFSET('(2)出場選手'!$B$2,$A503,F$1)))</f>
        <v/>
      </c>
      <c r="G503" s="26" t="str">
        <f t="shared" ca="1" si="18"/>
        <v/>
      </c>
      <c r="H503" s="26" t="str">
        <f t="shared" ca="1" si="36"/>
        <v/>
      </c>
      <c r="I503" s="26" t="str">
        <f ca="1">IF($D503="","",IF(OFFSET('(2)出場選手'!$B$2,$A503,I$1)="","",OFFSET('(2)出場選手'!$B$2,$A503,I$1)))</f>
        <v/>
      </c>
      <c r="J503" s="26" t="str">
        <f ca="1">IF($D503="","",IF(OFFSET('(2)出場選手'!$B$2,$A503,J$1)="",'(1)鑑'!$E$6,OFFSET('(2)出場選手'!$B$2,$A503,J$1)))</f>
        <v/>
      </c>
      <c r="K503" s="26" t="str">
        <f ca="1">IF($D503="","",TRIM(ASC(IF(OFFSET('(2)出場選手'!$B$2,$A503,K$1)="",'(1)鑑'!$E$7,OFFSET('(2)出場選手'!$B$2,$A503,K$1)))))</f>
        <v/>
      </c>
      <c r="L503" s="26" t="str">
        <f ca="1">IF($D503="","",SUBSTITUTE(SUBSTITUTE(SUBSTITUTE(IF(OFFSET('(2)出場選手'!$B$2,$A503,L$1)="",'(1)鑑'!$E$8,OFFSET('(2)出場選手'!$B$2,$A503,L$1)),"県",""),"府",""),"東京都","東京"))</f>
        <v/>
      </c>
      <c r="M503" s="57" t="str">
        <f ca="1">IF($D503="","",IF(OFFSET('(2)出場選手'!$B$2,$A503,M$1)="","",OFFSET('(2)出場選手'!$B$2,$A503,M$1)))</f>
        <v/>
      </c>
      <c r="N503" s="26" t="str">
        <f ca="1">IF($D503="","",OFFSET('(2)出場選手'!$B$2,$A503,N$1+3*$B503))</f>
        <v/>
      </c>
      <c r="O503" s="26" t="str">
        <f ca="1">IF($D503="","",IF(OFFSET('(2)出場選手'!$B$2,$A503,O$1+3*$B503)="","",OFFSET('(2)出場選手'!$B$2,$A503,O$1+3*$B503)))</f>
        <v/>
      </c>
      <c r="P503" s="26" t="str">
        <f ca="1">IF($D503="","",IF(OFFSET('(2)出場選手'!$B$2,$A503,P$1+3*$B503)="","",OFFSET('(2)出場選手'!$B$2,$A503,P$1+3*$B503)))</f>
        <v/>
      </c>
      <c r="Q503" s="43" t="str">
        <f ca="1">IF(D503="","",VLOOKUP(N503,OFFSET(Competition_Events,0,1),11,FALSE)*IF($S503="リレー",IF(COUNTIF($T$3:$T503,$T503)&gt;1,0,1),1))</f>
        <v/>
      </c>
      <c r="R503" s="26" t="str">
        <f t="shared" ca="1" si="20"/>
        <v/>
      </c>
      <c r="S503" s="26" t="str">
        <f t="shared" ca="1" si="21"/>
        <v/>
      </c>
      <c r="T503" s="26" t="str">
        <f t="shared" ca="1" si="22"/>
        <v/>
      </c>
      <c r="U503" s="26" t="str">
        <f ca="1">IF($D503="","",IFERROR(CHOOSE(VLOOKUP($R503,Competition_Events,6,FALSE),SUBSTITUTE(O503,"点","")*1,SUBSTITUTE(O503,"m",".")*100,SUBSTITUTE(SUBSTITUTE("0:"&amp;O503,"'",":"),"""",".")/"0:00:00.01"*-1,SUBSTITUTE(O503,"m",".")*100,SUBSTITUTE(SUBSTITUTE(O503,"'",":"),"""",".")/"0:00:00.01"*-1),-8640000))</f>
        <v/>
      </c>
      <c r="W503" s="17" t="str">
        <f ca="1">IF($D503="","",OFFSET('(2)出場選手'!$B$2,$A503,W$1))</f>
        <v/>
      </c>
      <c r="X503" s="17" t="str">
        <f ca="1">IF($D503="","",OFFSET('(2)出場選手'!$B$2,$A503,X$1))</f>
        <v/>
      </c>
      <c r="Y503" s="17" t="str">
        <f ca="1">IF($D503="","",OFFSET('(2)出場選手'!$B$2,$A503,Y$1))</f>
        <v/>
      </c>
      <c r="Z503" s="17" t="str">
        <f ca="1">IF($D503="","",OFFSET('(2)出場選手'!$B$2,$A503,Z$1))</f>
        <v/>
      </c>
    </row>
  </sheetData>
  <autoFilter ref="D3:U503" xr:uid="{DA0A17A2-C7E0-4BA9-8AC3-9A2427E96663}"/>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ABCF-7838-4D0F-BB09-6DDF7F51D938}">
  <sheetPr codeName="Sheet5">
    <tabColor theme="5" tint="0.79998168889431442"/>
  </sheetPr>
  <dimension ref="B1:M52"/>
  <sheetViews>
    <sheetView workbookViewId="0">
      <pane xSplit="3" ySplit="2" topLeftCell="H3" activePane="bottomRight" state="frozen"/>
      <selection pane="topRight" activeCell="D1" sqref="D1"/>
      <selection pane="bottomLeft" activeCell="A3" sqref="A3"/>
      <selection pane="bottomRight" activeCell="I3" sqref="I3"/>
    </sheetView>
  </sheetViews>
  <sheetFormatPr defaultRowHeight="13.5" x14ac:dyDescent="0.15"/>
  <cols>
    <col min="1" max="1" width="2.625" style="1" customWidth="1"/>
    <col min="2" max="2" width="4.125" style="1" bestFit="1" customWidth="1"/>
    <col min="3" max="3" width="9" style="1" hidden="1" customWidth="1"/>
    <col min="4" max="4" width="5.25" style="1" hidden="1" customWidth="1"/>
    <col min="5" max="5" width="7" style="1" hidden="1" customWidth="1"/>
    <col min="6" max="6" width="11.125" style="1" hidden="1" customWidth="1"/>
    <col min="7" max="7" width="14" style="1" hidden="1" customWidth="1"/>
    <col min="8" max="8" width="9" style="1"/>
    <col min="9" max="9" width="23.375" style="1" customWidth="1"/>
    <col min="10" max="10" width="9" style="1" customWidth="1"/>
    <col min="11" max="11" width="26.75" style="1" bestFit="1" customWidth="1"/>
    <col min="12" max="13" width="11.125" style="1" bestFit="1" customWidth="1"/>
    <col min="14" max="16384" width="9" style="1"/>
  </cols>
  <sheetData>
    <row r="1" spans="2:13" ht="142.5" customHeight="1" x14ac:dyDescent="0.15"/>
    <row r="2" spans="2:13" ht="27" x14ac:dyDescent="0.15">
      <c r="B2" s="66" t="s">
        <v>7</v>
      </c>
      <c r="C2" s="66" t="s">
        <v>198</v>
      </c>
      <c r="D2" s="66" t="s">
        <v>108</v>
      </c>
      <c r="E2" s="66" t="s">
        <v>107</v>
      </c>
      <c r="F2" s="67" t="s">
        <v>201</v>
      </c>
      <c r="G2" s="67" t="s">
        <v>200</v>
      </c>
      <c r="H2" s="66" t="s">
        <v>197</v>
      </c>
      <c r="I2" s="66" t="s">
        <v>102</v>
      </c>
      <c r="J2" s="66" t="s">
        <v>6</v>
      </c>
      <c r="K2" s="66" t="s">
        <v>29</v>
      </c>
      <c r="L2" s="67" t="s">
        <v>199</v>
      </c>
      <c r="M2" s="66" t="s">
        <v>103</v>
      </c>
    </row>
    <row r="3" spans="2:13" x14ac:dyDescent="0.15">
      <c r="B3" s="26">
        <f ca="1">IF(OR(J3="",K3="",H3="",M3=""),"",IF(D3&lt;&gt;"","",IF(M3&lt;0,"",MAX($B$2:OFFSET(B3,-1,0))+1)))</f>
        <v>1</v>
      </c>
      <c r="C3" s="26" t="str">
        <f t="shared" ref="C3:C34" si="0">IF(OR(J3="",K3=""),"",I3&amp;J3&amp;K3)</f>
        <v>男子100m</v>
      </c>
      <c r="D3" s="26" t="str">
        <f>IF($C3="","",IF(COUNTIF($C$2:$C3,$C3)&gt;1,"重複",""))</f>
        <v/>
      </c>
      <c r="E3" s="26">
        <f t="shared" ref="E3:E34" ca="1" si="1">B3</f>
        <v>1</v>
      </c>
      <c r="F3" s="26" t="b">
        <f t="shared" ref="F3:F34" si="2">IF(L3="",TRUE,IF(L3="不要",FALSE,TRUE))</f>
        <v>1</v>
      </c>
      <c r="G3" s="26">
        <f t="shared" ref="G3:G34" ca="1" si="3">IF(E3="","",IFERROR(VLOOKUP(K3,Event_List,3,FALSE),-3))</f>
        <v>3</v>
      </c>
      <c r="H3" s="26" t="str">
        <f t="shared" ref="H3:H34" si="4">IFERROR(VLOOKUP(K3,Event_List,2,FALSE),"")</f>
        <v>トラック</v>
      </c>
      <c r="I3" s="41"/>
      <c r="J3" s="10" t="s">
        <v>303</v>
      </c>
      <c r="K3" s="10" t="s">
        <v>306</v>
      </c>
      <c r="L3" s="41"/>
      <c r="M3" s="42">
        <v>900</v>
      </c>
    </row>
    <row r="4" spans="2:13" x14ac:dyDescent="0.15">
      <c r="B4" s="26">
        <f ca="1">IF(OR(J4="",K4="",H4="",M4=""),"",IF(D4&lt;&gt;"","",IF(M4&lt;0,"",MAX($B$2:OFFSET(B4,-1,0))+1)))</f>
        <v>2</v>
      </c>
      <c r="C4" s="26" t="str">
        <f t="shared" si="0"/>
        <v>男子200m</v>
      </c>
      <c r="D4" s="26" t="str">
        <f>IF($C4="","",IF(COUNTIF($C$2:$C4,$C4)&gt;1,"重複",""))</f>
        <v/>
      </c>
      <c r="E4" s="26">
        <f t="shared" ca="1" si="1"/>
        <v>2</v>
      </c>
      <c r="F4" s="26" t="b">
        <f t="shared" si="2"/>
        <v>1</v>
      </c>
      <c r="G4" s="26">
        <f t="shared" ca="1" si="3"/>
        <v>3</v>
      </c>
      <c r="H4" s="26" t="str">
        <f t="shared" si="4"/>
        <v>トラック</v>
      </c>
      <c r="I4" s="41"/>
      <c r="J4" s="10" t="s">
        <v>303</v>
      </c>
      <c r="K4" s="10" t="s">
        <v>307</v>
      </c>
      <c r="L4" s="41"/>
      <c r="M4" s="42">
        <v>900</v>
      </c>
    </row>
    <row r="5" spans="2:13" x14ac:dyDescent="0.15">
      <c r="B5" s="26">
        <f ca="1">IF(OR(J5="",K5="",H5="",M5=""),"",IF(D5&lt;&gt;"","",IF(M5&lt;0,"",MAX($B$2:OFFSET(B5,-1,0))+1)))</f>
        <v>3</v>
      </c>
      <c r="C5" s="26" t="str">
        <f t="shared" si="0"/>
        <v>男子400m</v>
      </c>
      <c r="D5" s="26" t="str">
        <f>IF($C5="","",IF(COUNTIF($C$2:$C5,$C5)&gt;1,"重複",""))</f>
        <v/>
      </c>
      <c r="E5" s="26">
        <f t="shared" ca="1" si="1"/>
        <v>3</v>
      </c>
      <c r="F5" s="26" t="b">
        <f t="shared" si="2"/>
        <v>1</v>
      </c>
      <c r="G5" s="26">
        <f t="shared" ca="1" si="3"/>
        <v>3</v>
      </c>
      <c r="H5" s="26" t="str">
        <f t="shared" si="4"/>
        <v>トラック</v>
      </c>
      <c r="I5" s="41"/>
      <c r="J5" s="10" t="s">
        <v>303</v>
      </c>
      <c r="K5" s="10" t="s">
        <v>308</v>
      </c>
      <c r="L5" s="41"/>
      <c r="M5" s="42">
        <v>900</v>
      </c>
    </row>
    <row r="6" spans="2:13" x14ac:dyDescent="0.15">
      <c r="B6" s="26">
        <f ca="1">IF(OR(J6="",K6="",H6="",M6=""),"",IF(D6&lt;&gt;"","",IF(M6&lt;0,"",MAX($B$2:OFFSET(B6,-1,0))+1)))</f>
        <v>4</v>
      </c>
      <c r="C6" s="26" t="str">
        <f t="shared" si="0"/>
        <v>男子800m</v>
      </c>
      <c r="D6" s="26" t="str">
        <f>IF($C6="","",IF(COUNTIF($C$2:$C6,$C6)&gt;1,"重複",""))</f>
        <v/>
      </c>
      <c r="E6" s="26">
        <f t="shared" ca="1" si="1"/>
        <v>4</v>
      </c>
      <c r="F6" s="26" t="b">
        <f t="shared" si="2"/>
        <v>1</v>
      </c>
      <c r="G6" s="26">
        <f t="shared" ca="1" si="3"/>
        <v>3</v>
      </c>
      <c r="H6" s="26" t="str">
        <f t="shared" si="4"/>
        <v>トラック</v>
      </c>
      <c r="I6" s="41"/>
      <c r="J6" s="10" t="s">
        <v>303</v>
      </c>
      <c r="K6" s="10" t="s">
        <v>309</v>
      </c>
      <c r="L6" s="41"/>
      <c r="M6" s="42">
        <v>900</v>
      </c>
    </row>
    <row r="7" spans="2:13" x14ac:dyDescent="0.15">
      <c r="B7" s="26">
        <f ca="1">IF(OR(J7="",K7="",H7="",M7=""),"",IF(D7&lt;&gt;"","",IF(M7&lt;0,"",MAX($B$2:OFFSET(B7,-1,0))+1)))</f>
        <v>5</v>
      </c>
      <c r="C7" s="26" t="str">
        <f t="shared" si="0"/>
        <v>男子3000m</v>
      </c>
      <c r="D7" s="26" t="str">
        <f>IF($C7="","",IF(COUNTIF($C$2:$C7,$C7)&gt;1,"重複",""))</f>
        <v/>
      </c>
      <c r="E7" s="26">
        <f t="shared" ca="1" si="1"/>
        <v>5</v>
      </c>
      <c r="F7" s="26" t="b">
        <f t="shared" si="2"/>
        <v>1</v>
      </c>
      <c r="G7" s="26">
        <f t="shared" ca="1" si="3"/>
        <v>3</v>
      </c>
      <c r="H7" s="26" t="str">
        <f t="shared" si="4"/>
        <v>トラック</v>
      </c>
      <c r="I7" s="41"/>
      <c r="J7" s="10" t="s">
        <v>303</v>
      </c>
      <c r="K7" s="10" t="s">
        <v>310</v>
      </c>
      <c r="L7" s="41"/>
      <c r="M7" s="42">
        <v>900</v>
      </c>
    </row>
    <row r="8" spans="2:13" x14ac:dyDescent="0.15">
      <c r="B8" s="26">
        <f ca="1">IF(OR(J8="",K8="",H8="",M8=""),"",IF(D8&lt;&gt;"","",IF(M8&lt;0,"",MAX($B$2:OFFSET(B8,-1,0))+1)))</f>
        <v>6</v>
      </c>
      <c r="C8" s="26" t="str">
        <f t="shared" si="0"/>
        <v>男子110mH</v>
      </c>
      <c r="D8" s="26" t="str">
        <f>IF($C8="","",IF(COUNTIF($C$2:$C8,$C8)&gt;1,"重複",""))</f>
        <v/>
      </c>
      <c r="E8" s="26">
        <f t="shared" ca="1" si="1"/>
        <v>6</v>
      </c>
      <c r="F8" s="26" t="b">
        <f t="shared" si="2"/>
        <v>1</v>
      </c>
      <c r="G8" s="26">
        <f t="shared" ca="1" si="3"/>
        <v>3</v>
      </c>
      <c r="H8" s="26" t="str">
        <f t="shared" si="4"/>
        <v>トラック</v>
      </c>
      <c r="I8" s="41"/>
      <c r="J8" s="10" t="s">
        <v>303</v>
      </c>
      <c r="K8" s="10" t="s">
        <v>311</v>
      </c>
      <c r="L8" s="41"/>
      <c r="M8" s="42">
        <v>900</v>
      </c>
    </row>
    <row r="9" spans="2:13" x14ac:dyDescent="0.15">
      <c r="B9" s="26">
        <f ca="1">IF(OR(J9="",K9="",H9="",M9=""),"",IF(D9&lt;&gt;"","",IF(M9&lt;0,"",MAX($B$2:OFFSET(B9,-1,0))+1)))</f>
        <v>7</v>
      </c>
      <c r="C9" s="26" t="str">
        <f t="shared" si="0"/>
        <v>男子300mH</v>
      </c>
      <c r="D9" s="26" t="str">
        <f>IF($C9="","",IF(COUNTIF($C$2:$C9,$C9)&gt;1,"重複",""))</f>
        <v/>
      </c>
      <c r="E9" s="26">
        <f t="shared" ca="1" si="1"/>
        <v>7</v>
      </c>
      <c r="F9" s="26" t="b">
        <f t="shared" si="2"/>
        <v>1</v>
      </c>
      <c r="G9" s="26">
        <f t="shared" ca="1" si="3"/>
        <v>3</v>
      </c>
      <c r="H9" s="26" t="str">
        <f t="shared" si="4"/>
        <v>トラック</v>
      </c>
      <c r="I9" s="41"/>
      <c r="J9" s="10" t="s">
        <v>303</v>
      </c>
      <c r="K9" s="10" t="s">
        <v>312</v>
      </c>
      <c r="L9" s="41"/>
      <c r="M9" s="42">
        <v>900</v>
      </c>
    </row>
    <row r="10" spans="2:13" x14ac:dyDescent="0.15">
      <c r="B10" s="26">
        <f ca="1">IF(OR(J10="",K10="",H10="",M10=""),"",IF(D10&lt;&gt;"","",IF(M10&lt;0,"",MAX($B$2:OFFSET(B10,-1,0))+1)))</f>
        <v>8</v>
      </c>
      <c r="C10" s="26" t="str">
        <f t="shared" si="0"/>
        <v>男子4×100mR</v>
      </c>
      <c r="D10" s="26" t="str">
        <f>IF($C10="","",IF(COUNTIF($C$2:$C10,$C10)&gt;1,"重複",""))</f>
        <v/>
      </c>
      <c r="E10" s="26">
        <f t="shared" ca="1" si="1"/>
        <v>8</v>
      </c>
      <c r="F10" s="26" t="b">
        <f t="shared" si="2"/>
        <v>1</v>
      </c>
      <c r="G10" s="26">
        <f t="shared" ca="1" si="3"/>
        <v>3</v>
      </c>
      <c r="H10" s="26" t="str">
        <f t="shared" si="4"/>
        <v>リレー</v>
      </c>
      <c r="I10" s="41"/>
      <c r="J10" s="10" t="s">
        <v>303</v>
      </c>
      <c r="K10" s="10" t="s">
        <v>313</v>
      </c>
      <c r="L10" s="41"/>
      <c r="M10" s="42">
        <v>1500</v>
      </c>
    </row>
    <row r="11" spans="2:13" x14ac:dyDescent="0.15">
      <c r="B11" s="26">
        <f ca="1">IF(OR(J11="",K11="",H11="",M11=""),"",IF(D11&lt;&gt;"","",IF(M11&lt;0,"",MAX($B$2:OFFSET(B11,-1,0))+1)))</f>
        <v>9</v>
      </c>
      <c r="C11" s="26" t="str">
        <f t="shared" si="0"/>
        <v>男子走高跳</v>
      </c>
      <c r="D11" s="26" t="str">
        <f>IF($C11="","",IF(COUNTIF($C$2:$C11,$C11)&gt;1,"重複",""))</f>
        <v/>
      </c>
      <c r="E11" s="26">
        <f t="shared" ca="1" si="1"/>
        <v>9</v>
      </c>
      <c r="F11" s="26" t="b">
        <f t="shared" si="2"/>
        <v>1</v>
      </c>
      <c r="G11" s="26">
        <f t="shared" ca="1" si="3"/>
        <v>2</v>
      </c>
      <c r="H11" s="26" t="str">
        <f t="shared" si="4"/>
        <v>フィールド</v>
      </c>
      <c r="I11" s="41"/>
      <c r="J11" s="10" t="s">
        <v>303</v>
      </c>
      <c r="K11" s="10" t="s">
        <v>143</v>
      </c>
      <c r="L11" s="41"/>
      <c r="M11" s="42">
        <v>900</v>
      </c>
    </row>
    <row r="12" spans="2:13" x14ac:dyDescent="0.15">
      <c r="B12" s="26">
        <f ca="1">IF(OR(J12="",K12="",H12="",M12=""),"",IF(D12&lt;&gt;"","",IF(M12&lt;0,"",MAX($B$2:OFFSET(B12,-1,0))+1)))</f>
        <v>10</v>
      </c>
      <c r="C12" s="26" t="str">
        <f t="shared" si="0"/>
        <v>男子棒高跳</v>
      </c>
      <c r="D12" s="26" t="str">
        <f>IF($C12="","",IF(COUNTIF($C$2:$C12,$C12)&gt;1,"重複",""))</f>
        <v/>
      </c>
      <c r="E12" s="26">
        <f t="shared" ca="1" si="1"/>
        <v>10</v>
      </c>
      <c r="F12" s="26" t="b">
        <f t="shared" si="2"/>
        <v>1</v>
      </c>
      <c r="G12" s="26">
        <f t="shared" ca="1" si="3"/>
        <v>2</v>
      </c>
      <c r="H12" s="26" t="str">
        <f t="shared" si="4"/>
        <v>フィールド</v>
      </c>
      <c r="I12" s="41"/>
      <c r="J12" s="10" t="s">
        <v>303</v>
      </c>
      <c r="K12" s="10" t="s">
        <v>144</v>
      </c>
      <c r="L12" s="41"/>
      <c r="M12" s="42">
        <v>900</v>
      </c>
    </row>
    <row r="13" spans="2:13" x14ac:dyDescent="0.15">
      <c r="B13" s="26">
        <f ca="1">IF(OR(J13="",K13="",H13="",M13=""),"",IF(D13&lt;&gt;"","",IF(M13&lt;0,"",MAX($B$2:OFFSET(B13,-1,0))+1)))</f>
        <v>11</v>
      </c>
      <c r="C13" s="26" t="str">
        <f t="shared" si="0"/>
        <v>男子走幅跳</v>
      </c>
      <c r="D13" s="26" t="str">
        <f>IF($C13="","",IF(COUNTIF($C$2:$C13,$C13)&gt;1,"重複",""))</f>
        <v/>
      </c>
      <c r="E13" s="26">
        <f t="shared" ca="1" si="1"/>
        <v>11</v>
      </c>
      <c r="F13" s="26" t="b">
        <f t="shared" si="2"/>
        <v>1</v>
      </c>
      <c r="G13" s="26">
        <f t="shared" ca="1" si="3"/>
        <v>2</v>
      </c>
      <c r="H13" s="26" t="str">
        <f t="shared" si="4"/>
        <v>フィールド</v>
      </c>
      <c r="I13" s="41"/>
      <c r="J13" s="10" t="s">
        <v>303</v>
      </c>
      <c r="K13" s="10" t="s">
        <v>145</v>
      </c>
      <c r="L13" s="41"/>
      <c r="M13" s="42">
        <v>900</v>
      </c>
    </row>
    <row r="14" spans="2:13" x14ac:dyDescent="0.15">
      <c r="B14" s="26">
        <f ca="1">IF(OR(J14="",K14="",H14="",M14=""),"",IF(D14&lt;&gt;"","",IF(M14&lt;0,"",MAX($B$2:OFFSET(B14,-1,0))+1)))</f>
        <v>12</v>
      </c>
      <c r="C14" s="26" t="str">
        <f t="shared" si="0"/>
        <v>男子砲丸投</v>
      </c>
      <c r="D14" s="26" t="str">
        <f>IF($C14="","",IF(COUNTIF($C$2:$C14,$C14)&gt;1,"重複",""))</f>
        <v/>
      </c>
      <c r="E14" s="26">
        <f t="shared" ca="1" si="1"/>
        <v>12</v>
      </c>
      <c r="F14" s="26" t="b">
        <f t="shared" si="2"/>
        <v>1</v>
      </c>
      <c r="G14" s="26">
        <f t="shared" ca="1" si="3"/>
        <v>2</v>
      </c>
      <c r="H14" s="26" t="str">
        <f t="shared" si="4"/>
        <v>フィールド</v>
      </c>
      <c r="I14" s="41"/>
      <c r="J14" s="10" t="s">
        <v>303</v>
      </c>
      <c r="K14" s="10" t="s">
        <v>147</v>
      </c>
      <c r="L14" s="41"/>
      <c r="M14" s="42">
        <v>900</v>
      </c>
    </row>
    <row r="15" spans="2:13" x14ac:dyDescent="0.15">
      <c r="B15" s="26">
        <f ca="1">IF(OR(J15="",K15="",H15="",M15=""),"",IF(D15&lt;&gt;"","",IF(M15&lt;0,"",MAX($B$2:OFFSET(B15,-1,0))+1)))</f>
        <v>13</v>
      </c>
      <c r="C15" s="26" t="str">
        <f t="shared" si="0"/>
        <v>男子円盤投</v>
      </c>
      <c r="D15" s="26" t="str">
        <f>IF($C15="","",IF(COUNTIF($C$2:$C15,$C15)&gt;1,"重複",""))</f>
        <v/>
      </c>
      <c r="E15" s="26">
        <f t="shared" ca="1" si="1"/>
        <v>13</v>
      </c>
      <c r="F15" s="26" t="b">
        <f t="shared" si="2"/>
        <v>1</v>
      </c>
      <c r="G15" s="26">
        <f t="shared" ca="1" si="3"/>
        <v>2</v>
      </c>
      <c r="H15" s="26" t="str">
        <f t="shared" si="4"/>
        <v>フィールド</v>
      </c>
      <c r="I15" s="41"/>
      <c r="J15" s="10" t="s">
        <v>303</v>
      </c>
      <c r="K15" s="10" t="s">
        <v>148</v>
      </c>
      <c r="L15" s="41"/>
      <c r="M15" s="42">
        <v>900</v>
      </c>
    </row>
    <row r="16" spans="2:13" x14ac:dyDescent="0.15">
      <c r="B16" s="26">
        <f ca="1">IF(OR(J16="",K16="",H16="",M16=""),"",IF(D16&lt;&gt;"","",IF(M16&lt;0,"",MAX($B$2:OFFSET(B16,-1,0))+1)))</f>
        <v>14</v>
      </c>
      <c r="C16" s="26" t="str">
        <f t="shared" si="0"/>
        <v>男子四種競技</v>
      </c>
      <c r="D16" s="26" t="str">
        <f>IF($C16="","",IF(COUNTIF($C$2:$C16,$C16)&gt;1,"重複",""))</f>
        <v/>
      </c>
      <c r="E16" s="26">
        <f t="shared" ca="1" si="1"/>
        <v>14</v>
      </c>
      <c r="F16" s="26" t="b">
        <f t="shared" si="2"/>
        <v>1</v>
      </c>
      <c r="G16" s="26">
        <f t="shared" ca="1" si="3"/>
        <v>1</v>
      </c>
      <c r="H16" s="26" t="str">
        <f t="shared" si="4"/>
        <v>混成</v>
      </c>
      <c r="I16" s="41"/>
      <c r="J16" s="10" t="s">
        <v>303</v>
      </c>
      <c r="K16" s="10" t="s">
        <v>154</v>
      </c>
      <c r="L16" s="41"/>
      <c r="M16" s="42">
        <v>900</v>
      </c>
    </row>
    <row r="17" spans="2:13" x14ac:dyDescent="0.15">
      <c r="B17" s="26">
        <f ca="1">IF(OR(J17="",K17="",H17="",M17=""),"",IF(D17&lt;&gt;"","",IF(M17&lt;0,"",MAX($B$2:OFFSET(B17,-1,0))+1)))</f>
        <v>15</v>
      </c>
      <c r="C17" s="26" t="str">
        <f t="shared" si="0"/>
        <v>女子100m</v>
      </c>
      <c r="D17" s="26" t="str">
        <f>IF($C17="","",IF(COUNTIF($C$2:$C17,$C17)&gt;1,"重複",""))</f>
        <v/>
      </c>
      <c r="E17" s="26">
        <f t="shared" ca="1" si="1"/>
        <v>15</v>
      </c>
      <c r="F17" s="26" t="b">
        <f t="shared" si="2"/>
        <v>1</v>
      </c>
      <c r="G17" s="26">
        <f t="shared" ca="1" si="3"/>
        <v>3</v>
      </c>
      <c r="H17" s="26" t="str">
        <f t="shared" si="4"/>
        <v>トラック</v>
      </c>
      <c r="I17" s="41"/>
      <c r="J17" s="10" t="s">
        <v>304</v>
      </c>
      <c r="K17" s="10" t="s">
        <v>306</v>
      </c>
      <c r="L17" s="41"/>
      <c r="M17" s="42">
        <v>900</v>
      </c>
    </row>
    <row r="18" spans="2:13" x14ac:dyDescent="0.15">
      <c r="B18" s="26">
        <f ca="1">IF(OR(J18="",K18="",H18="",M18=""),"",IF(D18&lt;&gt;"","",IF(M18&lt;0,"",MAX($B$2:OFFSET(B18,-1,0))+1)))</f>
        <v>16</v>
      </c>
      <c r="C18" s="26" t="str">
        <f t="shared" si="0"/>
        <v>女子200m</v>
      </c>
      <c r="D18" s="26" t="str">
        <f>IF($C18="","",IF(COUNTIF($C$2:$C18,$C18)&gt;1,"重複",""))</f>
        <v/>
      </c>
      <c r="E18" s="26">
        <f t="shared" ca="1" si="1"/>
        <v>16</v>
      </c>
      <c r="F18" s="26" t="b">
        <f t="shared" si="2"/>
        <v>1</v>
      </c>
      <c r="G18" s="26">
        <f t="shared" ca="1" si="3"/>
        <v>3</v>
      </c>
      <c r="H18" s="26" t="str">
        <f t="shared" si="4"/>
        <v>トラック</v>
      </c>
      <c r="I18" s="41"/>
      <c r="J18" s="10" t="s">
        <v>304</v>
      </c>
      <c r="K18" s="10" t="s">
        <v>307</v>
      </c>
      <c r="L18" s="41"/>
      <c r="M18" s="42">
        <v>900</v>
      </c>
    </row>
    <row r="19" spans="2:13" x14ac:dyDescent="0.15">
      <c r="B19" s="26">
        <f ca="1">IF(OR(J19="",K19="",H19="",M19=""),"",IF(D19&lt;&gt;"","",IF(M19&lt;0,"",MAX($B$2:OFFSET(B19,-1,0))+1)))</f>
        <v>17</v>
      </c>
      <c r="C19" s="26" t="str">
        <f t="shared" si="0"/>
        <v>女子400m</v>
      </c>
      <c r="D19" s="26" t="str">
        <f>IF($C19="","",IF(COUNTIF($C$2:$C19,$C19)&gt;1,"重複",""))</f>
        <v/>
      </c>
      <c r="E19" s="26">
        <f t="shared" ca="1" si="1"/>
        <v>17</v>
      </c>
      <c r="F19" s="26" t="b">
        <f t="shared" si="2"/>
        <v>1</v>
      </c>
      <c r="G19" s="26">
        <f t="shared" ca="1" si="3"/>
        <v>3</v>
      </c>
      <c r="H19" s="26" t="str">
        <f t="shared" si="4"/>
        <v>トラック</v>
      </c>
      <c r="I19" s="41"/>
      <c r="J19" s="10" t="s">
        <v>304</v>
      </c>
      <c r="K19" s="10" t="s">
        <v>308</v>
      </c>
      <c r="L19" s="41"/>
      <c r="M19" s="42">
        <v>900</v>
      </c>
    </row>
    <row r="20" spans="2:13" x14ac:dyDescent="0.15">
      <c r="B20" s="26">
        <f ca="1">IF(OR(J20="",K20="",H20="",M20=""),"",IF(D20&lt;&gt;"","",IF(M20&lt;0,"",MAX($B$2:OFFSET(B20,-1,0))+1)))</f>
        <v>18</v>
      </c>
      <c r="C20" s="26" t="str">
        <f t="shared" si="0"/>
        <v>女子800m</v>
      </c>
      <c r="D20" s="26" t="str">
        <f>IF($C20="","",IF(COUNTIF($C$2:$C20,$C20)&gt;1,"重複",""))</f>
        <v/>
      </c>
      <c r="E20" s="26">
        <f t="shared" ca="1" si="1"/>
        <v>18</v>
      </c>
      <c r="F20" s="26" t="b">
        <f t="shared" si="2"/>
        <v>1</v>
      </c>
      <c r="G20" s="26">
        <f t="shared" ca="1" si="3"/>
        <v>3</v>
      </c>
      <c r="H20" s="26" t="str">
        <f t="shared" si="4"/>
        <v>トラック</v>
      </c>
      <c r="I20" s="41"/>
      <c r="J20" s="10" t="s">
        <v>304</v>
      </c>
      <c r="K20" s="10" t="s">
        <v>309</v>
      </c>
      <c r="L20" s="41"/>
      <c r="M20" s="42">
        <v>900</v>
      </c>
    </row>
    <row r="21" spans="2:13" x14ac:dyDescent="0.15">
      <c r="B21" s="26">
        <f ca="1">IF(OR(J21="",K21="",H21="",M21=""),"",IF(D21&lt;&gt;"","",IF(M21&lt;0,"",MAX($B$2:OFFSET(B21,-1,0))+1)))</f>
        <v>19</v>
      </c>
      <c r="C21" s="26" t="str">
        <f t="shared" si="0"/>
        <v>女子1500m</v>
      </c>
      <c r="D21" s="26" t="str">
        <f>IF($C21="","",IF(COUNTIF($C$2:$C21,$C21)&gt;1,"重複",""))</f>
        <v/>
      </c>
      <c r="E21" s="26">
        <f t="shared" ca="1" si="1"/>
        <v>19</v>
      </c>
      <c r="F21" s="26" t="b">
        <f t="shared" si="2"/>
        <v>1</v>
      </c>
      <c r="G21" s="26">
        <f t="shared" ca="1" si="3"/>
        <v>3</v>
      </c>
      <c r="H21" s="26" t="str">
        <f t="shared" si="4"/>
        <v>トラック</v>
      </c>
      <c r="I21" s="41"/>
      <c r="J21" s="10" t="s">
        <v>304</v>
      </c>
      <c r="K21" s="10" t="s">
        <v>314</v>
      </c>
      <c r="L21" s="41"/>
      <c r="M21" s="42">
        <v>900</v>
      </c>
    </row>
    <row r="22" spans="2:13" x14ac:dyDescent="0.15">
      <c r="B22" s="26">
        <f ca="1">IF(OR(J22="",K22="",H22="",M22=""),"",IF(D22&lt;&gt;"","",IF(M22&lt;0,"",MAX($B$2:OFFSET(B22,-1,0))+1)))</f>
        <v>20</v>
      </c>
      <c r="C22" s="26" t="str">
        <f t="shared" si="0"/>
        <v>女子110mH</v>
      </c>
      <c r="D22" s="26" t="str">
        <f>IF($C22="","",IF(COUNTIF($C$2:$C22,$C22)&gt;1,"重複",""))</f>
        <v/>
      </c>
      <c r="E22" s="26">
        <f t="shared" ca="1" si="1"/>
        <v>20</v>
      </c>
      <c r="F22" s="26" t="b">
        <f t="shared" si="2"/>
        <v>1</v>
      </c>
      <c r="G22" s="26">
        <f t="shared" ca="1" si="3"/>
        <v>3</v>
      </c>
      <c r="H22" s="26" t="str">
        <f t="shared" si="4"/>
        <v>トラック</v>
      </c>
      <c r="I22" s="41"/>
      <c r="J22" s="10" t="s">
        <v>304</v>
      </c>
      <c r="K22" s="10" t="s">
        <v>311</v>
      </c>
      <c r="L22" s="41"/>
      <c r="M22" s="42">
        <v>900</v>
      </c>
    </row>
    <row r="23" spans="2:13" x14ac:dyDescent="0.15">
      <c r="B23" s="26">
        <f ca="1">IF(OR(J23="",K23="",H23="",M23=""),"",IF(D23&lt;&gt;"","",IF(M23&lt;0,"",MAX($B$2:OFFSET(B23,-1,0))+1)))</f>
        <v>21</v>
      </c>
      <c r="C23" s="26" t="str">
        <f t="shared" si="0"/>
        <v>女子300mH</v>
      </c>
      <c r="D23" s="26" t="str">
        <f>IF($C23="","",IF(COUNTIF($C$2:$C23,$C23)&gt;1,"重複",""))</f>
        <v/>
      </c>
      <c r="E23" s="26">
        <f t="shared" ca="1" si="1"/>
        <v>21</v>
      </c>
      <c r="F23" s="26" t="b">
        <f t="shared" si="2"/>
        <v>1</v>
      </c>
      <c r="G23" s="26">
        <f t="shared" ca="1" si="3"/>
        <v>3</v>
      </c>
      <c r="H23" s="26" t="str">
        <f t="shared" si="4"/>
        <v>トラック</v>
      </c>
      <c r="I23" s="41"/>
      <c r="J23" s="10" t="s">
        <v>304</v>
      </c>
      <c r="K23" s="10" t="s">
        <v>312</v>
      </c>
      <c r="L23" s="41"/>
      <c r="M23" s="42">
        <v>900</v>
      </c>
    </row>
    <row r="24" spans="2:13" x14ac:dyDescent="0.15">
      <c r="B24" s="26">
        <f ca="1">IF(OR(J24="",K24="",H24="",M24=""),"",IF(D24&lt;&gt;"","",IF(M24&lt;0,"",MAX($B$2:OFFSET(B24,-1,0))+1)))</f>
        <v>22</v>
      </c>
      <c r="C24" s="26" t="str">
        <f t="shared" si="0"/>
        <v>女子4×100mR</v>
      </c>
      <c r="D24" s="26" t="str">
        <f>IF($C24="","",IF(COUNTIF($C$2:$C24,$C24)&gt;1,"重複",""))</f>
        <v/>
      </c>
      <c r="E24" s="26">
        <f t="shared" ca="1" si="1"/>
        <v>22</v>
      </c>
      <c r="F24" s="26" t="b">
        <f t="shared" si="2"/>
        <v>1</v>
      </c>
      <c r="G24" s="26">
        <f t="shared" ca="1" si="3"/>
        <v>3</v>
      </c>
      <c r="H24" s="26" t="str">
        <f t="shared" si="4"/>
        <v>リレー</v>
      </c>
      <c r="I24" s="41"/>
      <c r="J24" s="10" t="s">
        <v>304</v>
      </c>
      <c r="K24" s="10" t="s">
        <v>313</v>
      </c>
      <c r="L24" s="41"/>
      <c r="M24" s="42">
        <v>1500</v>
      </c>
    </row>
    <row r="25" spans="2:13" x14ac:dyDescent="0.15">
      <c r="B25" s="26">
        <f ca="1">IF(OR(J25="",K25="",H25="",M25=""),"",IF(D25&lt;&gt;"","",IF(M25&lt;0,"",MAX($B$2:OFFSET(B25,-1,0))+1)))</f>
        <v>23</v>
      </c>
      <c r="C25" s="26" t="str">
        <f t="shared" si="0"/>
        <v>女子走高跳</v>
      </c>
      <c r="D25" s="26" t="str">
        <f>IF($C25="","",IF(COUNTIF($C$2:$C25,$C25)&gt;1,"重複",""))</f>
        <v/>
      </c>
      <c r="E25" s="26">
        <f t="shared" ca="1" si="1"/>
        <v>23</v>
      </c>
      <c r="F25" s="26" t="b">
        <f t="shared" si="2"/>
        <v>1</v>
      </c>
      <c r="G25" s="26">
        <f t="shared" ca="1" si="3"/>
        <v>2</v>
      </c>
      <c r="H25" s="26" t="str">
        <f t="shared" si="4"/>
        <v>フィールド</v>
      </c>
      <c r="I25" s="41"/>
      <c r="J25" s="10" t="s">
        <v>304</v>
      </c>
      <c r="K25" s="10" t="s">
        <v>143</v>
      </c>
      <c r="L25" s="41"/>
      <c r="M25" s="42">
        <v>900</v>
      </c>
    </row>
    <row r="26" spans="2:13" x14ac:dyDescent="0.15">
      <c r="B26" s="26">
        <f ca="1">IF(OR(J26="",K26="",H26="",M26=""),"",IF(D26&lt;&gt;"","",IF(M26&lt;0,"",MAX($B$2:OFFSET(B26,-1,0))+1)))</f>
        <v>24</v>
      </c>
      <c r="C26" s="26" t="str">
        <f t="shared" si="0"/>
        <v>女子棒高跳</v>
      </c>
      <c r="D26" s="26" t="str">
        <f>IF($C26="","",IF(COUNTIF($C$2:$C26,$C26)&gt;1,"重複",""))</f>
        <v/>
      </c>
      <c r="E26" s="26">
        <f t="shared" ca="1" si="1"/>
        <v>24</v>
      </c>
      <c r="F26" s="26" t="b">
        <f t="shared" si="2"/>
        <v>1</v>
      </c>
      <c r="G26" s="26">
        <f t="shared" ca="1" si="3"/>
        <v>2</v>
      </c>
      <c r="H26" s="26" t="str">
        <f t="shared" si="4"/>
        <v>フィールド</v>
      </c>
      <c r="I26" s="41"/>
      <c r="J26" s="10" t="s">
        <v>304</v>
      </c>
      <c r="K26" s="10" t="s">
        <v>144</v>
      </c>
      <c r="L26" s="41"/>
      <c r="M26" s="42">
        <v>900</v>
      </c>
    </row>
    <row r="27" spans="2:13" x14ac:dyDescent="0.15">
      <c r="B27" s="26">
        <f ca="1">IF(OR(J27="",K27="",H27="",M27=""),"",IF(D27&lt;&gt;"","",IF(M27&lt;0,"",MAX($B$2:OFFSET(B27,-1,0))+1)))</f>
        <v>25</v>
      </c>
      <c r="C27" s="26" t="str">
        <f t="shared" si="0"/>
        <v>女子走幅跳</v>
      </c>
      <c r="D27" s="26" t="str">
        <f>IF($C27="","",IF(COUNTIF($C$2:$C27,$C27)&gt;1,"重複",""))</f>
        <v/>
      </c>
      <c r="E27" s="26">
        <f t="shared" ca="1" si="1"/>
        <v>25</v>
      </c>
      <c r="F27" s="26" t="b">
        <f t="shared" si="2"/>
        <v>1</v>
      </c>
      <c r="G27" s="26">
        <f t="shared" ca="1" si="3"/>
        <v>2</v>
      </c>
      <c r="H27" s="26" t="str">
        <f t="shared" si="4"/>
        <v>フィールド</v>
      </c>
      <c r="I27" s="41"/>
      <c r="J27" s="10" t="s">
        <v>304</v>
      </c>
      <c r="K27" s="10" t="s">
        <v>145</v>
      </c>
      <c r="L27" s="41"/>
      <c r="M27" s="42">
        <v>900</v>
      </c>
    </row>
    <row r="28" spans="2:13" x14ac:dyDescent="0.15">
      <c r="B28" s="26">
        <f ca="1">IF(OR(J28="",K28="",H28="",M28=""),"",IF(D28&lt;&gt;"","",IF(M28&lt;0,"",MAX($B$2:OFFSET(B28,-1,0))+1)))</f>
        <v>26</v>
      </c>
      <c r="C28" s="26" t="str">
        <f t="shared" si="0"/>
        <v>女子砲丸投</v>
      </c>
      <c r="D28" s="26" t="str">
        <f>IF($C28="","",IF(COUNTIF($C$2:$C28,$C28)&gt;1,"重複",""))</f>
        <v/>
      </c>
      <c r="E28" s="26">
        <f t="shared" ca="1" si="1"/>
        <v>26</v>
      </c>
      <c r="F28" s="26" t="b">
        <f t="shared" si="2"/>
        <v>1</v>
      </c>
      <c r="G28" s="26">
        <f t="shared" ca="1" si="3"/>
        <v>2</v>
      </c>
      <c r="H28" s="26" t="str">
        <f t="shared" si="4"/>
        <v>フィールド</v>
      </c>
      <c r="I28" s="41"/>
      <c r="J28" s="10" t="s">
        <v>304</v>
      </c>
      <c r="K28" s="10" t="s">
        <v>147</v>
      </c>
      <c r="L28" s="41"/>
      <c r="M28" s="42">
        <v>900</v>
      </c>
    </row>
    <row r="29" spans="2:13" x14ac:dyDescent="0.15">
      <c r="B29" s="26">
        <f ca="1">IF(OR(J29="",K29="",H29="",M29=""),"",IF(D29&lt;&gt;"","",IF(M29&lt;0,"",MAX($B$2:OFFSET(B29,-1,0))+1)))</f>
        <v>27</v>
      </c>
      <c r="C29" s="26" t="str">
        <f t="shared" si="0"/>
        <v>女子円盤投</v>
      </c>
      <c r="D29" s="26" t="str">
        <f>IF($C29="","",IF(COUNTIF($C$2:$C29,$C29)&gt;1,"重複",""))</f>
        <v/>
      </c>
      <c r="E29" s="26">
        <f t="shared" ca="1" si="1"/>
        <v>27</v>
      </c>
      <c r="F29" s="26" t="b">
        <f t="shared" si="2"/>
        <v>1</v>
      </c>
      <c r="G29" s="26">
        <f t="shared" ca="1" si="3"/>
        <v>2</v>
      </c>
      <c r="H29" s="26" t="str">
        <f t="shared" si="4"/>
        <v>フィールド</v>
      </c>
      <c r="I29" s="41"/>
      <c r="J29" s="10" t="s">
        <v>304</v>
      </c>
      <c r="K29" s="10" t="s">
        <v>148</v>
      </c>
      <c r="L29" s="41"/>
      <c r="M29" s="42">
        <v>900</v>
      </c>
    </row>
    <row r="30" spans="2:13" x14ac:dyDescent="0.15">
      <c r="B30" s="26">
        <f ca="1">IF(OR(J30="",K30="",H30="",M30=""),"",IF(D30&lt;&gt;"","",IF(M30&lt;0,"",MAX($B$2:OFFSET(B30,-1,0))+1)))</f>
        <v>28</v>
      </c>
      <c r="C30" s="26" t="str">
        <f t="shared" si="0"/>
        <v>女子四種競技</v>
      </c>
      <c r="D30" s="26" t="str">
        <f>IF($C30="","",IF(COUNTIF($C$2:$C30,$C30)&gt;1,"重複",""))</f>
        <v/>
      </c>
      <c r="E30" s="26">
        <f t="shared" ca="1" si="1"/>
        <v>28</v>
      </c>
      <c r="F30" s="26" t="b">
        <f t="shared" si="2"/>
        <v>1</v>
      </c>
      <c r="G30" s="26">
        <f t="shared" ca="1" si="3"/>
        <v>1</v>
      </c>
      <c r="H30" s="26" t="str">
        <f t="shared" si="4"/>
        <v>混成</v>
      </c>
      <c r="I30" s="41"/>
      <c r="J30" s="10" t="s">
        <v>304</v>
      </c>
      <c r="K30" s="10" t="s">
        <v>154</v>
      </c>
      <c r="L30" s="41"/>
      <c r="M30" s="42">
        <v>900</v>
      </c>
    </row>
    <row r="31" spans="2:13" x14ac:dyDescent="0.15">
      <c r="B31" s="26" t="str">
        <f ca="1">IF(OR(J31="",K31="",H31="",M31=""),"",IF(D31&lt;&gt;"","",IF(M31&lt;0,"",MAX($B$2:OFFSET(B31,-1,0))+1)))</f>
        <v/>
      </c>
      <c r="C31" s="26" t="str">
        <f t="shared" si="0"/>
        <v/>
      </c>
      <c r="D31" s="26" t="str">
        <f>IF($C31="","",IF(COUNTIF($C$2:$C31,$C31)&gt;1,"重複",""))</f>
        <v/>
      </c>
      <c r="E31" s="26" t="str">
        <f t="shared" ca="1" si="1"/>
        <v/>
      </c>
      <c r="F31" s="26" t="b">
        <f t="shared" si="2"/>
        <v>1</v>
      </c>
      <c r="G31" s="26" t="str">
        <f t="shared" ca="1" si="3"/>
        <v/>
      </c>
      <c r="H31" s="26" t="str">
        <f t="shared" si="4"/>
        <v/>
      </c>
      <c r="I31" s="41"/>
      <c r="J31" s="10"/>
      <c r="K31" s="10"/>
      <c r="L31" s="41"/>
      <c r="M31" s="42"/>
    </row>
    <row r="32" spans="2:13" x14ac:dyDescent="0.15">
      <c r="B32" s="26" t="str">
        <f ca="1">IF(OR(J32="",K32="",H32="",M32=""),"",IF(D32&lt;&gt;"","",IF(M32&lt;0,"",MAX($B$2:OFFSET(B32,-1,0))+1)))</f>
        <v/>
      </c>
      <c r="C32" s="26" t="str">
        <f t="shared" si="0"/>
        <v/>
      </c>
      <c r="D32" s="26" t="str">
        <f>IF($C32="","",IF(COUNTIF($C$2:$C32,$C32)&gt;1,"重複",""))</f>
        <v/>
      </c>
      <c r="E32" s="26" t="str">
        <f t="shared" ca="1" si="1"/>
        <v/>
      </c>
      <c r="F32" s="26" t="b">
        <f t="shared" si="2"/>
        <v>1</v>
      </c>
      <c r="G32" s="26" t="str">
        <f t="shared" ca="1" si="3"/>
        <v/>
      </c>
      <c r="H32" s="26" t="str">
        <f t="shared" si="4"/>
        <v/>
      </c>
      <c r="I32" s="41"/>
      <c r="J32" s="10"/>
      <c r="K32" s="10"/>
      <c r="L32" s="41"/>
      <c r="M32" s="42"/>
    </row>
    <row r="33" spans="2:13" x14ac:dyDescent="0.15">
      <c r="B33" s="26" t="str">
        <f ca="1">IF(OR(J33="",K33="",H33="",M33=""),"",IF(D33&lt;&gt;"","",IF(M33&lt;0,"",MAX($B$2:OFFSET(B33,-1,0))+1)))</f>
        <v/>
      </c>
      <c r="C33" s="26" t="str">
        <f t="shared" si="0"/>
        <v/>
      </c>
      <c r="D33" s="26" t="str">
        <f>IF($C33="","",IF(COUNTIF($C$2:$C33,$C33)&gt;1,"重複",""))</f>
        <v/>
      </c>
      <c r="E33" s="26" t="str">
        <f t="shared" ca="1" si="1"/>
        <v/>
      </c>
      <c r="F33" s="26" t="b">
        <f t="shared" si="2"/>
        <v>1</v>
      </c>
      <c r="G33" s="26" t="str">
        <f t="shared" ca="1" si="3"/>
        <v/>
      </c>
      <c r="H33" s="26" t="str">
        <f t="shared" si="4"/>
        <v/>
      </c>
      <c r="I33" s="41"/>
      <c r="J33" s="10"/>
      <c r="K33" s="10"/>
      <c r="L33" s="41"/>
      <c r="M33" s="42"/>
    </row>
    <row r="34" spans="2:13" x14ac:dyDescent="0.15">
      <c r="B34" s="26" t="str">
        <f ca="1">IF(OR(J34="",K34="",H34="",M34=""),"",IF(D34&lt;&gt;"","",IF(M34&lt;0,"",MAX($B$2:OFFSET(B34,-1,0))+1)))</f>
        <v/>
      </c>
      <c r="C34" s="26" t="str">
        <f t="shared" si="0"/>
        <v/>
      </c>
      <c r="D34" s="26" t="str">
        <f>IF($C34="","",IF(COUNTIF($C$2:$C34,$C34)&gt;1,"重複",""))</f>
        <v/>
      </c>
      <c r="E34" s="26" t="str">
        <f t="shared" ca="1" si="1"/>
        <v/>
      </c>
      <c r="F34" s="26" t="b">
        <f t="shared" si="2"/>
        <v>1</v>
      </c>
      <c r="G34" s="26" t="str">
        <f t="shared" ca="1" si="3"/>
        <v/>
      </c>
      <c r="H34" s="26" t="str">
        <f t="shared" si="4"/>
        <v/>
      </c>
      <c r="I34" s="41"/>
      <c r="J34" s="10"/>
      <c r="K34" s="10"/>
      <c r="L34" s="41"/>
      <c r="M34" s="42"/>
    </row>
    <row r="35" spans="2:13" x14ac:dyDescent="0.15">
      <c r="B35" s="26" t="str">
        <f ca="1">IF(OR(J35="",K35="",H35="",M35=""),"",IF(D35&lt;&gt;"","",IF(M35&lt;0,"",MAX($B$2:OFFSET(B35,-1,0))+1)))</f>
        <v/>
      </c>
      <c r="C35" s="26" t="str">
        <f t="shared" ref="C35:C51" si="5">IF(OR(J35="",K35=""),"",I35&amp;J35&amp;K35)</f>
        <v/>
      </c>
      <c r="D35" s="26" t="str">
        <f>IF($C35="","",IF(COUNTIF($C$2:$C35,$C35)&gt;1,"重複",""))</f>
        <v/>
      </c>
      <c r="E35" s="26" t="str">
        <f t="shared" ref="E35:E51" ca="1" si="6">B35</f>
        <v/>
      </c>
      <c r="F35" s="26" t="b">
        <f t="shared" ref="F35:F51" si="7">IF(L35="",TRUE,IF(L35="不要",FALSE,TRUE))</f>
        <v>1</v>
      </c>
      <c r="G35" s="26" t="str">
        <f t="shared" ref="G35:G51" ca="1" si="8">IF(E35="","",IFERROR(VLOOKUP(K35,Event_List,3,FALSE),-3))</f>
        <v/>
      </c>
      <c r="H35" s="26" t="str">
        <f t="shared" ref="H35:H51" si="9">IFERROR(VLOOKUP(K35,Event_List,2,FALSE),"")</f>
        <v/>
      </c>
      <c r="I35" s="41"/>
      <c r="J35" s="10"/>
      <c r="K35" s="10"/>
      <c r="L35" s="41"/>
      <c r="M35" s="42"/>
    </row>
    <row r="36" spans="2:13" x14ac:dyDescent="0.15">
      <c r="B36" s="26" t="str">
        <f ca="1">IF(OR(J36="",K36="",H36="",M36=""),"",IF(D36&lt;&gt;"","",IF(M36&lt;0,"",MAX($B$2:OFFSET(B36,-1,0))+1)))</f>
        <v/>
      </c>
      <c r="C36" s="26" t="str">
        <f t="shared" si="5"/>
        <v/>
      </c>
      <c r="D36" s="26" t="str">
        <f>IF($C36="","",IF(COUNTIF($C$2:$C36,$C36)&gt;1,"重複",""))</f>
        <v/>
      </c>
      <c r="E36" s="26" t="str">
        <f t="shared" ca="1" si="6"/>
        <v/>
      </c>
      <c r="F36" s="26" t="b">
        <f t="shared" si="7"/>
        <v>1</v>
      </c>
      <c r="G36" s="26" t="str">
        <f t="shared" ca="1" si="8"/>
        <v/>
      </c>
      <c r="H36" s="26" t="str">
        <f t="shared" si="9"/>
        <v/>
      </c>
      <c r="I36" s="41"/>
      <c r="J36" s="10"/>
      <c r="K36" s="10"/>
      <c r="L36" s="41"/>
      <c r="M36" s="42"/>
    </row>
    <row r="37" spans="2:13" x14ac:dyDescent="0.15">
      <c r="B37" s="26" t="str">
        <f ca="1">IF(OR(J37="",K37="",H37="",M37=""),"",IF(D37&lt;&gt;"","",IF(M37&lt;0,"",MAX($B$2:OFFSET(B37,-1,0))+1)))</f>
        <v/>
      </c>
      <c r="C37" s="26" t="str">
        <f t="shared" si="5"/>
        <v/>
      </c>
      <c r="D37" s="26" t="str">
        <f>IF($C37="","",IF(COUNTIF($C$2:$C37,$C37)&gt;1,"重複",""))</f>
        <v/>
      </c>
      <c r="E37" s="26" t="str">
        <f t="shared" ca="1" si="6"/>
        <v/>
      </c>
      <c r="F37" s="26" t="b">
        <f t="shared" si="7"/>
        <v>1</v>
      </c>
      <c r="G37" s="26" t="str">
        <f t="shared" ca="1" si="8"/>
        <v/>
      </c>
      <c r="H37" s="26" t="str">
        <f t="shared" si="9"/>
        <v/>
      </c>
      <c r="I37" s="41"/>
      <c r="J37" s="10"/>
      <c r="K37" s="10"/>
      <c r="L37" s="41"/>
      <c r="M37" s="42"/>
    </row>
    <row r="38" spans="2:13" x14ac:dyDescent="0.15">
      <c r="B38" s="26" t="str">
        <f ca="1">IF(OR(J38="",K38="",H38="",M38=""),"",IF(D38&lt;&gt;"","",IF(M38&lt;0,"",MAX($B$2:OFFSET(B38,-1,0))+1)))</f>
        <v/>
      </c>
      <c r="C38" s="26" t="str">
        <f t="shared" si="5"/>
        <v/>
      </c>
      <c r="D38" s="26" t="str">
        <f>IF($C38="","",IF(COUNTIF($C$2:$C38,$C38)&gt;1,"重複",""))</f>
        <v/>
      </c>
      <c r="E38" s="26" t="str">
        <f t="shared" ca="1" si="6"/>
        <v/>
      </c>
      <c r="F38" s="26" t="b">
        <f t="shared" si="7"/>
        <v>1</v>
      </c>
      <c r="G38" s="26" t="str">
        <f t="shared" ca="1" si="8"/>
        <v/>
      </c>
      <c r="H38" s="26" t="str">
        <f t="shared" si="9"/>
        <v/>
      </c>
      <c r="I38" s="41"/>
      <c r="J38" s="10"/>
      <c r="K38" s="10"/>
      <c r="L38" s="41"/>
      <c r="M38" s="42"/>
    </row>
    <row r="39" spans="2:13" x14ac:dyDescent="0.15">
      <c r="B39" s="26" t="str">
        <f ca="1">IF(OR(J39="",K39="",H39="",M39=""),"",IF(D39&lt;&gt;"","",IF(M39&lt;0,"",MAX($B$2:OFFSET(B39,-1,0))+1)))</f>
        <v/>
      </c>
      <c r="C39" s="26" t="str">
        <f t="shared" si="5"/>
        <v/>
      </c>
      <c r="D39" s="26" t="str">
        <f>IF($C39="","",IF(COUNTIF($C$2:$C39,$C39)&gt;1,"重複",""))</f>
        <v/>
      </c>
      <c r="E39" s="26" t="str">
        <f t="shared" ca="1" si="6"/>
        <v/>
      </c>
      <c r="F39" s="26" t="b">
        <f t="shared" si="7"/>
        <v>1</v>
      </c>
      <c r="G39" s="26" t="str">
        <f t="shared" ca="1" si="8"/>
        <v/>
      </c>
      <c r="H39" s="26" t="str">
        <f t="shared" si="9"/>
        <v/>
      </c>
      <c r="I39" s="41"/>
      <c r="J39" s="10"/>
      <c r="K39" s="10"/>
      <c r="L39" s="41"/>
      <c r="M39" s="42"/>
    </row>
    <row r="40" spans="2:13" x14ac:dyDescent="0.15">
      <c r="B40" s="26" t="str">
        <f ca="1">IF(OR(J40="",K40="",H40="",M40=""),"",IF(D40&lt;&gt;"","",IF(M40&lt;0,"",MAX($B$2:OFFSET(B40,-1,0))+1)))</f>
        <v/>
      </c>
      <c r="C40" s="26" t="str">
        <f t="shared" si="5"/>
        <v/>
      </c>
      <c r="D40" s="26" t="str">
        <f>IF($C40="","",IF(COUNTIF($C$2:$C40,$C40)&gt;1,"重複",""))</f>
        <v/>
      </c>
      <c r="E40" s="26" t="str">
        <f t="shared" ca="1" si="6"/>
        <v/>
      </c>
      <c r="F40" s="26" t="b">
        <f t="shared" si="7"/>
        <v>1</v>
      </c>
      <c r="G40" s="26" t="str">
        <f t="shared" ca="1" si="8"/>
        <v/>
      </c>
      <c r="H40" s="26" t="str">
        <f t="shared" si="9"/>
        <v/>
      </c>
      <c r="I40" s="41"/>
      <c r="J40" s="10"/>
      <c r="K40" s="10"/>
      <c r="L40" s="41"/>
      <c r="M40" s="42"/>
    </row>
    <row r="41" spans="2:13" x14ac:dyDescent="0.15">
      <c r="B41" s="26" t="str">
        <f ca="1">IF(OR(J41="",K41="",H41="",M41=""),"",IF(D41&lt;&gt;"","",IF(M41&lt;0,"",MAX($B$2:OFFSET(B41,-1,0))+1)))</f>
        <v/>
      </c>
      <c r="C41" s="26" t="str">
        <f t="shared" si="5"/>
        <v/>
      </c>
      <c r="D41" s="26" t="str">
        <f>IF($C41="","",IF(COUNTIF($C$2:$C41,$C41)&gt;1,"重複",""))</f>
        <v/>
      </c>
      <c r="E41" s="26" t="str">
        <f t="shared" ca="1" si="6"/>
        <v/>
      </c>
      <c r="F41" s="26" t="b">
        <f t="shared" si="7"/>
        <v>1</v>
      </c>
      <c r="G41" s="26" t="str">
        <f t="shared" ca="1" si="8"/>
        <v/>
      </c>
      <c r="H41" s="26" t="str">
        <f t="shared" si="9"/>
        <v/>
      </c>
      <c r="I41" s="41"/>
      <c r="J41" s="10"/>
      <c r="K41" s="10"/>
      <c r="L41" s="41"/>
      <c r="M41" s="42"/>
    </row>
    <row r="42" spans="2:13" x14ac:dyDescent="0.15">
      <c r="B42" s="26" t="str">
        <f ca="1">IF(OR(J42="",K42="",H42="",M42=""),"",IF(D42&lt;&gt;"","",IF(M42&lt;0,"",MAX($B$2:OFFSET(B42,-1,0))+1)))</f>
        <v/>
      </c>
      <c r="C42" s="26" t="str">
        <f t="shared" si="5"/>
        <v/>
      </c>
      <c r="D42" s="26" t="str">
        <f>IF($C42="","",IF(COUNTIF($C$2:$C42,$C42)&gt;1,"重複",""))</f>
        <v/>
      </c>
      <c r="E42" s="26" t="str">
        <f t="shared" ca="1" si="6"/>
        <v/>
      </c>
      <c r="F42" s="26" t="b">
        <f t="shared" si="7"/>
        <v>1</v>
      </c>
      <c r="G42" s="26" t="str">
        <f t="shared" ca="1" si="8"/>
        <v/>
      </c>
      <c r="H42" s="26" t="str">
        <f t="shared" si="9"/>
        <v/>
      </c>
      <c r="I42" s="41"/>
      <c r="J42" s="10"/>
      <c r="K42" s="10"/>
      <c r="L42" s="41"/>
      <c r="M42" s="42"/>
    </row>
    <row r="43" spans="2:13" x14ac:dyDescent="0.15">
      <c r="B43" s="26" t="str">
        <f ca="1">IF(OR(J43="",K43="",H43="",M43=""),"",IF(D43&lt;&gt;"","",IF(M43&lt;0,"",MAX($B$2:OFFSET(B43,-1,0))+1)))</f>
        <v/>
      </c>
      <c r="C43" s="26" t="str">
        <f t="shared" si="5"/>
        <v/>
      </c>
      <c r="D43" s="26" t="str">
        <f>IF($C43="","",IF(COUNTIF($C$2:$C43,$C43)&gt;1,"重複",""))</f>
        <v/>
      </c>
      <c r="E43" s="26" t="str">
        <f t="shared" ca="1" si="6"/>
        <v/>
      </c>
      <c r="F43" s="26" t="b">
        <f t="shared" si="7"/>
        <v>1</v>
      </c>
      <c r="G43" s="26" t="str">
        <f t="shared" ca="1" si="8"/>
        <v/>
      </c>
      <c r="H43" s="26" t="str">
        <f t="shared" si="9"/>
        <v/>
      </c>
      <c r="I43" s="41"/>
      <c r="J43" s="10"/>
      <c r="K43" s="10"/>
      <c r="L43" s="41"/>
      <c r="M43" s="42"/>
    </row>
    <row r="44" spans="2:13" x14ac:dyDescent="0.15">
      <c r="B44" s="26" t="str">
        <f ca="1">IF(OR(J44="",K44="",H44="",M44=""),"",IF(D44&lt;&gt;"","",IF(M44&lt;0,"",MAX($B$2:OFFSET(B44,-1,0))+1)))</f>
        <v/>
      </c>
      <c r="C44" s="26" t="str">
        <f t="shared" si="5"/>
        <v/>
      </c>
      <c r="D44" s="26" t="str">
        <f>IF($C44="","",IF(COUNTIF($C$2:$C44,$C44)&gt;1,"重複",""))</f>
        <v/>
      </c>
      <c r="E44" s="26" t="str">
        <f t="shared" ca="1" si="6"/>
        <v/>
      </c>
      <c r="F44" s="26" t="b">
        <f t="shared" si="7"/>
        <v>1</v>
      </c>
      <c r="G44" s="26" t="str">
        <f t="shared" ca="1" si="8"/>
        <v/>
      </c>
      <c r="H44" s="26" t="str">
        <f t="shared" si="9"/>
        <v/>
      </c>
      <c r="I44" s="41"/>
      <c r="J44" s="10"/>
      <c r="K44" s="10"/>
      <c r="L44" s="41"/>
      <c r="M44" s="42"/>
    </row>
    <row r="45" spans="2:13" x14ac:dyDescent="0.15">
      <c r="B45" s="26" t="str">
        <f ca="1">IF(OR(J45="",K45="",H45="",M45=""),"",IF(D45&lt;&gt;"","",IF(M45&lt;0,"",MAX($B$2:OFFSET(B45,-1,0))+1)))</f>
        <v/>
      </c>
      <c r="C45" s="26" t="str">
        <f t="shared" si="5"/>
        <v/>
      </c>
      <c r="D45" s="26" t="str">
        <f>IF($C45="","",IF(COUNTIF($C$2:$C45,$C45)&gt;1,"重複",""))</f>
        <v/>
      </c>
      <c r="E45" s="26" t="str">
        <f t="shared" ca="1" si="6"/>
        <v/>
      </c>
      <c r="F45" s="26" t="b">
        <f t="shared" si="7"/>
        <v>1</v>
      </c>
      <c r="G45" s="26" t="str">
        <f t="shared" ca="1" si="8"/>
        <v/>
      </c>
      <c r="H45" s="26" t="str">
        <f t="shared" si="9"/>
        <v/>
      </c>
      <c r="I45" s="41"/>
      <c r="J45" s="10"/>
      <c r="K45" s="10"/>
      <c r="L45" s="41"/>
      <c r="M45" s="42"/>
    </row>
    <row r="46" spans="2:13" x14ac:dyDescent="0.15">
      <c r="B46" s="26" t="str">
        <f ca="1">IF(OR(J46="",K46="",H46="",M46=""),"",IF(D46&lt;&gt;"","",IF(M46&lt;0,"",MAX($B$2:OFFSET(B46,-1,0))+1)))</f>
        <v/>
      </c>
      <c r="C46" s="26" t="str">
        <f t="shared" si="5"/>
        <v/>
      </c>
      <c r="D46" s="26" t="str">
        <f>IF($C46="","",IF(COUNTIF($C$2:$C46,$C46)&gt;1,"重複",""))</f>
        <v/>
      </c>
      <c r="E46" s="26" t="str">
        <f t="shared" ca="1" si="6"/>
        <v/>
      </c>
      <c r="F46" s="26" t="b">
        <f t="shared" si="7"/>
        <v>1</v>
      </c>
      <c r="G46" s="26" t="str">
        <f t="shared" ca="1" si="8"/>
        <v/>
      </c>
      <c r="H46" s="26" t="str">
        <f t="shared" si="9"/>
        <v/>
      </c>
      <c r="I46" s="41"/>
      <c r="J46" s="10"/>
      <c r="K46" s="10"/>
      <c r="L46" s="41"/>
      <c r="M46" s="42"/>
    </row>
    <row r="47" spans="2:13" x14ac:dyDescent="0.15">
      <c r="B47" s="26" t="str">
        <f ca="1">IF(OR(J47="",K47="",H47="",M47=""),"",IF(D47&lt;&gt;"","",IF(M47&lt;0,"",MAX($B$2:OFFSET(B47,-1,0))+1)))</f>
        <v/>
      </c>
      <c r="C47" s="26" t="str">
        <f t="shared" si="5"/>
        <v/>
      </c>
      <c r="D47" s="26" t="str">
        <f>IF($C47="","",IF(COUNTIF($C$2:$C47,$C47)&gt;1,"重複",""))</f>
        <v/>
      </c>
      <c r="E47" s="26" t="str">
        <f t="shared" ca="1" si="6"/>
        <v/>
      </c>
      <c r="F47" s="26" t="b">
        <f t="shared" si="7"/>
        <v>1</v>
      </c>
      <c r="G47" s="26" t="str">
        <f t="shared" ca="1" si="8"/>
        <v/>
      </c>
      <c r="H47" s="26" t="str">
        <f t="shared" si="9"/>
        <v/>
      </c>
      <c r="I47" s="41"/>
      <c r="J47" s="10"/>
      <c r="K47" s="10"/>
      <c r="L47" s="41"/>
      <c r="M47" s="42"/>
    </row>
    <row r="48" spans="2:13" x14ac:dyDescent="0.15">
      <c r="B48" s="26" t="str">
        <f ca="1">IF(OR(J48="",K48="",H48="",M48=""),"",IF(D48&lt;&gt;"","",IF(M48&lt;0,"",MAX($B$2:OFFSET(B48,-1,0))+1)))</f>
        <v/>
      </c>
      <c r="C48" s="26" t="str">
        <f t="shared" si="5"/>
        <v/>
      </c>
      <c r="D48" s="26" t="str">
        <f>IF($C48="","",IF(COUNTIF($C$2:$C48,$C48)&gt;1,"重複",""))</f>
        <v/>
      </c>
      <c r="E48" s="26" t="str">
        <f t="shared" ca="1" si="6"/>
        <v/>
      </c>
      <c r="F48" s="26" t="b">
        <f t="shared" si="7"/>
        <v>1</v>
      </c>
      <c r="G48" s="26" t="str">
        <f t="shared" ca="1" si="8"/>
        <v/>
      </c>
      <c r="H48" s="26" t="str">
        <f t="shared" si="9"/>
        <v/>
      </c>
      <c r="I48" s="41"/>
      <c r="J48" s="10"/>
      <c r="K48" s="10"/>
      <c r="L48" s="41"/>
      <c r="M48" s="42"/>
    </row>
    <row r="49" spans="2:13" x14ac:dyDescent="0.15">
      <c r="B49" s="26" t="str">
        <f ca="1">IF(OR(J49="",K49="",H49="",M49=""),"",IF(D49&lt;&gt;"","",IF(M49&lt;0,"",MAX($B$2:OFFSET(B49,-1,0))+1)))</f>
        <v/>
      </c>
      <c r="C49" s="26" t="str">
        <f t="shared" si="5"/>
        <v/>
      </c>
      <c r="D49" s="26" t="str">
        <f>IF($C49="","",IF(COUNTIF($C$2:$C49,$C49)&gt;1,"重複",""))</f>
        <v/>
      </c>
      <c r="E49" s="26" t="str">
        <f t="shared" ca="1" si="6"/>
        <v/>
      </c>
      <c r="F49" s="26" t="b">
        <f t="shared" si="7"/>
        <v>1</v>
      </c>
      <c r="G49" s="26" t="str">
        <f t="shared" ca="1" si="8"/>
        <v/>
      </c>
      <c r="H49" s="26" t="str">
        <f t="shared" si="9"/>
        <v/>
      </c>
      <c r="I49" s="41"/>
      <c r="J49" s="10"/>
      <c r="K49" s="10"/>
      <c r="L49" s="41"/>
      <c r="M49" s="42"/>
    </row>
    <row r="50" spans="2:13" x14ac:dyDescent="0.15">
      <c r="B50" s="26" t="str">
        <f ca="1">IF(OR(J50="",K50="",H50="",M50=""),"",IF(D50&lt;&gt;"","",IF(M50&lt;0,"",MAX($B$2:OFFSET(B50,-1,0))+1)))</f>
        <v/>
      </c>
      <c r="C50" s="26" t="str">
        <f t="shared" si="5"/>
        <v/>
      </c>
      <c r="D50" s="26" t="str">
        <f>IF($C50="","",IF(COUNTIF($C$2:$C50,$C50)&gt;1,"重複",""))</f>
        <v/>
      </c>
      <c r="E50" s="26" t="str">
        <f t="shared" ca="1" si="6"/>
        <v/>
      </c>
      <c r="F50" s="26" t="b">
        <f t="shared" si="7"/>
        <v>1</v>
      </c>
      <c r="G50" s="26" t="str">
        <f t="shared" ca="1" si="8"/>
        <v/>
      </c>
      <c r="H50" s="26" t="str">
        <f t="shared" si="9"/>
        <v/>
      </c>
      <c r="I50" s="41"/>
      <c r="J50" s="10"/>
      <c r="K50" s="10"/>
      <c r="L50" s="41"/>
      <c r="M50" s="42"/>
    </row>
    <row r="51" spans="2:13" x14ac:dyDescent="0.15">
      <c r="B51" s="26" t="str">
        <f ca="1">IF(OR(J51="",K51="",H51="",M51=""),"",IF(D51&lt;&gt;"","",IF(M51&lt;0,"",MAX($B$2:OFFSET(B51,-1,0))+1)))</f>
        <v/>
      </c>
      <c r="C51" s="26" t="str">
        <f t="shared" si="5"/>
        <v/>
      </c>
      <c r="D51" s="26" t="str">
        <f>IF($C51="","",IF(COUNTIF($C$2:$C51,$C51)&gt;1,"重複",""))</f>
        <v/>
      </c>
      <c r="E51" s="26" t="str">
        <f t="shared" ca="1" si="6"/>
        <v/>
      </c>
      <c r="F51" s="26" t="b">
        <f t="shared" si="7"/>
        <v>1</v>
      </c>
      <c r="G51" s="26" t="str">
        <f t="shared" ca="1" si="8"/>
        <v/>
      </c>
      <c r="H51" s="26" t="str">
        <f t="shared" si="9"/>
        <v/>
      </c>
      <c r="I51" s="41"/>
      <c r="J51" s="10"/>
      <c r="K51" s="10"/>
      <c r="L51" s="41"/>
      <c r="M51" s="42"/>
    </row>
    <row r="52" spans="2:13" x14ac:dyDescent="0.15">
      <c r="B52" s="51" t="s">
        <v>188</v>
      </c>
      <c r="C52" s="52"/>
      <c r="D52" s="52"/>
      <c r="E52" s="52"/>
      <c r="F52" s="52"/>
      <c r="G52" s="52"/>
      <c r="H52" s="52"/>
      <c r="I52" s="52"/>
      <c r="J52" s="52"/>
      <c r="K52" s="52"/>
      <c r="L52" s="52"/>
      <c r="M52" s="53"/>
    </row>
  </sheetData>
  <phoneticPr fontId="1"/>
  <dataValidations count="3">
    <dataValidation type="list" allowBlank="1" showInputMessage="1" showErrorMessage="1" sqref="K3:K51" xr:uid="{FD116C10-C621-466E-8B05-C259855FDF75}">
      <formula1>OFFSET(Event_List,0,0,ROWS(Event_List)-1, 1)</formula1>
    </dataValidation>
    <dataValidation type="list" allowBlank="1" showInputMessage="1" showErrorMessage="1" sqref="J3:J51" xr:uid="{6640BC2F-C6A6-4E8C-8B80-2D18224E3CA8}">
      <formula1>"男子,女子,男女混合"</formula1>
    </dataValidation>
    <dataValidation type="list" allowBlank="1" showInputMessage="1" showErrorMessage="1" sqref="L3:L51" xr:uid="{87BD8921-D862-4DB1-8617-A028C0D5A14B}">
      <formula1>"要,不要"</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F383-D60E-4FDB-A243-788435982824}">
  <sheetPr codeName="Sheet6">
    <tabColor theme="5" tint="0.79998168889431442"/>
  </sheetPr>
  <dimension ref="B2:J73"/>
  <sheetViews>
    <sheetView workbookViewId="0">
      <selection activeCell="C2" sqref="C2"/>
    </sheetView>
  </sheetViews>
  <sheetFormatPr defaultRowHeight="13.5" x14ac:dyDescent="0.15"/>
  <cols>
    <col min="1" max="1" width="9" style="1"/>
    <col min="2" max="2" width="18.375" style="1" bestFit="1" customWidth="1"/>
    <col min="3" max="7" width="9" style="1"/>
    <col min="8" max="8" width="26.75" style="1" bestFit="1" customWidth="1"/>
    <col min="9" max="9" width="9.25" style="1" bestFit="1" customWidth="1"/>
    <col min="10" max="10" width="13.125" style="1" bestFit="1" customWidth="1"/>
    <col min="11" max="16384" width="9" style="1"/>
  </cols>
  <sheetData>
    <row r="2" spans="2:10" x14ac:dyDescent="0.15">
      <c r="B2" s="1" t="s">
        <v>25</v>
      </c>
      <c r="C2" s="25">
        <v>3</v>
      </c>
      <c r="E2" s="1" t="s">
        <v>45</v>
      </c>
      <c r="H2" s="1" t="s">
        <v>29</v>
      </c>
      <c r="I2" s="1" t="s">
        <v>174</v>
      </c>
      <c r="J2" s="1" t="s">
        <v>179</v>
      </c>
    </row>
    <row r="3" spans="2:10" x14ac:dyDescent="0.15">
      <c r="E3" s="25" t="s">
        <v>46</v>
      </c>
      <c r="H3" s="25" t="s">
        <v>109</v>
      </c>
      <c r="I3" s="25" t="s">
        <v>175</v>
      </c>
      <c r="J3" s="25">
        <v>3</v>
      </c>
    </row>
    <row r="4" spans="2:10" x14ac:dyDescent="0.15">
      <c r="E4" s="25" t="s">
        <v>47</v>
      </c>
      <c r="H4" s="25" t="s">
        <v>110</v>
      </c>
      <c r="I4" s="25" t="s">
        <v>175</v>
      </c>
      <c r="J4" s="25">
        <v>3</v>
      </c>
    </row>
    <row r="5" spans="2:10" x14ac:dyDescent="0.15">
      <c r="E5" s="25" t="s">
        <v>48</v>
      </c>
      <c r="H5" s="25" t="s">
        <v>111</v>
      </c>
      <c r="I5" s="25" t="s">
        <v>175</v>
      </c>
      <c r="J5" s="25">
        <v>3</v>
      </c>
    </row>
    <row r="6" spans="2:10" x14ac:dyDescent="0.15">
      <c r="E6" s="25" t="s">
        <v>49</v>
      </c>
      <c r="H6" s="25" t="s">
        <v>105</v>
      </c>
      <c r="I6" s="25" t="s">
        <v>175</v>
      </c>
      <c r="J6" s="25">
        <v>3</v>
      </c>
    </row>
    <row r="7" spans="2:10" x14ac:dyDescent="0.15">
      <c r="E7" s="25" t="s">
        <v>50</v>
      </c>
      <c r="H7" s="25" t="s">
        <v>113</v>
      </c>
      <c r="I7" s="25" t="s">
        <v>175</v>
      </c>
      <c r="J7" s="25">
        <v>3</v>
      </c>
    </row>
    <row r="8" spans="2:10" x14ac:dyDescent="0.15">
      <c r="E8" s="25" t="s">
        <v>51</v>
      </c>
      <c r="H8" s="25" t="s">
        <v>112</v>
      </c>
      <c r="I8" s="25" t="s">
        <v>175</v>
      </c>
      <c r="J8" s="25">
        <v>3</v>
      </c>
    </row>
    <row r="9" spans="2:10" x14ac:dyDescent="0.15">
      <c r="E9" s="25" t="s">
        <v>52</v>
      </c>
      <c r="H9" s="25" t="s">
        <v>106</v>
      </c>
      <c r="I9" s="25" t="s">
        <v>175</v>
      </c>
      <c r="J9" s="25">
        <v>3</v>
      </c>
    </row>
    <row r="10" spans="2:10" x14ac:dyDescent="0.15">
      <c r="E10" s="25" t="s">
        <v>53</v>
      </c>
      <c r="H10" s="25" t="s">
        <v>114</v>
      </c>
      <c r="I10" s="25" t="s">
        <v>175</v>
      </c>
      <c r="J10" s="25">
        <v>3</v>
      </c>
    </row>
    <row r="11" spans="2:10" x14ac:dyDescent="0.15">
      <c r="E11" s="25" t="s">
        <v>54</v>
      </c>
      <c r="H11" s="25" t="s">
        <v>115</v>
      </c>
      <c r="I11" s="25" t="s">
        <v>175</v>
      </c>
      <c r="J11" s="25">
        <v>3</v>
      </c>
    </row>
    <row r="12" spans="2:10" x14ac:dyDescent="0.15">
      <c r="E12" s="25" t="s">
        <v>55</v>
      </c>
      <c r="H12" s="25" t="s">
        <v>116</v>
      </c>
      <c r="I12" s="25" t="s">
        <v>175</v>
      </c>
      <c r="J12" s="25">
        <v>3</v>
      </c>
    </row>
    <row r="13" spans="2:10" x14ac:dyDescent="0.15">
      <c r="E13" s="25" t="s">
        <v>56</v>
      </c>
      <c r="H13" s="25" t="s">
        <v>117</v>
      </c>
      <c r="I13" s="25" t="s">
        <v>175</v>
      </c>
      <c r="J13" s="25">
        <v>3</v>
      </c>
    </row>
    <row r="14" spans="2:10" x14ac:dyDescent="0.15">
      <c r="E14" s="25" t="s">
        <v>91</v>
      </c>
      <c r="H14" s="25" t="s">
        <v>118</v>
      </c>
      <c r="I14" s="25" t="s">
        <v>175</v>
      </c>
      <c r="J14" s="25">
        <v>3</v>
      </c>
    </row>
    <row r="15" spans="2:10" x14ac:dyDescent="0.15">
      <c r="E15" s="25" t="s">
        <v>57</v>
      </c>
      <c r="H15" s="25" t="s">
        <v>119</v>
      </c>
      <c r="I15" s="25" t="s">
        <v>175</v>
      </c>
      <c r="J15" s="25">
        <v>3</v>
      </c>
    </row>
    <row r="16" spans="2:10" x14ac:dyDescent="0.15">
      <c r="E16" s="25" t="s">
        <v>58</v>
      </c>
      <c r="H16" s="25" t="s">
        <v>120</v>
      </c>
      <c r="I16" s="25" t="s">
        <v>175</v>
      </c>
      <c r="J16" s="25">
        <v>3</v>
      </c>
    </row>
    <row r="17" spans="5:10" x14ac:dyDescent="0.15">
      <c r="E17" s="25" t="s">
        <v>59</v>
      </c>
      <c r="H17" s="25" t="s">
        <v>121</v>
      </c>
      <c r="I17" s="25" t="s">
        <v>175</v>
      </c>
      <c r="J17" s="25">
        <v>3</v>
      </c>
    </row>
    <row r="18" spans="5:10" x14ac:dyDescent="0.15">
      <c r="E18" s="25" t="s">
        <v>60</v>
      </c>
      <c r="H18" s="25" t="s">
        <v>180</v>
      </c>
      <c r="I18" s="25" t="s">
        <v>175</v>
      </c>
      <c r="J18" s="25">
        <v>4</v>
      </c>
    </row>
    <row r="19" spans="5:10" x14ac:dyDescent="0.15">
      <c r="E19" s="25" t="s">
        <v>61</v>
      </c>
      <c r="H19" s="25" t="s">
        <v>122</v>
      </c>
      <c r="I19" s="25" t="s">
        <v>175</v>
      </c>
      <c r="J19" s="25">
        <v>3</v>
      </c>
    </row>
    <row r="20" spans="5:10" x14ac:dyDescent="0.15">
      <c r="E20" s="25" t="s">
        <v>62</v>
      </c>
      <c r="H20" s="25" t="s">
        <v>123</v>
      </c>
      <c r="I20" s="25" t="s">
        <v>175</v>
      </c>
      <c r="J20" s="25">
        <v>3</v>
      </c>
    </row>
    <row r="21" spans="5:10" x14ac:dyDescent="0.15">
      <c r="E21" s="25" t="s">
        <v>63</v>
      </c>
      <c r="H21" s="25" t="s">
        <v>124</v>
      </c>
      <c r="I21" s="25" t="s">
        <v>175</v>
      </c>
      <c r="J21" s="25">
        <v>3</v>
      </c>
    </row>
    <row r="22" spans="5:10" x14ac:dyDescent="0.15">
      <c r="E22" s="25" t="s">
        <v>64</v>
      </c>
      <c r="H22" s="25" t="s">
        <v>125</v>
      </c>
      <c r="I22" s="25" t="s">
        <v>175</v>
      </c>
      <c r="J22" s="25">
        <v>3</v>
      </c>
    </row>
    <row r="23" spans="5:10" x14ac:dyDescent="0.15">
      <c r="E23" s="25" t="s">
        <v>65</v>
      </c>
      <c r="H23" s="25" t="s">
        <v>126</v>
      </c>
      <c r="I23" s="25" t="s">
        <v>175</v>
      </c>
      <c r="J23" s="25">
        <v>3</v>
      </c>
    </row>
    <row r="24" spans="5:10" x14ac:dyDescent="0.15">
      <c r="E24" s="25" t="s">
        <v>66</v>
      </c>
      <c r="H24" s="25" t="s">
        <v>127</v>
      </c>
      <c r="I24" s="25" t="s">
        <v>175</v>
      </c>
      <c r="J24" s="25">
        <v>3</v>
      </c>
    </row>
    <row r="25" spans="5:10" x14ac:dyDescent="0.15">
      <c r="E25" s="25" t="s">
        <v>67</v>
      </c>
      <c r="H25" s="25" t="s">
        <v>128</v>
      </c>
      <c r="I25" s="25" t="s">
        <v>175</v>
      </c>
      <c r="J25" s="25">
        <v>3</v>
      </c>
    </row>
    <row r="26" spans="5:10" x14ac:dyDescent="0.15">
      <c r="E26" s="25" t="s">
        <v>92</v>
      </c>
      <c r="H26" s="25" t="s">
        <v>129</v>
      </c>
      <c r="I26" s="25" t="s">
        <v>175</v>
      </c>
      <c r="J26" s="25">
        <v>3</v>
      </c>
    </row>
    <row r="27" spans="5:10" x14ac:dyDescent="0.15">
      <c r="E27" s="25" t="s">
        <v>68</v>
      </c>
      <c r="H27" s="25" t="s">
        <v>130</v>
      </c>
      <c r="I27" s="25" t="s">
        <v>175</v>
      </c>
      <c r="J27" s="25">
        <v>3</v>
      </c>
    </row>
    <row r="28" spans="5:10" x14ac:dyDescent="0.15">
      <c r="E28" s="25" t="s">
        <v>69</v>
      </c>
      <c r="H28" s="25" t="s">
        <v>131</v>
      </c>
      <c r="I28" s="25" t="s">
        <v>175</v>
      </c>
      <c r="J28" s="25">
        <v>3</v>
      </c>
    </row>
    <row r="29" spans="5:10" x14ac:dyDescent="0.15">
      <c r="E29" s="25" t="s">
        <v>70</v>
      </c>
      <c r="H29" s="25" t="s">
        <v>132</v>
      </c>
      <c r="I29" s="25" t="s">
        <v>175</v>
      </c>
      <c r="J29" s="25">
        <v>3</v>
      </c>
    </row>
    <row r="30" spans="5:10" x14ac:dyDescent="0.15">
      <c r="E30" s="25" t="s">
        <v>71</v>
      </c>
      <c r="H30" s="25" t="s">
        <v>133</v>
      </c>
      <c r="I30" s="25" t="s">
        <v>175</v>
      </c>
      <c r="J30" s="25">
        <v>3</v>
      </c>
    </row>
    <row r="31" spans="5:10" x14ac:dyDescent="0.15">
      <c r="E31" s="25" t="s">
        <v>72</v>
      </c>
      <c r="H31" s="25" t="s">
        <v>134</v>
      </c>
      <c r="I31" s="25" t="s">
        <v>175</v>
      </c>
      <c r="J31" s="25">
        <v>4</v>
      </c>
    </row>
    <row r="32" spans="5:10" x14ac:dyDescent="0.15">
      <c r="E32" s="25" t="s">
        <v>73</v>
      </c>
      <c r="H32" s="25" t="s">
        <v>135</v>
      </c>
      <c r="I32" s="25" t="s">
        <v>175</v>
      </c>
      <c r="J32" s="25">
        <v>4</v>
      </c>
    </row>
    <row r="33" spans="5:10" x14ac:dyDescent="0.15">
      <c r="E33" s="25" t="s">
        <v>74</v>
      </c>
      <c r="H33" s="25" t="s">
        <v>136</v>
      </c>
      <c r="I33" s="25" t="s">
        <v>104</v>
      </c>
      <c r="J33" s="25">
        <v>3</v>
      </c>
    </row>
    <row r="34" spans="5:10" x14ac:dyDescent="0.15">
      <c r="E34" s="25" t="s">
        <v>75</v>
      </c>
      <c r="H34" s="25" t="s">
        <v>137</v>
      </c>
      <c r="I34" s="25" t="s">
        <v>104</v>
      </c>
      <c r="J34" s="25">
        <v>3</v>
      </c>
    </row>
    <row r="35" spans="5:10" x14ac:dyDescent="0.15">
      <c r="E35" s="25" t="s">
        <v>76</v>
      </c>
      <c r="H35" s="25" t="s">
        <v>138</v>
      </c>
      <c r="I35" s="25" t="s">
        <v>104</v>
      </c>
      <c r="J35" s="25">
        <v>3</v>
      </c>
    </row>
    <row r="36" spans="5:10" x14ac:dyDescent="0.15">
      <c r="E36" s="25" t="s">
        <v>77</v>
      </c>
      <c r="H36" s="25" t="s">
        <v>139</v>
      </c>
      <c r="I36" s="25" t="s">
        <v>104</v>
      </c>
      <c r="J36" s="25">
        <v>3</v>
      </c>
    </row>
    <row r="37" spans="5:10" x14ac:dyDescent="0.15">
      <c r="E37" s="25" t="s">
        <v>78</v>
      </c>
      <c r="H37" s="25" t="s">
        <v>140</v>
      </c>
      <c r="I37" s="25" t="s">
        <v>104</v>
      </c>
      <c r="J37" s="25">
        <v>3</v>
      </c>
    </row>
    <row r="38" spans="5:10" x14ac:dyDescent="0.15">
      <c r="E38" s="25" t="s">
        <v>79</v>
      </c>
      <c r="H38" s="25" t="s">
        <v>141</v>
      </c>
      <c r="I38" s="25" t="s">
        <v>104</v>
      </c>
      <c r="J38" s="25">
        <v>3</v>
      </c>
    </row>
    <row r="39" spans="5:10" x14ac:dyDescent="0.15">
      <c r="E39" s="25" t="s">
        <v>80</v>
      </c>
      <c r="H39" s="25" t="s">
        <v>142</v>
      </c>
      <c r="I39" s="25" t="s">
        <v>104</v>
      </c>
      <c r="J39" s="25">
        <v>3</v>
      </c>
    </row>
    <row r="40" spans="5:10" x14ac:dyDescent="0.15">
      <c r="E40" s="25" t="s">
        <v>81</v>
      </c>
      <c r="H40" s="25" t="s">
        <v>143</v>
      </c>
      <c r="I40" s="25" t="s">
        <v>176</v>
      </c>
      <c r="J40" s="25">
        <v>2</v>
      </c>
    </row>
    <row r="41" spans="5:10" x14ac:dyDescent="0.15">
      <c r="E41" s="25" t="s">
        <v>82</v>
      </c>
      <c r="H41" s="25" t="s">
        <v>144</v>
      </c>
      <c r="I41" s="25" t="s">
        <v>176</v>
      </c>
      <c r="J41" s="25">
        <v>2</v>
      </c>
    </row>
    <row r="42" spans="5:10" x14ac:dyDescent="0.15">
      <c r="E42" s="25" t="s">
        <v>83</v>
      </c>
      <c r="H42" s="25" t="s">
        <v>145</v>
      </c>
      <c r="I42" s="25" t="s">
        <v>176</v>
      </c>
      <c r="J42" s="25">
        <v>2</v>
      </c>
    </row>
    <row r="43" spans="5:10" x14ac:dyDescent="0.15">
      <c r="E43" s="25" t="s">
        <v>84</v>
      </c>
      <c r="H43" s="25" t="s">
        <v>146</v>
      </c>
      <c r="I43" s="25" t="s">
        <v>176</v>
      </c>
      <c r="J43" s="25">
        <v>2</v>
      </c>
    </row>
    <row r="44" spans="5:10" x14ac:dyDescent="0.15">
      <c r="E44" s="25" t="s">
        <v>85</v>
      </c>
      <c r="H44" s="25" t="s">
        <v>147</v>
      </c>
      <c r="I44" s="25" t="s">
        <v>176</v>
      </c>
      <c r="J44" s="25">
        <v>2</v>
      </c>
    </row>
    <row r="45" spans="5:10" x14ac:dyDescent="0.15">
      <c r="E45" s="25" t="s">
        <v>86</v>
      </c>
      <c r="H45" s="25" t="s">
        <v>148</v>
      </c>
      <c r="I45" s="25" t="s">
        <v>176</v>
      </c>
      <c r="J45" s="25">
        <v>2</v>
      </c>
    </row>
    <row r="46" spans="5:10" x14ac:dyDescent="0.15">
      <c r="E46" s="25" t="s">
        <v>87</v>
      </c>
      <c r="H46" s="25" t="s">
        <v>149</v>
      </c>
      <c r="I46" s="25" t="s">
        <v>176</v>
      </c>
      <c r="J46" s="25">
        <v>2</v>
      </c>
    </row>
    <row r="47" spans="5:10" x14ac:dyDescent="0.15">
      <c r="E47" s="25" t="s">
        <v>88</v>
      </c>
      <c r="H47" s="25" t="s">
        <v>150</v>
      </c>
      <c r="I47" s="25" t="s">
        <v>176</v>
      </c>
      <c r="J47" s="25">
        <v>2</v>
      </c>
    </row>
    <row r="48" spans="5:10" x14ac:dyDescent="0.15">
      <c r="E48" s="25" t="s">
        <v>93</v>
      </c>
      <c r="H48" s="25" t="s">
        <v>151</v>
      </c>
      <c r="I48" s="25" t="s">
        <v>176</v>
      </c>
      <c r="J48" s="25">
        <v>2</v>
      </c>
    </row>
    <row r="49" spans="5:10" x14ac:dyDescent="0.15">
      <c r="E49" s="25" t="s">
        <v>89</v>
      </c>
      <c r="H49" s="25" t="s">
        <v>152</v>
      </c>
      <c r="I49" s="25" t="s">
        <v>176</v>
      </c>
      <c r="J49" s="25">
        <v>2</v>
      </c>
    </row>
    <row r="50" spans="5:10" x14ac:dyDescent="0.15">
      <c r="E50" s="25" t="s">
        <v>90</v>
      </c>
      <c r="H50" s="25" t="s">
        <v>153</v>
      </c>
      <c r="I50" s="25" t="s">
        <v>176</v>
      </c>
      <c r="J50" s="25">
        <v>2</v>
      </c>
    </row>
    <row r="51" spans="5:10" x14ac:dyDescent="0.15">
      <c r="H51" s="25" t="s">
        <v>181</v>
      </c>
      <c r="I51" s="25" t="s">
        <v>177</v>
      </c>
      <c r="J51" s="25">
        <v>1</v>
      </c>
    </row>
    <row r="52" spans="5:10" x14ac:dyDescent="0.15">
      <c r="H52" s="25" t="s">
        <v>182</v>
      </c>
      <c r="I52" s="25" t="s">
        <v>177</v>
      </c>
      <c r="J52" s="25">
        <v>1</v>
      </c>
    </row>
    <row r="53" spans="5:10" x14ac:dyDescent="0.15">
      <c r="H53" s="25" t="s">
        <v>154</v>
      </c>
      <c r="I53" s="25" t="s">
        <v>177</v>
      </c>
      <c r="J53" s="25">
        <v>1</v>
      </c>
    </row>
    <row r="54" spans="5:10" x14ac:dyDescent="0.15">
      <c r="H54" s="25" t="s">
        <v>155</v>
      </c>
      <c r="I54" s="25" t="s">
        <v>177</v>
      </c>
      <c r="J54" s="25">
        <v>1</v>
      </c>
    </row>
    <row r="55" spans="5:10" x14ac:dyDescent="0.15">
      <c r="H55" s="25" t="s">
        <v>156</v>
      </c>
      <c r="I55" s="25" t="s">
        <v>177</v>
      </c>
      <c r="J55" s="25">
        <v>1</v>
      </c>
    </row>
    <row r="56" spans="5:10" x14ac:dyDescent="0.15">
      <c r="H56" s="25" t="s">
        <v>157</v>
      </c>
      <c r="I56" s="25" t="s">
        <v>177</v>
      </c>
      <c r="J56" s="25">
        <v>1</v>
      </c>
    </row>
    <row r="57" spans="5:10" x14ac:dyDescent="0.15">
      <c r="H57" s="25" t="s">
        <v>158</v>
      </c>
      <c r="I57" s="25" t="s">
        <v>177</v>
      </c>
      <c r="J57" s="25">
        <v>1</v>
      </c>
    </row>
    <row r="58" spans="5:10" x14ac:dyDescent="0.15">
      <c r="H58" s="25" t="s">
        <v>159</v>
      </c>
      <c r="I58" s="25" t="s">
        <v>177</v>
      </c>
      <c r="J58" s="25">
        <v>1</v>
      </c>
    </row>
    <row r="59" spans="5:10" x14ac:dyDescent="0.15">
      <c r="H59" s="25" t="s">
        <v>160</v>
      </c>
      <c r="I59" s="25" t="s">
        <v>177</v>
      </c>
      <c r="J59" s="25">
        <v>1</v>
      </c>
    </row>
    <row r="60" spans="5:10" x14ac:dyDescent="0.15">
      <c r="H60" s="25" t="s">
        <v>161</v>
      </c>
      <c r="I60" s="25" t="s">
        <v>178</v>
      </c>
      <c r="J60" s="25">
        <v>0</v>
      </c>
    </row>
    <row r="61" spans="5:10" x14ac:dyDescent="0.15">
      <c r="H61" s="25" t="s">
        <v>162</v>
      </c>
      <c r="I61" s="25" t="s">
        <v>178</v>
      </c>
      <c r="J61" s="25">
        <v>0</v>
      </c>
    </row>
    <row r="62" spans="5:10" x14ac:dyDescent="0.15">
      <c r="H62" s="25" t="s">
        <v>163</v>
      </c>
      <c r="I62" s="25" t="s">
        <v>178</v>
      </c>
      <c r="J62" s="25">
        <v>0</v>
      </c>
    </row>
    <row r="63" spans="5:10" x14ac:dyDescent="0.15">
      <c r="H63" s="25" t="s">
        <v>164</v>
      </c>
      <c r="I63" s="25" t="s">
        <v>178</v>
      </c>
      <c r="J63" s="25">
        <v>0</v>
      </c>
    </row>
    <row r="64" spans="5:10" x14ac:dyDescent="0.15">
      <c r="H64" s="25" t="s">
        <v>165</v>
      </c>
      <c r="I64" s="25" t="s">
        <v>178</v>
      </c>
      <c r="J64" s="25">
        <v>0</v>
      </c>
    </row>
    <row r="65" spans="8:10" x14ac:dyDescent="0.15">
      <c r="H65" s="25" t="s">
        <v>166</v>
      </c>
      <c r="I65" s="25" t="s">
        <v>178</v>
      </c>
      <c r="J65" s="25">
        <v>0</v>
      </c>
    </row>
    <row r="66" spans="8:10" x14ac:dyDescent="0.15">
      <c r="H66" s="25" t="s">
        <v>167</v>
      </c>
      <c r="I66" s="25" t="s">
        <v>178</v>
      </c>
      <c r="J66" s="25">
        <v>0</v>
      </c>
    </row>
    <row r="67" spans="8:10" x14ac:dyDescent="0.15">
      <c r="H67" s="25" t="s">
        <v>168</v>
      </c>
      <c r="I67" s="25" t="s">
        <v>178</v>
      </c>
      <c r="J67" s="25">
        <v>0</v>
      </c>
    </row>
    <row r="68" spans="8:10" x14ac:dyDescent="0.15">
      <c r="H68" s="25" t="s">
        <v>169</v>
      </c>
      <c r="I68" s="25" t="s">
        <v>178</v>
      </c>
      <c r="J68" s="25">
        <v>0</v>
      </c>
    </row>
    <row r="69" spans="8:10" x14ac:dyDescent="0.15">
      <c r="H69" s="25" t="s">
        <v>170</v>
      </c>
      <c r="I69" s="25" t="s">
        <v>178</v>
      </c>
      <c r="J69" s="25">
        <v>0</v>
      </c>
    </row>
    <row r="70" spans="8:10" x14ac:dyDescent="0.15">
      <c r="H70" s="25" t="s">
        <v>171</v>
      </c>
      <c r="I70" s="25" t="s">
        <v>178</v>
      </c>
      <c r="J70" s="25">
        <v>0</v>
      </c>
    </row>
    <row r="71" spans="8:10" x14ac:dyDescent="0.15">
      <c r="H71" s="25" t="s">
        <v>172</v>
      </c>
      <c r="I71" s="25" t="s">
        <v>178</v>
      </c>
      <c r="J71" s="25">
        <v>0</v>
      </c>
    </row>
    <row r="72" spans="8:10" x14ac:dyDescent="0.15">
      <c r="H72" s="25" t="s">
        <v>173</v>
      </c>
      <c r="I72" s="25" t="s">
        <v>178</v>
      </c>
      <c r="J72" s="25">
        <v>0</v>
      </c>
    </row>
    <row r="73" spans="8:10" x14ac:dyDescent="0.15">
      <c r="H73" s="25" t="s">
        <v>30</v>
      </c>
      <c r="I73" s="25"/>
      <c r="J73" s="25"/>
    </row>
  </sheetData>
  <phoneticPr fontId="1"/>
  <dataValidations count="1">
    <dataValidation type="whole" allowBlank="1" showInputMessage="1" showErrorMessage="1" sqref="C2" xr:uid="{6518E0BE-81DA-4110-A729-A31D9F7D9781}">
      <formula1>1</formula1>
      <formula2>5</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（主催）カスタマイズマニュアル</vt:lpstr>
      <vt:lpstr>(1)鑑</vt:lpstr>
      <vt:lpstr>(2)出場選手</vt:lpstr>
      <vt:lpstr>（自動）エントリー名簿</vt:lpstr>
      <vt:lpstr>（主催）種目リスト</vt:lpstr>
      <vt:lpstr>（主催）設定・リスト</vt:lpstr>
      <vt:lpstr>Competition_Events</vt:lpstr>
      <vt:lpstr>Entries</vt:lpstr>
      <vt:lpstr>Event_List</vt:lpstr>
      <vt:lpstr>Max_Entries</vt:lpstr>
      <vt:lpstr>Max_Entry_Count</vt:lpstr>
      <vt:lpstr>Prefectures</vt:lpstr>
      <vt:lpstr>'(1)鑑'!Print_Area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Ryoya HIRAOKA</dc:creator>
  <cp:lastModifiedBy>Ryoya HIRAOKA</cp:lastModifiedBy>
  <cp:lastPrinted>2025-06-28T09:31:30Z</cp:lastPrinted>
  <dcterms:created xsi:type="dcterms:W3CDTF">2025-06-28T05:39:31Z</dcterms:created>
  <dcterms:modified xsi:type="dcterms:W3CDTF">2026-07-16T14:45:46Z</dcterms:modified>
</cp:coreProperties>
</file>